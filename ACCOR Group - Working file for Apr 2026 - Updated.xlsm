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ruccabal\Downloads\"/>
    </mc:Choice>
  </mc:AlternateContent>
  <xr:revisionPtr revIDLastSave="0" documentId="13_ncr:1_{D99E5386-2651-4BE8-BF18-8772AA6E7B62}" xr6:coauthVersionLast="47" xr6:coauthVersionMax="47" xr10:uidLastSave="{00000000-0000-0000-0000-000000000000}"/>
  <bookViews>
    <workbookView xWindow="-110" yWindow="-110" windowWidth="19420" windowHeight="11500" tabRatio="829" activeTab="4" xr2:uid="{86FF9406-8B14-4AE8-AE40-67C9BC372005}"/>
  </bookViews>
  <sheets>
    <sheet name="Clients List" sheetId="3" r:id="rId1"/>
    <sheet name="Other Info" sheetId="2" r:id="rId2"/>
    <sheet name="BS Receivable Summary" sheetId="40" r:id="rId3"/>
    <sheet name="AB,Cancellation, Pending Docs" sheetId="10" r:id="rId4"/>
    <sheet name="Issue Summary" sheetId="4" r:id="rId5"/>
    <sheet name="Issue Detail Dashboard" sheetId="93" r:id="rId6"/>
    <sheet name="Consolidated SOA" sheetId="1" r:id="rId7"/>
    <sheet name="Client Report Apr 2026" sheetId="71" r:id="rId8"/>
    <sheet name="Script" sheetId="91" state="hidden" r:id="rId9"/>
  </sheets>
  <definedNames>
    <definedName name="_xlnm._FilterDatabase" localSheetId="2" hidden="1">'BS Receivable Summary'!$A$5:$F$5</definedName>
    <definedName name="_xlnm._FilterDatabase" localSheetId="7" hidden="1">'Client Report Apr 2026'!$A$4:$H$4</definedName>
    <definedName name="_xlnm._FilterDatabase" localSheetId="0" hidden="1">'Clients List'!$A$1:$C$394</definedName>
    <definedName name="_xlnm._FilterDatabase" localSheetId="6" hidden="1">'Consolidated SOA'!$A$1:$AK$473</definedName>
    <definedName name="_xlpm.ag" hidden="1" xlm="1">#NAME?</definedName>
    <definedName name="_xlpm.amt" hidden="1" xlm="1">#NAME?</definedName>
    <definedName name="_xlpm.cg" hidden="1" xlm="1">#NAME?</definedName>
    <definedName name="_xlpm.cgCond" hidden="1" xlm="1">#NAME?</definedName>
    <definedName name="_xlpm.clientCond" hidden="1" xlm="1">#NAME?</definedName>
    <definedName name="_xlpm.cond" hidden="1" xlm="1">#NAME?</definedName>
    <definedName name="_xlpm.data" hidden="1" xlm="1">#NAME?</definedName>
    <definedName name="_xlpm.dd" hidden="1" xlm="1">#NAME?</definedName>
    <definedName name="_xlpm.du" hidden="1" xlm="1">#NAME?</definedName>
    <definedName name="_xlpm.p" hidden="1" xlm="1">#NAME?</definedName>
    <definedName name="_xlpm.pCond" hidden="1" xlm="1">#NAME?</definedName>
    <definedName name="_xlpm.res" hidden="1" xlm="1">#NAME?</definedName>
    <definedName name="_xlpm.result" hidden="1" xlm="1">#NAME?</definedName>
  </definedNames>
  <calcPr calcId="191029"/>
  <pivotCaches>
    <pivotCache cacheId="11"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6" i="10" l="1"/>
  <c r="AP5" i="10"/>
  <c r="X16" i="10" l="1"/>
  <c r="X15" i="10"/>
  <c r="X14" i="10"/>
  <c r="X13" i="10"/>
  <c r="X12" i="10"/>
  <c r="X11" i="10"/>
  <c r="X10" i="10"/>
  <c r="X9" i="10"/>
  <c r="X8" i="10"/>
  <c r="X7" i="10"/>
  <c r="X6" i="10"/>
  <c r="X5" i="10"/>
  <c r="S2" i="93" l="1" a="1"/>
  <c r="S2" i="93" s="1"/>
  <c r="R2" i="93" a="1"/>
  <c r="R2" i="93" s="1"/>
  <c r="Q11" i="93" a="1"/>
  <c r="Q11" i="93" s="1"/>
  <c r="P11" i="93" a="1"/>
  <c r="P11" i="93" s="1"/>
  <c r="O11" i="93" a="1"/>
  <c r="O11" i="93" s="1"/>
  <c r="H11" i="93" a="1"/>
  <c r="H11" i="93" s="1"/>
  <c r="G11" i="93" a="1"/>
  <c r="G11" i="93" s="1"/>
  <c r="F11" i="93" a="1"/>
  <c r="F11" i="93" s="1"/>
  <c r="E11" i="93" a="1"/>
  <c r="E11" i="93" s="1"/>
  <c r="D11" i="93" a="1"/>
  <c r="D11" i="93" s="1"/>
  <c r="C11" i="93" a="1"/>
  <c r="C11" i="93" s="1"/>
  <c r="B11" i="93" a="1"/>
  <c r="B11" i="93" s="1"/>
  <c r="A11" i="93" a="1"/>
  <c r="A11" i="93" s="1"/>
  <c r="D7" i="93" a="1"/>
  <c r="D7" i="93" s="1"/>
  <c r="C7" i="93" a="1"/>
  <c r="C7" i="93" s="1"/>
  <c r="K4" i="93" s="1"/>
  <c r="N4" i="93" a="1"/>
  <c r="N4" i="93" s="1"/>
  <c r="G4" i="93" a="1"/>
  <c r="G4" i="93" s="1"/>
  <c r="ZZ1" i="1" l="1"/>
  <c r="J25" i="1" l="1"/>
  <c r="J2" i="1"/>
  <c r="J3" i="1"/>
  <c r="J4" i="1"/>
  <c r="J5" i="1"/>
  <c r="J6" i="1"/>
  <c r="J7" i="1"/>
  <c r="J8" i="1"/>
  <c r="J9" i="1"/>
  <c r="J10" i="1"/>
  <c r="J11" i="1"/>
  <c r="J12" i="1"/>
  <c r="J13" i="1"/>
  <c r="J14" i="1"/>
  <c r="J15" i="1"/>
  <c r="J16" i="1"/>
  <c r="J17" i="1"/>
  <c r="J18" i="1"/>
  <c r="J19" i="1"/>
  <c r="J20" i="1"/>
  <c r="J21" i="1"/>
  <c r="J22" i="1"/>
  <c r="J23" i="1"/>
  <c r="J24"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M11" i="93" l="1" a="1"/>
  <c r="M11" i="93" s="1"/>
  <c r="M7" i="93" s="1"/>
  <c r="N11" i="93" a="1"/>
  <c r="K11" i="93" a="1"/>
  <c r="K11" i="93" s="1"/>
  <c r="K7" i="93" s="1"/>
  <c r="L11" i="93" a="1"/>
  <c r="I11" i="93" a="1"/>
  <c r="I11" i="93" s="1"/>
  <c r="J11" i="93" a="1"/>
  <c r="I18" i="40"/>
  <c r="I14" i="40"/>
  <c r="I13"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AH4" i="1" a="1"/>
  <c r="AH4" i="1" s="1"/>
  <c r="AH18" i="1" a="1"/>
  <c r="AH18" i="1" s="1"/>
  <c r="AH473" i="1" a="1"/>
  <c r="AH473" i="1" s="1"/>
  <c r="AH470" i="1" a="1"/>
  <c r="AH470" i="1" s="1"/>
  <c r="AH467" i="1" a="1"/>
  <c r="AH467" i="1" s="1"/>
  <c r="AH463" i="1" a="1"/>
  <c r="AH463" i="1" s="1"/>
  <c r="AH461" i="1" a="1"/>
  <c r="AH461" i="1" s="1"/>
  <c r="AH448" i="1" a="1"/>
  <c r="AH448" i="1" s="1"/>
  <c r="AH443" i="1" a="1"/>
  <c r="AH443" i="1" s="1"/>
  <c r="AH431" i="1" a="1"/>
  <c r="AH431" i="1" s="1"/>
  <c r="AH414" i="1" a="1"/>
  <c r="AH414" i="1" s="1"/>
  <c r="AH411" i="1" a="1"/>
  <c r="AH411" i="1" s="1"/>
  <c r="AH407" i="1" a="1"/>
  <c r="AH407" i="1" s="1"/>
  <c r="AH401" i="1" a="1"/>
  <c r="AH401" i="1" s="1"/>
  <c r="AH396" i="1" a="1"/>
  <c r="AH396" i="1" s="1"/>
  <c r="AH392" i="1" a="1"/>
  <c r="AH392" i="1" s="1"/>
  <c r="AH388" i="1" a="1"/>
  <c r="AH388" i="1" s="1"/>
  <c r="AH383" i="1" a="1"/>
  <c r="AH383" i="1" s="1"/>
  <c r="AH380" i="1" a="1"/>
  <c r="AH380" i="1" s="1"/>
  <c r="AH367" i="1" a="1"/>
  <c r="AH367" i="1" s="1"/>
  <c r="AH354" i="1" a="1"/>
  <c r="AH354" i="1" s="1"/>
  <c r="AH352" i="1" a="1"/>
  <c r="AH352" i="1" s="1"/>
  <c r="AH337" i="1" a="1"/>
  <c r="AH337" i="1" s="1"/>
  <c r="AH321" i="1" a="1"/>
  <c r="AH321" i="1" s="1"/>
  <c r="AH315" i="1" a="1"/>
  <c r="AH315" i="1" s="1"/>
  <c r="AH313" i="1" a="1"/>
  <c r="AH313" i="1" s="1"/>
  <c r="AH298" i="1" a="1"/>
  <c r="AH298" i="1" s="1"/>
  <c r="AH291" i="1" a="1"/>
  <c r="AH291" i="1" s="1"/>
  <c r="AH279" i="1" a="1"/>
  <c r="AH279" i="1" s="1"/>
  <c r="AH274" i="1" a="1"/>
  <c r="AH274" i="1" s="1"/>
  <c r="AH271" i="1" a="1"/>
  <c r="AH271" i="1" s="1"/>
  <c r="AH269" i="1" a="1"/>
  <c r="AH269" i="1" s="1"/>
  <c r="AH266" i="1" a="1"/>
  <c r="AH266" i="1" s="1"/>
  <c r="AH263" i="1" a="1"/>
  <c r="AH263" i="1" s="1"/>
  <c r="AH260" i="1" a="1"/>
  <c r="AH260" i="1" s="1"/>
  <c r="AH257" i="1" a="1"/>
  <c r="AH257" i="1" s="1"/>
  <c r="AH255" i="1" a="1"/>
  <c r="AH255" i="1" s="1"/>
  <c r="AH252" i="1" a="1"/>
  <c r="AH252" i="1" s="1"/>
  <c r="AH248" i="1" a="1"/>
  <c r="AH248" i="1" s="1"/>
  <c r="AH244" i="1" a="1"/>
  <c r="AH244" i="1" s="1"/>
  <c r="AH229" i="1" a="1"/>
  <c r="AH229" i="1" s="1"/>
  <c r="AH227" i="1" a="1"/>
  <c r="AH227" i="1" s="1"/>
  <c r="AH223" i="1" a="1"/>
  <c r="AH223" i="1" s="1"/>
  <c r="AH220" i="1" a="1"/>
  <c r="AH220" i="1" s="1"/>
  <c r="AH217" i="1" a="1"/>
  <c r="AH217" i="1" s="1"/>
  <c r="AH199" i="1" a="1"/>
  <c r="AH199" i="1" s="1"/>
  <c r="AH194" i="1" a="1"/>
  <c r="AH194" i="1" s="1"/>
  <c r="AH191" i="1" a="1"/>
  <c r="AH191" i="1" s="1"/>
  <c r="AH188" i="1" a="1"/>
  <c r="AH188" i="1" s="1"/>
  <c r="AH185" i="1" a="1"/>
  <c r="AH185" i="1" s="1"/>
  <c r="AH183" i="1" a="1"/>
  <c r="AH183" i="1" s="1"/>
  <c r="AH180" i="1" a="1"/>
  <c r="AH180" i="1" s="1"/>
  <c r="AH176" i="1" a="1"/>
  <c r="AH176" i="1" s="1"/>
  <c r="AH174" i="1" a="1"/>
  <c r="AH174" i="1" s="1"/>
  <c r="AH172" i="1" a="1"/>
  <c r="AH172" i="1" s="1"/>
  <c r="AH170" i="1" a="1"/>
  <c r="AH170" i="1" s="1"/>
  <c r="AH168" i="1" a="1"/>
  <c r="AH168" i="1" s="1"/>
  <c r="AH153" i="1" a="1"/>
  <c r="AH153" i="1" s="1"/>
  <c r="AH151" i="1" a="1"/>
  <c r="AH151" i="1" s="1"/>
  <c r="AH145" i="1" a="1"/>
  <c r="AH145" i="1" s="1"/>
  <c r="AH142" i="1" a="1"/>
  <c r="AH142" i="1" s="1"/>
  <c r="AH131" i="1" a="1"/>
  <c r="AH131" i="1" s="1"/>
  <c r="AH125" i="1" a="1"/>
  <c r="AH125" i="1" s="1"/>
  <c r="AH121" i="1" a="1"/>
  <c r="AH121" i="1" s="1"/>
  <c r="AH119" i="1" a="1"/>
  <c r="AH119" i="1" s="1"/>
  <c r="AH117" i="1" a="1"/>
  <c r="AH117" i="1" s="1"/>
  <c r="AH111" i="1" a="1"/>
  <c r="AH111" i="1" s="1"/>
  <c r="AH104" i="1" a="1"/>
  <c r="AH104" i="1" s="1"/>
  <c r="AH99" i="1" a="1"/>
  <c r="AH99" i="1" s="1"/>
  <c r="AH97" i="1" a="1"/>
  <c r="AH97" i="1" s="1"/>
  <c r="AH95" i="1" a="1"/>
  <c r="AH95" i="1" s="1"/>
  <c r="AH82" i="1" a="1"/>
  <c r="AH82" i="1" s="1"/>
  <c r="AH63" i="1" a="1"/>
  <c r="AH63" i="1" s="1"/>
  <c r="AH60" i="1" a="1"/>
  <c r="AH60" i="1" s="1"/>
  <c r="AH43" i="1" a="1"/>
  <c r="AH43" i="1" s="1"/>
  <c r="AH30" i="1" a="1"/>
  <c r="AH30" i="1" s="1"/>
  <c r="AH24" i="1" a="1"/>
  <c r="AH24" i="1" s="1"/>
  <c r="AH22" i="1" a="1"/>
  <c r="AH22" i="1" s="1"/>
  <c r="N11" i="93" l="1"/>
  <c r="N7" i="93" s="1"/>
  <c r="N8" i="93"/>
  <c r="M8" i="93"/>
  <c r="L11" i="93"/>
  <c r="L7" i="93" s="1"/>
  <c r="L8" i="93"/>
  <c r="K8" i="93"/>
  <c r="J11" i="93"/>
  <c r="J7" i="93" s="1"/>
  <c r="J8" i="93"/>
  <c r="I7" i="93"/>
  <c r="I8" i="93"/>
  <c r="I15" i="40"/>
  <c r="B84" i="40"/>
  <c r="I7" i="40" s="1"/>
  <c r="K473" i="1"/>
  <c r="H473" i="1"/>
  <c r="AI473" i="1" s="1"/>
  <c r="C83" i="40" s="1"/>
  <c r="K470" i="1"/>
  <c r="H470" i="1"/>
  <c r="AI470" i="1" s="1"/>
  <c r="C82" i="40" s="1"/>
  <c r="E82" i="40" s="1"/>
  <c r="K467" i="1"/>
  <c r="H467" i="1"/>
  <c r="AI467" i="1" s="1"/>
  <c r="C81" i="40" s="1"/>
  <c r="E81" i="40" s="1"/>
  <c r="K463" i="1"/>
  <c r="H463" i="1"/>
  <c r="AI463" i="1" s="1"/>
  <c r="C80" i="40" s="1"/>
  <c r="K461" i="1"/>
  <c r="H461" i="1"/>
  <c r="AI461" i="1" s="1"/>
  <c r="C79" i="40" s="1"/>
  <c r="D79" i="40" s="1"/>
  <c r="K448" i="1"/>
  <c r="H448" i="1"/>
  <c r="AI448" i="1" s="1"/>
  <c r="C78" i="40" s="1"/>
  <c r="E78" i="40" s="1"/>
  <c r="K443" i="1"/>
  <c r="H443" i="1"/>
  <c r="AI443" i="1" s="1"/>
  <c r="C77" i="40" s="1"/>
  <c r="F77" i="40" s="1"/>
  <c r="K431" i="1"/>
  <c r="H431" i="1"/>
  <c r="AI431" i="1" s="1"/>
  <c r="C76" i="40" s="1"/>
  <c r="E76" i="40" s="1"/>
  <c r="K414" i="1"/>
  <c r="H414" i="1"/>
  <c r="AI414" i="1" s="1"/>
  <c r="C75" i="40" s="1"/>
  <c r="E75" i="40" s="1"/>
  <c r="K411" i="1"/>
  <c r="H411" i="1"/>
  <c r="AI411" i="1" s="1"/>
  <c r="C74" i="40" s="1"/>
  <c r="D74" i="40" s="1"/>
  <c r="K407" i="1"/>
  <c r="H407" i="1"/>
  <c r="AI407" i="1" s="1"/>
  <c r="C73" i="40" s="1"/>
  <c r="E73" i="40" s="1"/>
  <c r="K401" i="1"/>
  <c r="H401" i="1"/>
  <c r="AI401" i="1" s="1"/>
  <c r="C72" i="40" s="1"/>
  <c r="F72" i="40" s="1"/>
  <c r="K396" i="1"/>
  <c r="H396" i="1"/>
  <c r="AI396" i="1" s="1"/>
  <c r="C71" i="40" s="1"/>
  <c r="D71" i="40" s="1"/>
  <c r="F71" i="40" s="1"/>
  <c r="K392" i="1"/>
  <c r="H392" i="1"/>
  <c r="AI392" i="1" s="1"/>
  <c r="C70" i="40" s="1"/>
  <c r="E70" i="40" s="1"/>
  <c r="K388" i="1"/>
  <c r="H388" i="1"/>
  <c r="AI388" i="1" s="1"/>
  <c r="C69" i="40" s="1"/>
  <c r="E69" i="40" s="1"/>
  <c r="K383" i="1"/>
  <c r="H383" i="1"/>
  <c r="AI383" i="1" s="1"/>
  <c r="C68" i="40" s="1"/>
  <c r="D68" i="40" s="1"/>
  <c r="K380" i="1"/>
  <c r="H380" i="1"/>
  <c r="AI380" i="1" s="1"/>
  <c r="C67" i="40" s="1"/>
  <c r="D67" i="40" s="1"/>
  <c r="F67" i="40" s="1"/>
  <c r="K367" i="1"/>
  <c r="H367" i="1"/>
  <c r="AI367" i="1" s="1"/>
  <c r="C66" i="40" s="1"/>
  <c r="E66" i="40" s="1"/>
  <c r="K354" i="1"/>
  <c r="H354" i="1"/>
  <c r="AI354" i="1" s="1"/>
  <c r="C65" i="40" s="1"/>
  <c r="D65" i="40" s="1"/>
  <c r="F65" i="40" s="1"/>
  <c r="K352" i="1"/>
  <c r="H352" i="1"/>
  <c r="AI352" i="1" s="1"/>
  <c r="C64" i="40" s="1"/>
  <c r="E64" i="40" s="1"/>
  <c r="K337" i="1"/>
  <c r="H337" i="1"/>
  <c r="AI337" i="1" s="1"/>
  <c r="C63" i="40" s="1"/>
  <c r="D63" i="40" s="1"/>
  <c r="K321" i="1"/>
  <c r="H321" i="1"/>
  <c r="AI321" i="1" s="1"/>
  <c r="C62" i="40" s="1"/>
  <c r="E62" i="40" s="1"/>
  <c r="K315" i="1"/>
  <c r="H315" i="1"/>
  <c r="AI315" i="1" s="1"/>
  <c r="C61" i="40" s="1"/>
  <c r="D61" i="40" s="1"/>
  <c r="K313" i="1"/>
  <c r="H313" i="1"/>
  <c r="AI313" i="1" s="1"/>
  <c r="C60" i="40" s="1"/>
  <c r="F60" i="40" s="1"/>
  <c r="K298" i="1"/>
  <c r="H298" i="1"/>
  <c r="AI298" i="1" s="1"/>
  <c r="C59" i="40" s="1"/>
  <c r="F59" i="40" s="1"/>
  <c r="K291" i="1"/>
  <c r="H291" i="1"/>
  <c r="AI291" i="1" s="1"/>
  <c r="C58" i="40" s="1"/>
  <c r="F58" i="40" s="1"/>
  <c r="K279" i="1"/>
  <c r="H279" i="1"/>
  <c r="AI279" i="1" s="1"/>
  <c r="C57" i="40" s="1"/>
  <c r="E57" i="40" s="1"/>
  <c r="K274" i="1"/>
  <c r="H274" i="1"/>
  <c r="AI274" i="1" s="1"/>
  <c r="C56" i="40" s="1"/>
  <c r="F56" i="40" s="1"/>
  <c r="K271" i="1"/>
  <c r="H271" i="1"/>
  <c r="AI271" i="1" s="1"/>
  <c r="C55" i="40" s="1"/>
  <c r="E55" i="40" s="1"/>
  <c r="K269" i="1"/>
  <c r="H269" i="1"/>
  <c r="AI269" i="1" s="1"/>
  <c r="C54" i="40" s="1"/>
  <c r="E54" i="40" s="1"/>
  <c r="K266" i="1"/>
  <c r="H266" i="1"/>
  <c r="AI266" i="1" s="1"/>
  <c r="C53" i="40" s="1"/>
  <c r="D53" i="40" s="1"/>
  <c r="F53" i="40" s="1"/>
  <c r="K263" i="1"/>
  <c r="H263" i="1"/>
  <c r="AI263" i="1" s="1"/>
  <c r="C52" i="40" s="1"/>
  <c r="D52" i="40" s="1"/>
  <c r="F52" i="40" s="1"/>
  <c r="K260" i="1"/>
  <c r="H260" i="1"/>
  <c r="AI260" i="1" s="1"/>
  <c r="C51" i="40" s="1"/>
  <c r="D51" i="40" s="1"/>
  <c r="F51" i="40" s="1"/>
  <c r="K257" i="1"/>
  <c r="H257" i="1"/>
  <c r="AI257" i="1" s="1"/>
  <c r="C50" i="40" s="1"/>
  <c r="D50" i="40" s="1"/>
  <c r="K255" i="1"/>
  <c r="H255" i="1"/>
  <c r="AI255" i="1" s="1"/>
  <c r="C49" i="40" s="1"/>
  <c r="E49" i="40" s="1"/>
  <c r="K252" i="1"/>
  <c r="H252" i="1"/>
  <c r="AI252" i="1" s="1"/>
  <c r="C48" i="40" s="1"/>
  <c r="E48" i="40" s="1"/>
  <c r="K248" i="1"/>
  <c r="H248" i="1"/>
  <c r="AI248" i="1" s="1"/>
  <c r="C47" i="40" s="1"/>
  <c r="E47" i="40" s="1"/>
  <c r="K244" i="1"/>
  <c r="H244" i="1"/>
  <c r="AI244" i="1" s="1"/>
  <c r="C46" i="40" s="1"/>
  <c r="E46" i="40" s="1"/>
  <c r="K229" i="1"/>
  <c r="H229" i="1"/>
  <c r="AI229" i="1" s="1"/>
  <c r="C45" i="40" s="1"/>
  <c r="E45" i="40" s="1"/>
  <c r="K227" i="1"/>
  <c r="H227" i="1"/>
  <c r="AI227" i="1" s="1"/>
  <c r="C44" i="40" s="1"/>
  <c r="E44" i="40" s="1"/>
  <c r="K223" i="1"/>
  <c r="H223" i="1"/>
  <c r="AI223" i="1" s="1"/>
  <c r="C43" i="40" s="1"/>
  <c r="E43" i="40" s="1"/>
  <c r="K220" i="1"/>
  <c r="H220" i="1"/>
  <c r="AI220" i="1" s="1"/>
  <c r="C42" i="40" s="1"/>
  <c r="D42" i="40" s="1"/>
  <c r="F42" i="40" s="1"/>
  <c r="K217" i="1"/>
  <c r="H217" i="1"/>
  <c r="AI217" i="1" s="1"/>
  <c r="C41" i="40" s="1"/>
  <c r="E41" i="40" s="1"/>
  <c r="K199" i="1"/>
  <c r="H199" i="1"/>
  <c r="AI199" i="1" s="1"/>
  <c r="C40" i="40" s="1"/>
  <c r="D40" i="40" s="1"/>
  <c r="K194" i="1"/>
  <c r="H194" i="1"/>
  <c r="AI194" i="1" s="1"/>
  <c r="C39" i="40" s="1"/>
  <c r="D39" i="40" s="1"/>
  <c r="K191" i="1"/>
  <c r="H191" i="1"/>
  <c r="AI191" i="1" s="1"/>
  <c r="C38" i="40" s="1"/>
  <c r="D38" i="40" s="1"/>
  <c r="K188" i="1"/>
  <c r="H188" i="1"/>
  <c r="AI188" i="1" s="1"/>
  <c r="C37" i="40" s="1"/>
  <c r="F37" i="40" s="1"/>
  <c r="K185" i="1"/>
  <c r="H185" i="1"/>
  <c r="AI185" i="1" s="1"/>
  <c r="C36" i="40" s="1"/>
  <c r="E36" i="40" s="1"/>
  <c r="K183" i="1"/>
  <c r="H183" i="1"/>
  <c r="AI183" i="1" s="1"/>
  <c r="C35" i="40" s="1"/>
  <c r="E35" i="40" s="1"/>
  <c r="K180" i="1"/>
  <c r="H180" i="1"/>
  <c r="AI180" i="1" s="1"/>
  <c r="C34" i="40" s="1"/>
  <c r="D34" i="40" s="1"/>
  <c r="K176" i="1"/>
  <c r="H176" i="1"/>
  <c r="AI176" i="1" s="1"/>
  <c r="C33" i="40" s="1"/>
  <c r="D33" i="40" s="1"/>
  <c r="F33" i="40" s="1"/>
  <c r="K174" i="1"/>
  <c r="H174" i="1"/>
  <c r="AI174" i="1" s="1"/>
  <c r="C32" i="40" s="1"/>
  <c r="E32" i="40" s="1"/>
  <c r="K172" i="1"/>
  <c r="H172" i="1"/>
  <c r="AI172" i="1" s="1"/>
  <c r="C31" i="40" s="1"/>
  <c r="D31" i="40" s="1"/>
  <c r="K170" i="1"/>
  <c r="H170" i="1"/>
  <c r="AI170" i="1" s="1"/>
  <c r="C30" i="40" s="1"/>
  <c r="E30" i="40" s="1"/>
  <c r="K168" i="1"/>
  <c r="H168" i="1"/>
  <c r="AI168" i="1" s="1"/>
  <c r="C29" i="40" s="1"/>
  <c r="D29" i="40" s="1"/>
  <c r="K153" i="1"/>
  <c r="H153" i="1"/>
  <c r="AI153" i="1" s="1"/>
  <c r="C28" i="40" s="1"/>
  <c r="D28" i="40" s="1"/>
  <c r="K151" i="1"/>
  <c r="H151" i="1"/>
  <c r="K145" i="1"/>
  <c r="H145" i="1"/>
  <c r="AI145" i="1" s="1"/>
  <c r="C26" i="40" s="1"/>
  <c r="E26" i="40" s="1"/>
  <c r="K142" i="1"/>
  <c r="H142" i="1"/>
  <c r="AI142" i="1" s="1"/>
  <c r="C25" i="40" s="1"/>
  <c r="F25" i="40" s="1"/>
  <c r="K131" i="1"/>
  <c r="H131" i="1"/>
  <c r="AI131" i="1" s="1"/>
  <c r="C24" i="40" s="1"/>
  <c r="F24" i="40" s="1"/>
  <c r="K125" i="1"/>
  <c r="H125" i="1"/>
  <c r="AI125" i="1" s="1"/>
  <c r="C23" i="40" s="1"/>
  <c r="E23" i="40" s="1"/>
  <c r="K121" i="1"/>
  <c r="H121" i="1"/>
  <c r="AI121" i="1" s="1"/>
  <c r="C22" i="40" s="1"/>
  <c r="E22" i="40" s="1"/>
  <c r="K119" i="1"/>
  <c r="H119" i="1"/>
  <c r="AI119" i="1" s="1"/>
  <c r="C21" i="40" s="1"/>
  <c r="D21" i="40" s="1"/>
  <c r="F21" i="40" s="1"/>
  <c r="K117" i="1"/>
  <c r="H117" i="1"/>
  <c r="AI117" i="1" s="1"/>
  <c r="C20" i="40" s="1"/>
  <c r="D20" i="40" s="1"/>
  <c r="F20" i="40" s="1"/>
  <c r="K111" i="1"/>
  <c r="H111" i="1"/>
  <c r="AI111" i="1" s="1"/>
  <c r="C19" i="40" s="1"/>
  <c r="E19" i="40" s="1"/>
  <c r="K104" i="1"/>
  <c r="H104" i="1"/>
  <c r="AI104" i="1" s="1"/>
  <c r="C18" i="40" s="1"/>
  <c r="F18" i="40" s="1"/>
  <c r="K99" i="1"/>
  <c r="H99" i="1"/>
  <c r="AI99" i="1" s="1"/>
  <c r="C17" i="40" s="1"/>
  <c r="D17" i="40" s="1"/>
  <c r="K97" i="1"/>
  <c r="H97" i="1"/>
  <c r="AI97" i="1" s="1"/>
  <c r="C16" i="40" s="1"/>
  <c r="K95" i="1"/>
  <c r="H95" i="1"/>
  <c r="AI95" i="1" s="1"/>
  <c r="C15" i="40" s="1"/>
  <c r="D15" i="40" s="1"/>
  <c r="K82" i="1"/>
  <c r="H82" i="1"/>
  <c r="AI82" i="1" s="1"/>
  <c r="C14" i="40" s="1"/>
  <c r="F14" i="40" s="1"/>
  <c r="K63" i="1"/>
  <c r="H63" i="1"/>
  <c r="AI63" i="1" s="1"/>
  <c r="C13" i="40" s="1"/>
  <c r="E13" i="40" s="1"/>
  <c r="K60" i="1"/>
  <c r="H60" i="1"/>
  <c r="AI60" i="1" s="1"/>
  <c r="C12" i="40" s="1"/>
  <c r="E12" i="40" s="1"/>
  <c r="K43" i="1"/>
  <c r="H43" i="1"/>
  <c r="AI43" i="1" s="1"/>
  <c r="C11" i="40" s="1"/>
  <c r="E11" i="40" s="1"/>
  <c r="K30" i="1"/>
  <c r="H30" i="1"/>
  <c r="AI30" i="1" s="1"/>
  <c r="C10" i="40" s="1"/>
  <c r="E10" i="40" s="1"/>
  <c r="K24" i="1"/>
  <c r="H24" i="1"/>
  <c r="AI24" i="1" s="1"/>
  <c r="C9" i="40" s="1"/>
  <c r="E9" i="40" s="1"/>
  <c r="K22" i="1"/>
  <c r="H22" i="1"/>
  <c r="AI22" i="1" s="1"/>
  <c r="C8" i="40" s="1"/>
  <c r="E8" i="40" s="1"/>
  <c r="K18" i="1"/>
  <c r="H18" i="1"/>
  <c r="AI18" i="1" s="1"/>
  <c r="C7" i="40" s="1"/>
  <c r="E7" i="40" s="1"/>
  <c r="K4" i="1"/>
  <c r="H4" i="1"/>
  <c r="B7" i="93" l="1"/>
  <c r="O8" i="93"/>
  <c r="O7" i="93"/>
  <c r="D44" i="40"/>
  <c r="F15" i="40"/>
  <c r="F79" i="40"/>
  <c r="D36" i="40"/>
  <c r="F36" i="40" s="1"/>
  <c r="F57" i="40"/>
  <c r="E79" i="40"/>
  <c r="E65" i="40"/>
  <c r="E29" i="40"/>
  <c r="D56" i="40"/>
  <c r="F50" i="40"/>
  <c r="D22" i="40"/>
  <c r="F22" i="40" s="1"/>
  <c r="D70" i="40"/>
  <c r="F64" i="40"/>
  <c r="D78" i="40"/>
  <c r="F78" i="40" s="1"/>
  <c r="I20" i="40"/>
  <c r="E40" i="40"/>
  <c r="D58" i="40"/>
  <c r="E33" i="40"/>
  <c r="E67" i="40"/>
  <c r="D30" i="40"/>
  <c r="F30" i="40" s="1"/>
  <c r="D77" i="40"/>
  <c r="E83" i="40"/>
  <c r="E56" i="40"/>
  <c r="E15" i="40"/>
  <c r="E51" i="40"/>
  <c r="E28" i="40"/>
  <c r="F44" i="40"/>
  <c r="D19" i="40"/>
  <c r="F19" i="40" s="1"/>
  <c r="E58" i="40"/>
  <c r="D82" i="40"/>
  <c r="F82" i="40" s="1"/>
  <c r="D64" i="40"/>
  <c r="E50" i="40"/>
  <c r="E16" i="40"/>
  <c r="D57" i="40"/>
  <c r="D60" i="40"/>
  <c r="D37" i="40"/>
  <c r="E39" i="40"/>
  <c r="F28" i="40"/>
  <c r="E52" i="40"/>
  <c r="E24" i="40"/>
  <c r="AI4" i="1"/>
  <c r="C6" i="40" s="1"/>
  <c r="E6" i="40" s="1"/>
  <c r="D45" i="40"/>
  <c r="E34" i="40"/>
  <c r="F12" i="40"/>
  <c r="D16" i="40"/>
  <c r="F16" i="40" s="1"/>
  <c r="D46" i="40"/>
  <c r="E80" i="40"/>
  <c r="F41" i="40"/>
  <c r="F45" i="40"/>
  <c r="F34" i="40"/>
  <c r="D47" i="40"/>
  <c r="F38" i="40"/>
  <c r="D32" i="40"/>
  <c r="F32" i="40" s="1"/>
  <c r="D76" i="40"/>
  <c r="D23" i="40"/>
  <c r="F23" i="40" s="1"/>
  <c r="D25" i="40"/>
  <c r="D80" i="40"/>
  <c r="F80" i="40" s="1"/>
  <c r="D14" i="40"/>
  <c r="D73" i="40"/>
  <c r="F73" i="40" s="1"/>
  <c r="D13" i="40"/>
  <c r="E20" i="40"/>
  <c r="E77" i="40"/>
  <c r="E31" i="40"/>
  <c r="D49" i="40"/>
  <c r="F49" i="40" s="1"/>
  <c r="D62" i="40"/>
  <c r="F62" i="40" s="1"/>
  <c r="D9" i="40"/>
  <c r="F9" i="40" s="1"/>
  <c r="F13" i="40"/>
  <c r="E71" i="40"/>
  <c r="D69" i="40"/>
  <c r="D83" i="40"/>
  <c r="F83" i="40" s="1"/>
  <c r="F29" i="40"/>
  <c r="E42" i="40"/>
  <c r="E37" i="40"/>
  <c r="E21" i="40"/>
  <c r="D48" i="40"/>
  <c r="F48" i="40" s="1"/>
  <c r="D72" i="40"/>
  <c r="F40" i="40"/>
  <c r="F46" i="40"/>
  <c r="F70" i="40"/>
  <c r="E53" i="40"/>
  <c r="E14" i="40"/>
  <c r="E61" i="40"/>
  <c r="E72" i="40"/>
  <c r="F76" i="40"/>
  <c r="F31" i="40"/>
  <c r="D18" i="40"/>
  <c r="D24" i="40"/>
  <c r="D55" i="40"/>
  <c r="D54" i="40"/>
  <c r="F54" i="40" s="1"/>
  <c r="F10" i="40"/>
  <c r="E68" i="40"/>
  <c r="F39" i="40"/>
  <c r="F69" i="40"/>
  <c r="F47" i="40"/>
  <c r="F68" i="40"/>
  <c r="F55" i="40"/>
  <c r="E25" i="40"/>
  <c r="E74" i="40"/>
  <c r="D59" i="40"/>
  <c r="D12" i="40"/>
  <c r="D75" i="40"/>
  <c r="F75" i="40" s="1"/>
  <c r="E18" i="40"/>
  <c r="E59" i="40"/>
  <c r="D81" i="40"/>
  <c r="D10" i="40"/>
  <c r="F81" i="40"/>
  <c r="E60" i="40"/>
  <c r="F74" i="40"/>
  <c r="E38" i="40"/>
  <c r="D35" i="40"/>
  <c r="F35" i="40" s="1"/>
  <c r="D66" i="40"/>
  <c r="F66" i="40" s="1"/>
  <c r="F61" i="40"/>
  <c r="D11" i="40"/>
  <c r="F11" i="40" s="1"/>
  <c r="D41" i="40"/>
  <c r="D7" i="40"/>
  <c r="F7" i="40" s="1"/>
  <c r="D8" i="40"/>
  <c r="F8" i="40" s="1"/>
  <c r="D43" i="40"/>
  <c r="F43" i="40" s="1"/>
  <c r="F17" i="40"/>
  <c r="E17" i="40"/>
  <c r="D26" i="40"/>
  <c r="F26" i="40" s="1"/>
  <c r="F63" i="40"/>
  <c r="E63" i="40"/>
  <c r="AI151" i="1"/>
  <c r="C27" i="40" s="1"/>
  <c r="D27" i="40" l="1"/>
  <c r="F27" i="40" s="1"/>
  <c r="E27" i="40"/>
  <c r="C84" i="40"/>
  <c r="E84" i="40" s="1"/>
  <c r="D6" i="40"/>
  <c r="F6" i="40" s="1"/>
  <c r="I8" i="40" l="1"/>
  <c r="I21" i="40" s="1"/>
  <c r="D84" i="40"/>
  <c r="I9" i="40" s="1"/>
  <c r="I10" i="40" l="1"/>
  <c r="I22" i="40"/>
  <c r="I23"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<sst xmlns="http://schemas.openxmlformats.org/spreadsheetml/2006/main" count="8007" uniqueCount="1275">
  <si>
    <t>Profit Center</t>
  </si>
  <si>
    <t>Client Number</t>
  </si>
  <si>
    <t>Altair Unique Code</t>
  </si>
  <si>
    <t>Name</t>
  </si>
  <si>
    <t>Accounting Doc Number</t>
  </si>
  <si>
    <t>Referenc Document No.</t>
  </si>
  <si>
    <t>Doc Currency</t>
  </si>
  <si>
    <t>Remaining Amount</t>
  </si>
  <si>
    <t>Due Date</t>
  </si>
  <si>
    <t>Aging</t>
  </si>
  <si>
    <t>Original Amount</t>
  </si>
  <si>
    <t>Document Date</t>
  </si>
  <si>
    <t>HFM Named Client</t>
  </si>
  <si>
    <t>Document type</t>
  </si>
  <si>
    <t>Document type Desc</t>
  </si>
  <si>
    <t>Invoice Reference</t>
  </si>
  <si>
    <t>Assignment Number</t>
  </si>
  <si>
    <t>Currency Key</t>
  </si>
  <si>
    <t>Current</t>
  </si>
  <si>
    <t>Ovd 0-30 d.</t>
  </si>
  <si>
    <t>Ovd 31-60 d.</t>
  </si>
  <si>
    <t>Ovd 61-90 d.</t>
  </si>
  <si>
    <t>Ovd 91-120 d.</t>
  </si>
  <si>
    <t>Over 120 d.</t>
  </si>
  <si>
    <t>Total overdues</t>
  </si>
  <si>
    <t>Doubtful</t>
  </si>
  <si>
    <t>Text</t>
  </si>
  <si>
    <t>HFM BS Entity</t>
  </si>
  <si>
    <t>HFM BS Entity Descr</t>
  </si>
  <si>
    <t>Group GL Account</t>
  </si>
  <si>
    <t>Total BS (Receivables)</t>
  </si>
  <si>
    <t>Group Currency Amount</t>
  </si>
  <si>
    <t>PO</t>
  </si>
  <si>
    <t>M1140101</t>
  </si>
  <si>
    <t>(M11)(M11)100108890</t>
  </si>
  <si>
    <t>259 WORTH AVENUE HOLDINGS INC</t>
  </si>
  <si>
    <t>M11IN26-00007434</t>
  </si>
  <si>
    <t>USD</t>
  </si>
  <si>
    <t>ACCOR</t>
  </si>
  <si>
    <t>ZM</t>
  </si>
  <si>
    <t>Media Interface</t>
  </si>
  <si>
    <t>STARSCAP_MENA</t>
  </si>
  <si>
    <t>AED</t>
  </si>
  <si>
    <t>FAIRMONT CENTURY PLAZA -ALWAYS ON 2026</t>
  </si>
  <si>
    <t>AE8860</t>
  </si>
  <si>
    <t>Publicis Media Executive UAE</t>
  </si>
  <si>
    <t>CA200</t>
  </si>
  <si>
    <t>M11IN26-00010064</t>
  </si>
  <si>
    <t>(M11)(M11)100103956</t>
  </si>
  <si>
    <t>ACCOR LUXURY MEA FZ LLC</t>
  </si>
  <si>
    <t>fairmont-global-awareness-phase 2-2025</t>
  </si>
  <si>
    <t>AM11IN26-0005430</t>
  </si>
  <si>
    <t>FAIRMONT WINTER 2025</t>
  </si>
  <si>
    <t>M11IN26-00009591</t>
  </si>
  <si>
    <t>M11IN26-00009686</t>
  </si>
  <si>
    <t>AM11IN25-0028420</t>
  </si>
  <si>
    <t>FAIRMONT SUMMER INDIA 2025</t>
  </si>
  <si>
    <t>AM11IN25-0028416</t>
  </si>
  <si>
    <t>RAFFLES GLOBAL AWARENESS INDIA 2025</t>
  </si>
  <si>
    <t>AM11IN25-0030077</t>
  </si>
  <si>
    <t>FAIRMONT GLOBAL AWARENESS 2025</t>
  </si>
  <si>
    <t>AM11CN25-0002624</t>
  </si>
  <si>
    <t>V</t>
  </si>
  <si>
    <t>AM11IN25-0033173</t>
  </si>
  <si>
    <t>AM11CN25-0002625</t>
  </si>
  <si>
    <t>AM11IN25-0033174</t>
  </si>
  <si>
    <t>AM11CN25-0002628</t>
  </si>
  <si>
    <t>AM11IN25-0033447</t>
  </si>
  <si>
    <t>AM11IN25-0035327</t>
  </si>
  <si>
    <t>AM11IN25-0035328</t>
  </si>
  <si>
    <t>AM11IN25-0036268</t>
  </si>
  <si>
    <t>(M11)(M11)100103260</t>
  </si>
  <si>
    <t>ACCOR MANAGEMENT US INC</t>
  </si>
  <si>
    <t>M11IN26-00007232</t>
  </si>
  <si>
    <t>ACCOR_FAIRMONT_WINTER OCT_MAR</t>
  </si>
  <si>
    <t>M11IN26-00007261</t>
  </si>
  <si>
    <t>Fairmont Summer Campaign 2025</t>
  </si>
  <si>
    <t>AM11IN26-0007586</t>
  </si>
  <si>
    <t>FAIRMONT KM WELLNESS 2025</t>
  </si>
  <si>
    <t>(M11)(M11)100108092</t>
  </si>
  <si>
    <t>ACCOR MANAGEMENT US INC.</t>
  </si>
  <si>
    <t>M11IN26-00009428</t>
  </si>
  <si>
    <t>Raffles Global Awareness 2025 Phase - 2</t>
  </si>
  <si>
    <t>(M11)(M11)100113182</t>
  </si>
  <si>
    <t>AL BURJ AL ALAMIAH FOR HOTEL</t>
  </si>
  <si>
    <t>M11IN26-00001278</t>
  </si>
  <si>
    <t>FAIRMONT MAKKAH - ALWAYS ON 2025</t>
  </si>
  <si>
    <t>M11IN26-00001481</t>
  </si>
  <si>
    <t>M11IN26-00007392</t>
  </si>
  <si>
    <t>FAIRMONT MAKKAH ALWAYS ON 2026</t>
  </si>
  <si>
    <t>(M11)(M11)100113370</t>
  </si>
  <si>
    <t>AL BURJ AL ALAMIAH FOR REAL ESTATE</t>
  </si>
  <si>
    <t>M11IN26-00001318</t>
  </si>
  <si>
    <t>RAFFLES MAKKAH PALACE - ALWAYS ON 2025</t>
  </si>
  <si>
    <t>M11IN26-00001503</t>
  </si>
  <si>
    <t>M11IN26-00008842</t>
  </si>
  <si>
    <t>RAFFLES MAKKAH PALACE - ALWAYS ON 2026</t>
  </si>
  <si>
    <t>M11IN25-00011178</t>
  </si>
  <si>
    <t>RAFFLES_ALWAYS ON_Makkah</t>
  </si>
  <si>
    <t>M11IN25-00011179</t>
  </si>
  <si>
    <t>RAFFLES_ALWAYS ON_Makkah_NON UAE</t>
  </si>
  <si>
    <t>M11IN25-00011180</t>
  </si>
  <si>
    <t>RAFFLES_SEARCH_Makkah_UAE</t>
  </si>
  <si>
    <t>M11IN25-00011663</t>
  </si>
  <si>
    <t>M11IN25-00017445</t>
  </si>
  <si>
    <t>M11IN25-00024539</t>
  </si>
  <si>
    <t>M11IN25-00025504</t>
  </si>
  <si>
    <t>M11IN25-00027256</t>
  </si>
  <si>
    <t>M11IN25-00032372</t>
  </si>
  <si>
    <t>(M11)(M11)100114715</t>
  </si>
  <si>
    <t>ALI MAKATI HOTEL PROPERTY, INC.</t>
  </si>
  <si>
    <t>M11IN26-00001335</t>
  </si>
  <si>
    <t>FAIRMONT MAKATI - ALWAYS ON 2025</t>
  </si>
  <si>
    <t>M11IN26-00001920</t>
  </si>
  <si>
    <t>M11IN26-00007397</t>
  </si>
  <si>
    <t>FAIRMONT MAKATI ALWAYS ON 2026</t>
  </si>
  <si>
    <t>M11IN26-00009992</t>
  </si>
  <si>
    <t>M11IN25-00012997</t>
  </si>
  <si>
    <t>FAIRMONT_ALWAYS ON_FAIRMONT Makati_NON UAE</t>
  </si>
  <si>
    <t>M11IN25-00012999</t>
  </si>
  <si>
    <t>FAIRMONT_ALWAYS ON_FAIRMONT Makati</t>
  </si>
  <si>
    <t>M11IN25-00013001</t>
  </si>
  <si>
    <t>M11IN25-00013262</t>
  </si>
  <si>
    <t>M11IN25-00013326</t>
  </si>
  <si>
    <t>M11IN25-00016143</t>
  </si>
  <si>
    <t>M11IN25-00018245</t>
  </si>
  <si>
    <t>M11CN25-00001678</t>
  </si>
  <si>
    <t>M11IN25-00023923</t>
  </si>
  <si>
    <t>M11IN25-00024541</t>
  </si>
  <si>
    <t>M11IN25-00027708</t>
  </si>
  <si>
    <t>M11IN25-00032376</t>
  </si>
  <si>
    <t>(M11)(M11)100114688</t>
  </si>
  <si>
    <t>AZINKO DEVELOPMENT LLC</t>
  </si>
  <si>
    <t>M11IN26-00001478</t>
  </si>
  <si>
    <t>FAIRMONT BAKU - ALWAYS ON 2025</t>
  </si>
  <si>
    <t>M11IN26-00008840</t>
  </si>
  <si>
    <t>FAIRMONT BAKU - ALWAYS ON 2026</t>
  </si>
  <si>
    <t>(M11)(M11)100111676</t>
  </si>
  <si>
    <t>B 2 B HOTELS &amp; PROPERTIES LLC</t>
  </si>
  <si>
    <t>M11IN26-00001256</t>
  </si>
  <si>
    <t>FAIRMONT BAB AL BAHR ALWAYS ON 2025</t>
  </si>
  <si>
    <t>M11IN25-00005891</t>
  </si>
  <si>
    <t>FAIRMONT_ALWAYS ON_FAIRMONT Bab Al Bahr_NON UAE</t>
  </si>
  <si>
    <t>M11IN25-00005893</t>
  </si>
  <si>
    <t>FAIRMONT_ALWAYS ON_FAIRMONT Bab Al Bahr</t>
  </si>
  <si>
    <t>M11IN25-00005894</t>
  </si>
  <si>
    <t>FAIRMONT_SEARCH_FAIRMONT Bab Al Bahr_UAE</t>
  </si>
  <si>
    <t>M11IN26-00006212</t>
  </si>
  <si>
    <t>M11IN26-00006818</t>
  </si>
  <si>
    <t>FAIRMONT BAB AL BAHR ALWAYS ON 2026</t>
  </si>
  <si>
    <t>M11IN25-00009825</t>
  </si>
  <si>
    <t>M11IN25-00009996</t>
  </si>
  <si>
    <t>M11IN26-00010145</t>
  </si>
  <si>
    <t>M11IN25-00011222</t>
  </si>
  <si>
    <t>M11IN25-00013457</t>
  </si>
  <si>
    <t>M11IN25-00015918</t>
  </si>
  <si>
    <t>M11IN25-00018234</t>
  </si>
  <si>
    <t>M11CN25-00001647</t>
  </si>
  <si>
    <t>M11IN25-00023991</t>
  </si>
  <si>
    <t>M11IN25-00024906</t>
  </si>
  <si>
    <t>M11IN25-00027802</t>
  </si>
  <si>
    <t>M11IN25-00033025</t>
  </si>
  <si>
    <t>(M11)(M11)100108821</t>
  </si>
  <si>
    <t>BAB AL BAHR HOSPITALITY</t>
  </si>
  <si>
    <t>M11IN26-00000943</t>
  </si>
  <si>
    <t>FAIRMONT LA MARINA MOROCCO - ALWAYS ON 2025</t>
  </si>
  <si>
    <t>M11IN26-00001502</t>
  </si>
  <si>
    <t>M11IN25-00004773</t>
  </si>
  <si>
    <t>FAIRMONT_ALWAYS ON_ LA MARINA RABAT SALE HOTEL</t>
  </si>
  <si>
    <t>M11IN26-00007440</t>
  </si>
  <si>
    <t>FAIRMONT LA MARINA MOROCCO ALWAYS ON 2026</t>
  </si>
  <si>
    <t>M11IN25-00009813</t>
  </si>
  <si>
    <t>M11IN25-00013236</t>
  </si>
  <si>
    <t>M11IN25-00013456</t>
  </si>
  <si>
    <t>M11IN25-00018230</t>
  </si>
  <si>
    <t>M11IN25-00019177</t>
  </si>
  <si>
    <t>M11IN25-00023949</t>
  </si>
  <si>
    <t>M11IN25-00027498</t>
  </si>
  <si>
    <t>M11IN25-00032601</t>
  </si>
  <si>
    <t>(M11)(M11)100112183</t>
  </si>
  <si>
    <t>BDC (EMPRESS HOTEL) INVESTMENT</t>
  </si>
  <si>
    <t>M11IN26-00009994</t>
  </si>
  <si>
    <t>FAIRMONT EMPRESS ALWAYS ON 2026</t>
  </si>
  <si>
    <t>(M11)(M11)100114302</t>
  </si>
  <si>
    <t>Beachcomber Hotel SA</t>
  </si>
  <si>
    <t>M11IN26-00008779</t>
  </si>
  <si>
    <t>Fairmont Royal Palm Marrakech - Always Onn 2026</t>
  </si>
  <si>
    <t>(M11)(M11)100114967</t>
  </si>
  <si>
    <t>BELMULLET HOSPITALITY GROUP LTD</t>
  </si>
  <si>
    <t>M11IN26-00001648</t>
  </si>
  <si>
    <t>FAIRMONT CARTON HOUSE - ALWAYS ON 2025</t>
  </si>
  <si>
    <t>M11IN26-00006110</t>
  </si>
  <si>
    <t>M11IN26-00007441</t>
  </si>
  <si>
    <t>FAIRMONT CARTON HOUSE ALWAYS ON 2026</t>
  </si>
  <si>
    <t>M11IN25-00032378</t>
  </si>
  <si>
    <t>(M11)(M11)100113198</t>
  </si>
  <si>
    <t>BREAKERS MASTER TENANT LLC</t>
  </si>
  <si>
    <t>M11IN26-00005741</t>
  </si>
  <si>
    <t>Fairmont Breakers Long Beach AO 2025</t>
  </si>
  <si>
    <t>M11IN26-00006342</t>
  </si>
  <si>
    <t>FAIRMONT LONG BEACH TACTICAL 2025</t>
  </si>
  <si>
    <t>M11IN26-00008495</t>
  </si>
  <si>
    <t>M11IN26-00008496</t>
  </si>
  <si>
    <t>M11IN26-00008967</t>
  </si>
  <si>
    <t>Fairmont Breakers Long Beach AO 2026</t>
  </si>
  <si>
    <t>M11IN26-00009441</t>
  </si>
  <si>
    <t>(M11)(M11)100113889</t>
  </si>
  <si>
    <t>CANADIAN RESORT HOTELS</t>
  </si>
  <si>
    <t>AMT 2,152.49</t>
  </si>
  <si>
    <t>CP</t>
  </si>
  <si>
    <t>FI-AR payment</t>
  </si>
  <si>
    <t>Posted as on account against pay amt 2,152.49</t>
  </si>
  <si>
    <t>AMT 66,631.51</t>
  </si>
  <si>
    <t>GC</t>
  </si>
  <si>
    <t>Clearing Documents</t>
  </si>
  <si>
    <t>Rem amt posted as on acc against pay amt 66,631.51</t>
  </si>
  <si>
    <t>M11IN26-00006817</t>
  </si>
  <si>
    <t>FAIRMONT CHATEAU LAKE LOUISE ALWAYS ON 2026</t>
  </si>
  <si>
    <t>M11IN26-00008843</t>
  </si>
  <si>
    <t>FAIRMONT JASPER PARK LODGE - ALWAYS ON 2026</t>
  </si>
  <si>
    <t>M11IN26-00009833</t>
  </si>
  <si>
    <t>FAIRMONT BANFF SPRINGS TACTICAL 2025</t>
  </si>
  <si>
    <t>(M11)(M11)100111711</t>
  </si>
  <si>
    <t>CAPE GRACE HOTEL PTY LTD</t>
  </si>
  <si>
    <t>M11IN26-00006810</t>
  </si>
  <si>
    <t>FAIRMONT CAPE GRACE ALWAYS ON 2026</t>
  </si>
  <si>
    <t>(M11)(M11)100114939</t>
  </si>
  <si>
    <t>CAPITAL HOTEL GP INC</t>
  </si>
  <si>
    <t>M11IN26-00008787</t>
  </si>
  <si>
    <t>Fairmont Chateau Laurier - ALWAYS ON 2026</t>
  </si>
  <si>
    <t>(M11)(M11)100111597</t>
  </si>
  <si>
    <t>CCFH MAUI LLC</t>
  </si>
  <si>
    <t>M11IN26-00008960</t>
  </si>
  <si>
    <t>Fairmont Kea Lani Tactical 2025</t>
  </si>
  <si>
    <t>M11IN26-00009244</t>
  </si>
  <si>
    <t>M11IN26-00010065</t>
  </si>
  <si>
    <t>FAIRMONT KEA LANI ALWAYS ON 2026</t>
  </si>
  <si>
    <t>(M11)(M11)100117570</t>
  </si>
  <si>
    <t>CDL HBT OCEANIC MALDIVES PVT LTD</t>
  </si>
  <si>
    <t>M11CN26-00001076</t>
  </si>
  <si>
    <t>M11IN25-00028390</t>
  </si>
  <si>
    <t>RAFFLES MALDIVES MERADHOO RESORT - ALWAYS ON 20</t>
  </si>
  <si>
    <t>M11IN25-00028391</t>
  </si>
  <si>
    <t>RAFFLES MALDIVES TACTICAL 2025</t>
  </si>
  <si>
    <t>AM11IN25-0030426</t>
  </si>
  <si>
    <t>M11IN25-00030427</t>
  </si>
  <si>
    <t>(M11)(M11)100108810</t>
  </si>
  <si>
    <t>CG MADISON KENYA LIMITED</t>
  </si>
  <si>
    <t>M11IN26-00000945</t>
  </si>
  <si>
    <t>FAIRMONT MARA SAFARI CLUB KENYA - ALWAYS ON 202</t>
  </si>
  <si>
    <t>M11IN26-00001254</t>
  </si>
  <si>
    <t>FAIRMONT NORFOLK - ALWAYS ON 2025</t>
  </si>
  <si>
    <t>M11IN26-00001508</t>
  </si>
  <si>
    <t>M11IN26-00001915</t>
  </si>
  <si>
    <t>M11IN26-00007438</t>
  </si>
  <si>
    <t>FAIRMONT NORFOLK ALWAYS ON 2026</t>
  </si>
  <si>
    <t>M11IN26-00007446</t>
  </si>
  <si>
    <t>M11IN26-00010140</t>
  </si>
  <si>
    <t>M11IN26-00010141</t>
  </si>
  <si>
    <t>M11IN25-00032602</t>
  </si>
  <si>
    <t>M11IN25-00033507</t>
  </si>
  <si>
    <t>(M11)(M11)100112031</t>
  </si>
  <si>
    <t>CHÂTEAU M.T. INC</t>
  </si>
  <si>
    <t>M11IN26-00009436</t>
  </si>
  <si>
    <t>FAIRMONT TREMBLANT - ALWAYS ON 2025</t>
  </si>
  <si>
    <t>M11IN26-00010001</t>
  </si>
  <si>
    <t>(M11)(M11)100111868</t>
  </si>
  <si>
    <t>ESJ RESORT LLC</t>
  </si>
  <si>
    <t>AMT 34,996.38</t>
  </si>
  <si>
    <t>9700014974</t>
  </si>
  <si>
    <t>Partial Allocation USD 34,996.38</t>
  </si>
  <si>
    <t>AMT 23,459.09</t>
  </si>
  <si>
    <t>9700034911</t>
  </si>
  <si>
    <t>Partial Allocation USD 23,459.09</t>
  </si>
  <si>
    <t>M11IN25-00005778</t>
  </si>
  <si>
    <t>FAIRMONT_ALWAYS ON_FAIRMONT San Juan_NON UAE</t>
  </si>
  <si>
    <t>M11IN26-00006808</t>
  </si>
  <si>
    <t>FAIRMONT EL SAN JUAN - ALWAYS ON 2026</t>
  </si>
  <si>
    <t>M11IN25-00013510</t>
  </si>
  <si>
    <t>FAIRMONT EL SAN JUAN - ALWAYS ON 2025</t>
  </si>
  <si>
    <t>(M11)(M11)100112490</t>
  </si>
  <si>
    <t>FAIRMONT HOTEL MACDONALD</t>
  </si>
  <si>
    <t>M11IN26-00010125</t>
  </si>
  <si>
    <t>FAIRMONT HOTEL MACDONALD ALWAYS ON 2026</t>
  </si>
  <si>
    <t>(M11)(M11)100106219</t>
  </si>
  <si>
    <t>FAIRMONT HOTEL THE - PALM - FZE</t>
  </si>
  <si>
    <t>M11IN26-00001599</t>
  </si>
  <si>
    <t>FAIRMONT THE PALM DUBAI - ALWAYS ON 2025</t>
  </si>
  <si>
    <t>M11IN26-00001912</t>
  </si>
  <si>
    <t>M11IN25-00004463</t>
  </si>
  <si>
    <t>FAIRMONT_ALWAYS ON_FAIRMONT Palm Dubai_NON UAE</t>
  </si>
  <si>
    <t>M11IN25-00004464</t>
  </si>
  <si>
    <t>FAIRMONT_ALWAYS ON_FAIRMONT Palm Dubai_UAE</t>
  </si>
  <si>
    <t>M11IN25-00004466</t>
  </si>
  <si>
    <t>FAIRMONT_ALWAYS ON_The Palm Dubai</t>
  </si>
  <si>
    <t>M11IN26-00006815</t>
  </si>
  <si>
    <t>FAIRMONT THE PALM DUBAI ALWAYS ON 2026</t>
  </si>
  <si>
    <t>M11IN25-00012193</t>
  </si>
  <si>
    <t>M11IN25-00013195</t>
  </si>
  <si>
    <t>M11IN25-00013451</t>
  </si>
  <si>
    <t>M11IN25-00016140</t>
  </si>
  <si>
    <t>M11IN25-00018141</t>
  </si>
  <si>
    <t>M11IN25-00023973</t>
  </si>
  <si>
    <t>M11IN25-00027495</t>
  </si>
  <si>
    <t>M11IN25-00032486</t>
  </si>
  <si>
    <t>(M11)(M11)100108939</t>
  </si>
  <si>
    <t>Fairmont Nile City</t>
  </si>
  <si>
    <t>M11IN26-00010062</t>
  </si>
  <si>
    <t>FAIRMONT NILE CITY ALWAYS ON 2026</t>
  </si>
  <si>
    <t>(M11)(M11)100108737</t>
  </si>
  <si>
    <t>FAIRMONT PACIFIC RIM HOTEL</t>
  </si>
  <si>
    <t>M11IN26-00010020</t>
  </si>
  <si>
    <t>FAIRMONT PACIFIC RIM ALWAYS ON 2026</t>
  </si>
  <si>
    <t>(M11)(M11)100114999</t>
  </si>
  <si>
    <t>FAIRMONT RAMLA SERVICED RESIDENCES</t>
  </si>
  <si>
    <t>M11IN26-00010224</t>
  </si>
  <si>
    <t>FAIRMONT RAMLA RIYADH - ALWAYS ON 2026</t>
  </si>
  <si>
    <t>(M11)(M11)100114519</t>
  </si>
  <si>
    <t>Fairmont Waterfront</t>
  </si>
  <si>
    <t>M11IN26-00008979</t>
  </si>
  <si>
    <t>FAIRMONT WATERFRONT - ALWAYS ON 2026</t>
  </si>
  <si>
    <t>(M11)(M11)100120310</t>
  </si>
  <si>
    <t>FLAME HOTEL OPCO SLU</t>
  </si>
  <si>
    <t>M11IN26-00009618</t>
  </si>
  <si>
    <t>Fairmont La Hacienda 2025</t>
  </si>
  <si>
    <t>AM11IN26-0010005</t>
  </si>
  <si>
    <t>Fairmont La Hacienda Costa Del Sol - Paid Searc</t>
  </si>
  <si>
    <t>M11IN26-00010024</t>
  </si>
  <si>
    <t>FAIRMONT LA HACIENDA COSTA DEL SOL ALWAYS ON 20</t>
  </si>
  <si>
    <t>(M11)(M11)100108769</t>
  </si>
  <si>
    <t>FMDR OPERATING CO LLC</t>
  </si>
  <si>
    <t>M11IN26-00009066</t>
  </si>
  <si>
    <t>Fairmont Grand Del Mar Tactical</t>
  </si>
  <si>
    <t>M11IN26-00009997</t>
  </si>
  <si>
    <t>FAIRMONT GRAND DEL MAR -ALWAYS ON 2026</t>
  </si>
  <si>
    <t>(M11)(M11)100115215</t>
  </si>
  <si>
    <t>FRONTENAC HOTEL LP</t>
  </si>
  <si>
    <t>M11IN26-00007388</t>
  </si>
  <si>
    <t>FAIRMONT LE CHATEAU FRONTENAC ALWAYS ON 2026</t>
  </si>
  <si>
    <t>(M11)(M11)100120687</t>
  </si>
  <si>
    <t>GELEX GROUP JOINT STOCK COMPANY</t>
  </si>
  <si>
    <t>AM11IN26-0002268</t>
  </si>
  <si>
    <t>FAIRMONT HANOI</t>
  </si>
  <si>
    <t>M11IN26-00008795</t>
  </si>
  <si>
    <t>FAIRMONT HANOI ALWAYS ON 2025</t>
  </si>
  <si>
    <t>(M11)(M11)100115001</t>
  </si>
  <si>
    <t>GROVE WP LTD</t>
  </si>
  <si>
    <t>M11IN26-00008788</t>
  </si>
  <si>
    <t>FAIRMONT WINDSOR PARK - ALWAYS ON 2026</t>
  </si>
  <si>
    <t>M11IN26-00010011</t>
  </si>
  <si>
    <t>(M11)(M11)100108363</t>
  </si>
  <si>
    <t>GULF HOSPITALITY LLC</t>
  </si>
  <si>
    <t>M11IN26-00006934</t>
  </si>
  <si>
    <t>FAIRMONT DUBAI ALWAYS ON CAMPAIGN 2026</t>
  </si>
  <si>
    <t>M11IN26-00010271</t>
  </si>
  <si>
    <t>Fairmont Dubai winter support campaign</t>
  </si>
  <si>
    <t>(M11)(M11)100117719</t>
  </si>
  <si>
    <t>HAMILTON PROPERTIES LIMITED</t>
  </si>
  <si>
    <t>M11IN26-00008965</t>
  </si>
  <si>
    <t>FAIRMONT HAMILTON PRINCESS TACTICAL 2025</t>
  </si>
  <si>
    <t>M11IN26-00008966</t>
  </si>
  <si>
    <t>FAIRMONT HAMILTON PRINCESS WEDDING TACTICAL 202</t>
  </si>
  <si>
    <t>M11IN26-00008981</t>
  </si>
  <si>
    <t>FAIRMONT HAMILTON PRINCESS AND BEACH CLUB - ALW</t>
  </si>
  <si>
    <t>M11IN26-00010017</t>
  </si>
  <si>
    <t>(M11)(M11)100108744</t>
  </si>
  <si>
    <t>HOTEL &amp; TOURISM CO. L.L.C</t>
  </si>
  <si>
    <t>M11IN26-00001263</t>
  </si>
  <si>
    <t>FAIRMONT AJMAN - ALWAYS ON 2025</t>
  </si>
  <si>
    <t>M11IN26-00001501</t>
  </si>
  <si>
    <t>M11IN25-00004553</t>
  </si>
  <si>
    <t>FAIRMONT_ALWAYS ON_FAIRMONT_Ajman</t>
  </si>
  <si>
    <t>M11IN25-00004554</t>
  </si>
  <si>
    <t>FAIRMONT_ALWAYS ON_FAIRMONT Ajman_NON UAE</t>
  </si>
  <si>
    <t>M11IN26-00007444</t>
  </si>
  <si>
    <t>FAIRMONT AJMAN ALWAYS ON 2026</t>
  </si>
  <si>
    <t>M11IN26-00009437</t>
  </si>
  <si>
    <t>M11IN25-00009760</t>
  </si>
  <si>
    <t>M11IN26-00010023</t>
  </si>
  <si>
    <t>M11IN25-00013197</t>
  </si>
  <si>
    <t>M11IN25-00013518</t>
  </si>
  <si>
    <t>M11IN25-00016137</t>
  </si>
  <si>
    <t>M11CN25-00001644</t>
  </si>
  <si>
    <t>M11IN25-00019480</t>
  </si>
  <si>
    <t>M11IN25-00024899</t>
  </si>
  <si>
    <t>M11IN25-00027595</t>
  </si>
  <si>
    <t>M11IN24-00027144</t>
  </si>
  <si>
    <t>M11IN24-00027145</t>
  </si>
  <si>
    <t>FAIRMONT_ALWAYS ON_FAIRMONT Ajman_UAE</t>
  </si>
  <si>
    <t>(M11)(M11)100113621</t>
  </si>
  <si>
    <t>HOTEL MONTREUX PALACE SA</t>
  </si>
  <si>
    <t>M11IN26-00008977</t>
  </si>
  <si>
    <t>FAIRMONT LE MONTREUX - ALWAYS ON 2026</t>
  </si>
  <si>
    <t>M11IN26-00010008</t>
  </si>
  <si>
    <t>(M11)(M11)100113609</t>
  </si>
  <si>
    <t>HVJ GMBH &amp; CO. KG</t>
  </si>
  <si>
    <t>M11IN26-00008776</t>
  </si>
  <si>
    <t>FAIRMONT HOTEL VIER JAHRESZEITEN - ALWAYS ON  2</t>
  </si>
  <si>
    <t>M11IN26-00010007</t>
  </si>
  <si>
    <t>(M11)(M11)100111598</t>
  </si>
  <si>
    <t>INJAZ FOR DEVELOPMENT &amp; INVESTMENT</t>
  </si>
  <si>
    <t>M11IN26-00001487</t>
  </si>
  <si>
    <t>FAIRMONT AMMAN ALWAYS ON 2025</t>
  </si>
  <si>
    <t>M11IN26-00001928</t>
  </si>
  <si>
    <t>M11IN26-00006814</t>
  </si>
  <si>
    <t>FAIRMONT AMMAN ALWAYS ON 2026</t>
  </si>
  <si>
    <t>(M11)(M11)100114717</t>
  </si>
  <si>
    <t>INNVEST HOTELS LP</t>
  </si>
  <si>
    <t>M11IN26-00008838</t>
  </si>
  <si>
    <t>FAIRMONT VANCOUVER AIRPORT - ALWAYS ON 2026</t>
  </si>
  <si>
    <t>(M11)(M11)100114607</t>
  </si>
  <si>
    <t>KATARA TOWERS HOTELS MANAGEMENT</t>
  </si>
  <si>
    <t>M11IN26-00000916</t>
  </si>
  <si>
    <t>RAFFLES DOHA - ALWAYS ON 2025</t>
  </si>
  <si>
    <t>M11IN26-00001498</t>
  </si>
  <si>
    <t>M11IN26-00008899</t>
  </si>
  <si>
    <t>RAFFLES DOHA - ALWAYS ON 2026</t>
  </si>
  <si>
    <t>M11IN25-00012310</t>
  </si>
  <si>
    <t>FAIRMONT_ALWAYS ON_DOHA</t>
  </si>
  <si>
    <t>M11IN25-00012314</t>
  </si>
  <si>
    <t>FAIRMONT DOHA - ALWAYS ON 2025</t>
  </si>
  <si>
    <t>M11IN25-00014984</t>
  </si>
  <si>
    <t>RAFFLES_ALWAYS ON_RAFFLES Doha_NON UAE</t>
  </si>
  <si>
    <t>M11IN25-00014988</t>
  </si>
  <si>
    <t>RAFFLES_ALWAYS ON_RAFFLES_Doha</t>
  </si>
  <si>
    <t>M11IN25-00014991</t>
  </si>
  <si>
    <t>M11IN25-00018191</t>
  </si>
  <si>
    <t>M11IN25-00023604</t>
  </si>
  <si>
    <t>M11IN25-00023926</t>
  </si>
  <si>
    <t>M11IN25-00024919</t>
  </si>
  <si>
    <t>M11IN25-00027707</t>
  </si>
  <si>
    <t>M11IN25-00032373</t>
  </si>
  <si>
    <t>(M11)(M11)100119534</t>
  </si>
  <si>
    <t>KEYSTONE RESORTS PRIVATE LIMITED</t>
  </si>
  <si>
    <t>M11IN25-00027300</t>
  </si>
  <si>
    <t>FAIRMONT UDAIPUR - ALWAYS ON 2025</t>
  </si>
  <si>
    <t>M11IN25-00028034</t>
  </si>
  <si>
    <t>M11IN25-00032282</t>
  </si>
  <si>
    <t>(M11)(M11)100114599</t>
  </si>
  <si>
    <t>KHI (SEYCHELLES) 01 LIMITED</t>
  </si>
  <si>
    <t>M11IN26-00001056</t>
  </si>
  <si>
    <t>Raffles Seychelles - Always On - A5E5 2025</t>
  </si>
  <si>
    <t>M11IN26-00001874</t>
  </si>
  <si>
    <t>M11IN26-00008897</t>
  </si>
  <si>
    <t>Raffles Seychelles - Always On 2026</t>
  </si>
  <si>
    <t>(M11)(M11)100114693</t>
  </si>
  <si>
    <t>LE CHATEAU MONTEBELLO</t>
  </si>
  <si>
    <t>M11IN26-00008839</t>
  </si>
  <si>
    <t>FAIRMONT MONTEBELLO - ALWAYS ON 2026</t>
  </si>
  <si>
    <t>M11IN26-00010010</t>
  </si>
  <si>
    <t>(M11)(M11)100111940</t>
  </si>
  <si>
    <t>LHCW HOTEL OPERATING COMPANY</t>
  </si>
  <si>
    <t>M11IN26-00010087</t>
  </si>
  <si>
    <t>FAIRMONT WASHINGTON DC ALWAYS ON 2026</t>
  </si>
  <si>
    <t>(M11)(M11)100118869</t>
  </si>
  <si>
    <t>LOMBARD HOSPITALITY LIMITED</t>
  </si>
  <si>
    <t>M11IN26-00008793</t>
  </si>
  <si>
    <t>FAIRMONT WINNIPEG - ALWAYS ON 2026</t>
  </si>
  <si>
    <t>M11IN26-00010070</t>
  </si>
  <si>
    <t>(M11)(M11)100108800</t>
  </si>
  <si>
    <t>MANCHESTER AUSTIN LLC</t>
  </si>
  <si>
    <t>M11IN26-00008964</t>
  </si>
  <si>
    <t>FAIRMONT AUSTIN TACTICAL 2025</t>
  </si>
  <si>
    <t>M11IN26-00009998</t>
  </si>
  <si>
    <t>FAIRMONT AUSTIN - ALWAYS ON 2026</t>
  </si>
  <si>
    <t>(M11)(M11)100108721</t>
  </si>
  <si>
    <t>MAPS HOTELS AND RESORTS HAWAII</t>
  </si>
  <si>
    <t>M11IN26-00009071</t>
  </si>
  <si>
    <t>FAIRMONT ORCHID HAWAII TACTICAL</t>
  </si>
  <si>
    <t>M11IN26-00010018</t>
  </si>
  <si>
    <t>FAIRMONT ORCHID HAWAII - ALWAYS ON 2026</t>
  </si>
  <si>
    <t>(M11)(M11)100108768</t>
  </si>
  <si>
    <t>MASON STREET OPCO LLC</t>
  </si>
  <si>
    <t>M11IN26-00008926</t>
  </si>
  <si>
    <t>FAIRMONT SAN FRANCISCO TACTICAL 2025</t>
  </si>
  <si>
    <t>M11IN26-00009999</t>
  </si>
  <si>
    <t>FAIRMONT SAN FRANCISCO - ALWAYS ON 2026</t>
  </si>
  <si>
    <t>(M11)(M11)100108755</t>
  </si>
  <si>
    <t>MINA AL FAJER REAL ESTATE LLC</t>
  </si>
  <si>
    <t>M11IN26-00010015</t>
  </si>
  <si>
    <t>FAIRMONT FUJAIRAH - ALWAYS ON 2026</t>
  </si>
  <si>
    <t>(M11)(M11)100118929</t>
  </si>
  <si>
    <t>NOVA RIOTEL EMPREENDIMENTOS</t>
  </si>
  <si>
    <t>M11IN26-00007219</t>
  </si>
  <si>
    <t>Fairmont Rio de Janeiro Copacabana - Always on</t>
  </si>
  <si>
    <t>M11IN26-00008835</t>
  </si>
  <si>
    <t>(M11)(M11)100114615</t>
  </si>
  <si>
    <t>OPERADORA HOTELERA DEL CORREDOR</t>
  </si>
  <si>
    <t>M11IN26-00009439</t>
  </si>
  <si>
    <t>FAIRMONT MAYAKOBA - ALWAYS ON 2025</t>
  </si>
  <si>
    <t>M11IN26-00010000</t>
  </si>
  <si>
    <t>M11IN26-00010126</t>
  </si>
  <si>
    <t>FAIRMONT MAYAKOBA ALWAYS ON 2026</t>
  </si>
  <si>
    <t>M11IN26-00010127</t>
  </si>
  <si>
    <t>MAYAKOBA HERITAGE PALACE ALWAYS ON 2026</t>
  </si>
  <si>
    <t>(M11)(M11)100108732</t>
  </si>
  <si>
    <t>PARC1 HOTEL MANAGEMENT</t>
  </si>
  <si>
    <t>M11IN26-00000935</t>
  </si>
  <si>
    <t>FAIRMONT AMBASSADOR SEOUL - ALWAYS ON 2025</t>
  </si>
  <si>
    <t>M11IN26-00001596</t>
  </si>
  <si>
    <t>M11IN25-00004526</t>
  </si>
  <si>
    <t>FAIRMONT_ALWAYS_ON_AMBASSADOR SEOUL</t>
  </si>
  <si>
    <t>M11IN26-00007034</t>
  </si>
  <si>
    <t>FAIRMONT AMBASSADOR SEOUL ALWAYS ON 2026</t>
  </si>
  <si>
    <t>M11IN25-00009822</t>
  </si>
  <si>
    <t>M11IN26-00010016</t>
  </si>
  <si>
    <t>M11IN25-00011181</t>
  </si>
  <si>
    <t>M11IN25-00023961</t>
  </si>
  <si>
    <t>M11IN25-00024893</t>
  </si>
  <si>
    <t>M11IN25-00027594</t>
  </si>
  <si>
    <t>M11IN25-00033023</t>
  </si>
  <si>
    <t>(M11)(M11)100119928</t>
  </si>
  <si>
    <t>PT. CITRALAND ADIGRAHA</t>
  </si>
  <si>
    <t>M11IN26-00001645</t>
  </si>
  <si>
    <t>RAFFLES JAKARTA ALWAYS ON 2025</t>
  </si>
  <si>
    <t>M11IN26-00008705</t>
  </si>
  <si>
    <t>M11IN26-00008707</t>
  </si>
  <si>
    <t>M11IN26-00008794</t>
  </si>
  <si>
    <t>RAFFLES JAKARTA ALWAYS ON 2026</t>
  </si>
  <si>
    <t>M11IN26-00010071</t>
  </si>
  <si>
    <t>M11IN25-00032928</t>
  </si>
  <si>
    <t>(M11)(M11)100113978</t>
  </si>
  <si>
    <t>PT. JIMBARAN GREENHILL</t>
  </si>
  <si>
    <t>M11IN26-00001315</t>
  </si>
  <si>
    <t>RAFFLES BALI - ALWAYS ON 2025</t>
  </si>
  <si>
    <t>M11IN26-00001495</t>
  </si>
  <si>
    <t>M11IN26-00008841</t>
  </si>
  <si>
    <t>RAFFLES BALI - ALWAYS ON 2026</t>
  </si>
  <si>
    <t>M11IN25-00011188</t>
  </si>
  <si>
    <t>RAFFLES_ALWAYS ON_RAFFLES Bali_NON UAE</t>
  </si>
  <si>
    <t>M11IN25-00011190</t>
  </si>
  <si>
    <t>RAFFLES_ALWAYS ON_RAFFLES Bali</t>
  </si>
  <si>
    <t>M11IN25-00011191</t>
  </si>
  <si>
    <t>M11IN25-00013227</t>
  </si>
  <si>
    <t>M11IN25-00013516</t>
  </si>
  <si>
    <t>M11IN25-00016160</t>
  </si>
  <si>
    <t>M11IN25-00018192</t>
  </si>
  <si>
    <t>M11IN25-00023918</t>
  </si>
  <si>
    <t>M11IN25-00024914</t>
  </si>
  <si>
    <t>M11IN25-00028037</t>
  </si>
  <si>
    <t>M11IN25-00032872</t>
  </si>
  <si>
    <t>(M11)(M11)100111977</t>
  </si>
  <si>
    <t>QUEEN ELIZABETH HOTEL LP</t>
  </si>
  <si>
    <t>M11IN26-00010086</t>
  </si>
  <si>
    <t>FAIRMONT QUEEN ELIZABETH ALWAYS ON 2026</t>
  </si>
  <si>
    <t>(M11)(M11)100113966</t>
  </si>
  <si>
    <t>RAFFLES SENTOSA SINGAPORE</t>
  </si>
  <si>
    <t>M11IN26-00001273</t>
  </si>
  <si>
    <t>RAFFLES SENTOSA SINGAPORE ALWAYS ON 2025</t>
  </si>
  <si>
    <t>M11IN26-00001559</t>
  </si>
  <si>
    <t>M11IN26-00006624</t>
  </si>
  <si>
    <t>Raffles Sentosa Tactical 2025</t>
  </si>
  <si>
    <t>M11IN26-00006623</t>
  </si>
  <si>
    <t>RAFFLES SENTOSA SINGAPORE ALWAYS ON 2026</t>
  </si>
  <si>
    <t>M11IN26-00009290</t>
  </si>
  <si>
    <t>(M11)(M11)100108811</t>
  </si>
  <si>
    <t>RAFFLES THE PALM DUBAI - FZE</t>
  </si>
  <si>
    <t>AM11IN26-0001356</t>
  </si>
  <si>
    <t>Raffles The Palm Dubai Tactical 2025</t>
  </si>
  <si>
    <t>M11IN26-00007009</t>
  </si>
  <si>
    <t>RAFFLES_PALM DUBAI WINTER SUPPORT</t>
  </si>
  <si>
    <t>M11IN26-00007240</t>
  </si>
  <si>
    <t>M11IN26-00007241</t>
  </si>
  <si>
    <t>M11IN26-00009048</t>
  </si>
  <si>
    <t>M11IN26-00009049</t>
  </si>
  <si>
    <t>M11IN26-00009075</t>
  </si>
  <si>
    <t>M11IN26-00009076</t>
  </si>
  <si>
    <t>M11IN26-00009080</t>
  </si>
  <si>
    <t>M11IN26-00009081</t>
  </si>
  <si>
    <t>M11IN26-00009431</t>
  </si>
  <si>
    <t>M11IN26-00009432</t>
  </si>
  <si>
    <t>M11IN26-00009433</t>
  </si>
  <si>
    <t>M11IN26-00009434</t>
  </si>
  <si>
    <t>M11IN26-00010051</t>
  </si>
  <si>
    <t>RAFFLES THE PALM DUBAI ALWAYS ON 2025</t>
  </si>
  <si>
    <t>(M11)(M11)100108704</t>
  </si>
  <si>
    <t>RC HOTELS (PTE) LTD</t>
  </si>
  <si>
    <t>M11IN26-00001251</t>
  </si>
  <si>
    <t>FAIRMONT SINGAPORE - ALWAYS ON 2025</t>
  </si>
  <si>
    <t>M11IN26-00001598</t>
  </si>
  <si>
    <t>M11IN25-00004490</t>
  </si>
  <si>
    <t>FAIRMONT_ALWAYS ON_FAIRMONT_Singapore</t>
  </si>
  <si>
    <t>M11IN26-00007033</t>
  </si>
  <si>
    <t>FAIRMONT SINGAPORE ALWAYS ON 2026</t>
  </si>
  <si>
    <t>M11IN25-00009898</t>
  </si>
  <si>
    <t>M11IN25-00011450</t>
  </si>
  <si>
    <t>M11IN25-00013471</t>
  </si>
  <si>
    <t>M11IN25-00017571</t>
  </si>
  <si>
    <t>M11IN25-00018622</t>
  </si>
  <si>
    <t>M11IN25-00023993</t>
  </si>
  <si>
    <t>M11IN25-00027311</t>
  </si>
  <si>
    <t>M11IN24-00027126</t>
  </si>
  <si>
    <t>FAIRMONT_ALWAYS ON_FAIRMONT Singapore_NON UAE</t>
  </si>
  <si>
    <t>M11IN24-00030496</t>
  </si>
  <si>
    <t>M11IN25-00033495</t>
  </si>
  <si>
    <t>(M11)(M11)100117529</t>
  </si>
  <si>
    <t>ROYAL YORK OPERATIONS LP</t>
  </si>
  <si>
    <t>M11IN26-00010014</t>
  </si>
  <si>
    <t>FAIRMONT ROYAL YORK ALWAYS ON 2026</t>
  </si>
  <si>
    <t>(M11)(M11)100114317</t>
  </si>
  <si>
    <t>RP HOTELS (BARBADOS) INC.</t>
  </si>
  <si>
    <t>M11IN26-00001467</t>
  </si>
  <si>
    <t>FAIRMONT ROYAL PAVILION - ALWAYS ON 2025</t>
  </si>
  <si>
    <t>M11IN26-00006625</t>
  </si>
  <si>
    <t>FAIRMONT ROYAL PAVILLION ALWAYS ON 2026</t>
  </si>
  <si>
    <t>M11IN25-00012125</t>
  </si>
  <si>
    <t>FAIRMONT_ALWAYS ON_FAIRMONT Royal Pavilion - Ba</t>
  </si>
  <si>
    <t>M11IN25-00012126</t>
  </si>
  <si>
    <t>FAIRMONT_ALWAYS ON_FAIRMONT Royal Pavilion</t>
  </si>
  <si>
    <t>M11IN25-00012128</t>
  </si>
  <si>
    <t>M11IN25-00013129</t>
  </si>
  <si>
    <t>M11IN25-00013131</t>
  </si>
  <si>
    <t>M11IN25-00013324</t>
  </si>
  <si>
    <t>M11IN25-00013589</t>
  </si>
  <si>
    <t>M11IN25-00016162</t>
  </si>
  <si>
    <t>M11IN25-00019611</t>
  </si>
  <si>
    <t>M11CN25-00001680</t>
  </si>
  <si>
    <t>(M11)(M11)100115027</t>
  </si>
  <si>
    <t>RWW HE SPÓŁKA Z OGRANICZONĄ</t>
  </si>
  <si>
    <t>M11IN26-00000917</t>
  </si>
  <si>
    <t>RAFFLES EUROPEJSKI WARSAW - ALWAYS ON 2025</t>
  </si>
  <si>
    <t>M11IN26-00001497</t>
  </si>
  <si>
    <t>M11IN26-00008898</t>
  </si>
  <si>
    <t>RAFFLES EUROPEJSKI WARSAW - ALWAYS ON 2026</t>
  </si>
  <si>
    <t>M11IN25-00015097</t>
  </si>
  <si>
    <t>RAFFLES_ALWAYS ON_RAFFLES Europejski Warsaw_NON</t>
  </si>
  <si>
    <t>M11IN25-00015101</t>
  </si>
  <si>
    <t>RAFFLES_ALWAYS ON_RAFFLES Europejski Warsaw</t>
  </si>
  <si>
    <t>M11IN25-00015926</t>
  </si>
  <si>
    <t>M11IN25-00016145</t>
  </si>
  <si>
    <t>M11IN25-00018255</t>
  </si>
  <si>
    <t>M11IN25-00023919</t>
  </si>
  <si>
    <t>M11IN25-00024544</t>
  </si>
  <si>
    <t>M11IN25-00027814</t>
  </si>
  <si>
    <t>M11IN25-00032379</t>
  </si>
  <si>
    <t>(M11)(M11)100108767</t>
  </si>
  <si>
    <t>SAM MONTE-CARLO GRAND HOTEL</t>
  </si>
  <si>
    <t>M11IN26-00007068</t>
  </si>
  <si>
    <t>FAIRMONT MONTE CARLO TACTICAL 2025</t>
  </si>
  <si>
    <t>M11IN26-00007443</t>
  </si>
  <si>
    <t>FAIRMONT MONTE CARLO ALWAYS ON 2026</t>
  </si>
  <si>
    <t>(M11)(M11)100114076</t>
  </si>
  <si>
    <t>SATEL GAYRİMENKUL GELİŞTİRME</t>
  </si>
  <si>
    <t>M11IN26-00000934</t>
  </si>
  <si>
    <t>FAIRMONT QUASAR ISTANBUL - ALWAYS ON 2025</t>
  </si>
  <si>
    <t>M11IN26-00001919</t>
  </si>
  <si>
    <t>M11IN26-00007394</t>
  </si>
  <si>
    <t>FAIRMONT QUASAR ISTANBUL ALWAYS ON 2026</t>
  </si>
  <si>
    <t>M11IN26-00009996</t>
  </si>
  <si>
    <t>(M11)(M11)100115019</t>
  </si>
  <si>
    <t>SHARIKAT ALBAWAABAT ALAIQTISADIAT</t>
  </si>
  <si>
    <t>M11IN26-00001314</t>
  </si>
  <si>
    <t>FAIRMONT RIYADH - ALWAYS ON 2025</t>
  </si>
  <si>
    <t>M11IN26-00001819</t>
  </si>
  <si>
    <t>M11IN26-00008978</t>
  </si>
  <si>
    <t>FAIRMONT RIYADH - ALWAYS ON 2026</t>
  </si>
  <si>
    <t>(M11)(M11)100115026</t>
  </si>
  <si>
    <t>SHIBAURA HOTEL MANAGEMENT LLC</t>
  </si>
  <si>
    <t>M11IN26-00009438</t>
  </si>
  <si>
    <t>FAIRMONT TOKYO ALWAYS ON 2025</t>
  </si>
  <si>
    <t>M11IN26-00009825</t>
  </si>
  <si>
    <t>FAIRMONT TOKYO TACTICAL 2026</t>
  </si>
  <si>
    <t>M11IN26-00009993</t>
  </si>
  <si>
    <t>FAIRMONT TOKYO ALWAYS ON 2026</t>
  </si>
  <si>
    <t>(M11)(M11)100117441</t>
  </si>
  <si>
    <t>SHR FPH LLC</t>
  </si>
  <si>
    <t>M11IN26-00006622</t>
  </si>
  <si>
    <t>FAIRMONT SCOTTSDALE PRINCESS ALWAYS ON 2026</t>
  </si>
  <si>
    <t>M11IN26-00007255</t>
  </si>
  <si>
    <t>FAIRMONT SCOTTSDALE PRINCESS ALWAYS ON 2025</t>
  </si>
  <si>
    <t>M11IN26-00009971</t>
  </si>
  <si>
    <t>M11IN25-00031525</t>
  </si>
  <si>
    <t>(M11)(M11)100117448</t>
  </si>
  <si>
    <t>SHREM AIRPORT HOTELS</t>
  </si>
  <si>
    <t>ALLOCATION OF CN</t>
  </si>
  <si>
    <t>9700002084</t>
  </si>
  <si>
    <t>Partial Allocation of Inv # M11IN26-00000936</t>
  </si>
  <si>
    <t>M11IN26-00000936</t>
  </si>
  <si>
    <t>FAIRMONT MUMBAI - ALWAYS ON 2025</t>
  </si>
  <si>
    <t>M11IN26-00007071</t>
  </si>
  <si>
    <t>FAIRMONT MUMBAI TACTICAL 2025</t>
  </si>
  <si>
    <t>AM11IN26-0009064</t>
  </si>
  <si>
    <t>M11IN26-00010209</t>
  </si>
  <si>
    <t>FAIRMONT MUMBAI ALWAYS ON 2026</t>
  </si>
  <si>
    <t>(M11)(M11)100114309</t>
  </si>
  <si>
    <t>SOCIETE D'EXPLOITATION DU ROYAL</t>
  </si>
  <si>
    <t>M11IN26-00000919</t>
  </si>
  <si>
    <t>RAFFLES PARIS - LE ROYAL MONCEAU - ALWAYS ON 20</t>
  </si>
  <si>
    <t>M11IN26-00008900</t>
  </si>
  <si>
    <t>M11IN25-00032667</t>
  </si>
  <si>
    <t>(M11)(M11)100111923</t>
  </si>
  <si>
    <t>SONOMA HOTEL OPERATOR, LLC</t>
  </si>
  <si>
    <t>M11IN26-00006816</t>
  </si>
  <si>
    <t>FAIRMONT SONOMA MISSION INN AND SPA - ALWAYS ON</t>
  </si>
  <si>
    <t>M11IN26-00006947</t>
  </si>
  <si>
    <t>(M11)(M11)100114550</t>
  </si>
  <si>
    <t>ST ANDREWS BAY DEVELOPMENTS LTD.</t>
  </si>
  <si>
    <t>M11IN26-00001317</t>
  </si>
  <si>
    <t>FAIRMONT ST ANDREWS - ALWAYS ON 2025</t>
  </si>
  <si>
    <t>M11IN26-00001530</t>
  </si>
  <si>
    <t>M11IN26-00006626</t>
  </si>
  <si>
    <t>FAIRMONT ST ANDREWS ALWAYS ON 2026</t>
  </si>
  <si>
    <t>M11IN26-00009995</t>
  </si>
  <si>
    <t>M11IN25-00012132</t>
  </si>
  <si>
    <t>FAIRMONT_ALWAYS ON_FAIRMONT ST ANDREWS_NON UAE</t>
  </si>
  <si>
    <t>M11IN25-00012133</t>
  </si>
  <si>
    <t>FAIRMONT_ALWAYS ON_FAIRMONT ST ANDREWS</t>
  </si>
  <si>
    <t>M11IN25-00012135</t>
  </si>
  <si>
    <t>M11IN25-00013238</t>
  </si>
  <si>
    <t>M11IN25-00013313</t>
  </si>
  <si>
    <t>M11IN25-00016139</t>
  </si>
  <si>
    <t>M11IN25-00019486</t>
  </si>
  <si>
    <t>M11CN25-00001677</t>
  </si>
  <si>
    <t>M11IN25-00023968</t>
  </si>
  <si>
    <t>M11IN25-00023969</t>
  </si>
  <si>
    <t>M11IN25-00027253</t>
  </si>
  <si>
    <t>M11IN25-00032970</t>
  </si>
  <si>
    <t>(M11)(M11)100108960</t>
  </si>
  <si>
    <t>STE QATAR NATIONAL HOTELS</t>
  </si>
  <si>
    <t>M11IN26-00006211</t>
  </si>
  <si>
    <t>FAIRMONT TAZI PALACE TANGIER ALWAYS ON 2025</t>
  </si>
  <si>
    <t>M11IN26-00006613</t>
  </si>
  <si>
    <t>FAIRMONT TAZI PALACE TANGIER ALWAYS ON 2026</t>
  </si>
  <si>
    <t>M11IN26-00007592</t>
  </si>
  <si>
    <t>M11IN26-00010066</t>
  </si>
  <si>
    <t>M11IN25-00012421</t>
  </si>
  <si>
    <t>M11IN25-00017455</t>
  </si>
  <si>
    <t>M11IN25-00017456</t>
  </si>
  <si>
    <t>M11IN25-00022656</t>
  </si>
  <si>
    <t>M11IN25-00025898</t>
  </si>
  <si>
    <t>M11IN25-00027800</t>
  </si>
  <si>
    <t>M11IN25-00033115</t>
  </si>
  <si>
    <t>(M11)(M11)100108790</t>
  </si>
  <si>
    <t>TRINITY STUART HOTEL LLC</t>
  </si>
  <si>
    <t>AMT 3,331.70</t>
  </si>
  <si>
    <t>Posted as on account against pay amt 3,331.70</t>
  </si>
  <si>
    <t>M11IN26-00006839</t>
  </si>
  <si>
    <t>RAFFLES BOSTON ALWAYS ON 2026</t>
  </si>
  <si>
    <t>M11IN25-00016144</t>
  </si>
  <si>
    <t>RAFFLES BOSTON - ALWAYS ON 2025</t>
  </si>
  <si>
    <t>M11IN25-00018228</t>
  </si>
  <si>
    <t>(M11)(M11)100111613</t>
  </si>
  <si>
    <t>WAFI PROPERTY LLC</t>
  </si>
  <si>
    <t>M11IN26-00001355</t>
  </si>
  <si>
    <t>RAFFLES DUBAI ALWAYS ON 2025</t>
  </si>
  <si>
    <t>M11IN26-00001554</t>
  </si>
  <si>
    <t>M11IN25-00005625</t>
  </si>
  <si>
    <t>RAFFLES_ALWAYS ON_Dubai_NON UAE</t>
  </si>
  <si>
    <t>M11IN25-00005626</t>
  </si>
  <si>
    <t>RAFFLES_ALWAYS ON_Dubai</t>
  </si>
  <si>
    <t>M11IN26-00006812</t>
  </si>
  <si>
    <t>RAFFLES DUBAI ALWAYS ON 2026</t>
  </si>
  <si>
    <t>M11IN25-00009824</t>
  </si>
  <si>
    <t>M11IN26-00010262</t>
  </si>
  <si>
    <t>M11IN25-00011323</t>
  </si>
  <si>
    <t>M11IN25-00013515</t>
  </si>
  <si>
    <t>M11IN25-00025502</t>
  </si>
  <si>
    <t>M11IN25-00027967</t>
  </si>
  <si>
    <t>M11IN25-00033034</t>
  </si>
  <si>
    <t>(M11)(M11)100113203</t>
  </si>
  <si>
    <t>WHITEHALL HOTEL LIMITED</t>
  </si>
  <si>
    <t>M11IN26-00008980</t>
  </si>
  <si>
    <t>RAFFLES LONDON AT OWO - ALWAYS ON 2026</t>
  </si>
  <si>
    <t>(M11)(M11)100115148</t>
  </si>
  <si>
    <t>WIC PRAGUE A.S.</t>
  </si>
  <si>
    <t>M11IN26-00006838</t>
  </si>
  <si>
    <t>FAIRMONT GOLDEN PRAGUE ALWAYS ON 2026</t>
  </si>
  <si>
    <t>M11IN26-00007064</t>
  </si>
  <si>
    <t>FAIRMONT PRAGUE TACTICAL 2025</t>
  </si>
  <si>
    <t>M11IN26-00009304</t>
  </si>
  <si>
    <t>(M11)(M11)100111939</t>
  </si>
  <si>
    <t>XHR PITTSBURGH MARKET TRS LLC</t>
  </si>
  <si>
    <t>M11IN26-00007035</t>
  </si>
  <si>
    <t>FAIRMONT PITTSBURGH - ALWAYS ON 2026</t>
  </si>
  <si>
    <t>M11IN26-00010092</t>
  </si>
  <si>
    <t>(M11)(M11)100113894</t>
  </si>
  <si>
    <t>ZORLU YAPI YATIRIM ANONİM ŞİRKETİ</t>
  </si>
  <si>
    <t>M11IN26-00006686</t>
  </si>
  <si>
    <t>RAFFLES ISTANBUL ALWAYS ON 2026</t>
  </si>
  <si>
    <t>M11IN26-00010009</t>
  </si>
  <si>
    <t>Paid %</t>
  </si>
  <si>
    <t>Pareto</t>
  </si>
  <si>
    <t>Status as of Mar 2026</t>
  </si>
  <si>
    <t>was shared to client yet on 5/3 Faraz(Agency) mentioned to to park this invoice - still chasing if to shared or not. On 27/03 Faraz mentioned that no issue on this invoice and should be paid by client and now chasing client asking reason being skipped.</t>
  </si>
  <si>
    <t>Chasing Client for Payment Timeline</t>
  </si>
  <si>
    <t>For Cancellation - to replace PO with VAT.</t>
  </si>
  <si>
    <t>Paid Cancelled invoice Faraz mentioned they will raised new invoice to offset this CN.</t>
  </si>
  <si>
    <t>For invoice revision due to PO issue(Billed in Full).</t>
  </si>
  <si>
    <t>AB Linking</t>
  </si>
  <si>
    <t>Delayed paymemnt due to Bank rejection as per client - Chasing Client for an update</t>
  </si>
  <si>
    <t>On 20/1 Client mention payment has rejected by their Bank and issue still recurring to dat - Still keep chasing client if issue has been resolved.</t>
  </si>
  <si>
    <t>Delay due to late submission of documents (VAT Cert, IBAN, AP, etc.), which were only shared on 02/01. Client reported that payment was rejected by the bank on 20/01 and is still in progress. Continue chasing client for update.</t>
  </si>
  <si>
    <t>Pending Contract, WIP as per Hadi(Agency) on 12/8 - still chasing for an update internally.</t>
  </si>
  <si>
    <t>Pending Contract, WIP as per Hadi(Agency) on 12/8 - still chasing for an update internally. Also on 26/02 client requesting for consolidated Excel summary of all charges and still pending by Ops Team.</t>
  </si>
  <si>
    <t>Pending Contract, WIP as per Hadi(Agency) on 12/8. As of 7/11 Client request to amend the invoice to indicate Tax is borned by Bal Al Bahr Hospitality and service rendered in Morocco.</t>
  </si>
  <si>
    <t xml:space="preserve">Client refuses payment, citing Oct account closure. Sent to Faraz (Agency); pending response.
</t>
  </si>
  <si>
    <t>Client is requesting for Sept 2025 billing and will not process payment if this will not be provided.</t>
  </si>
  <si>
    <t>Duplicate Payment agains inv M11IN25-00023709 and M11IN25-00032374, shared w/ Clt awaiting utilization.</t>
  </si>
  <si>
    <t>P2P. Client mentioned to be paid EOM.</t>
  </si>
  <si>
    <t>Delay due to late POC sharing (20/01), new POC not handling old invoices, and pending approved PO requested on 05/02; escalated to Faraz and Toseef(Agency).</t>
  </si>
  <si>
    <t>Unresponsive—no reply since 12 Jan; client advised they will revert once payment is processed. Keep Chasing client in email follow ups.</t>
  </si>
  <si>
    <t>Cleared - Payment partially applied due to FX.</t>
  </si>
  <si>
    <t>Collected - Balance due to FX difference. On 13/01, client requested rebilling to another invoice; forwarded to Faraz (Agency). Rebilled invoice has been shared and Payment in Process as per Client on 18/03.</t>
  </si>
  <si>
    <t>Pending Contract, WIP as per Hadi(Agency) on 12/8 - still chasing for an update internally. Ask client any supporting docs so they can proceed paying the outstanding, reshared invoices copy on 06/03 as client request.</t>
  </si>
  <si>
    <t>Delay due to late invoice sharing (incl. tax and address) on 02/10; on 10/03 client proposed 50% payment as campaign has not started and contract remains pending.</t>
  </si>
  <si>
    <t>Delayed due to client’s internal payment approval process; payment expected by March.</t>
  </si>
  <si>
    <t>Chasing Client for Payment timeline.</t>
  </si>
  <si>
    <t>Pending Doc request on 12/11.(PE Cert,Copy of Pan,TRC,Form 10F,Contract,Bank Details) -  Pending signature</t>
  </si>
  <si>
    <t>Pending supporting document (Bus Registration Cert), reshared inv copy on 17/3 - Chasing client update.</t>
  </si>
  <si>
    <t>still pending as of 24/2 due to unsigned DGT form from Finance.</t>
  </si>
  <si>
    <t>Client request COR and DGT Form on 18/12. COR provided on 09/01, still pending as of 24/2 due to unsigned DGT form from Finance.</t>
  </si>
  <si>
    <t>Pending COD and DGT Form on 30/9, forwarded to Faraz(Agency) for necessary action on 6/10, On 16/12 client propose to process payment less 20% tax without documents - ask team and chasing for next step.still pending as of 24/2 due to unsigned DGT form from Finance.</t>
  </si>
  <si>
    <t>Reshared invoice on 25/2 after client reported non‑receipt. Hold payment due to request perfomance detailed  of invoices which is still pending on Agency side on 06/03.</t>
  </si>
  <si>
    <t>Delayed due to client-reported discrepancies in the total spend for the monthly campaign. On 4/3, Faraz (Agency) advised that the client will raise a new PO, after which payment will be made.</t>
  </si>
  <si>
    <t>Payment on hold as properties escalated performance concerns to Corporate. Last update on 15/01 indicated Corporate will meet with properties for discussion. Continuing to chase client for update.</t>
  </si>
  <si>
    <t>Collected</t>
  </si>
  <si>
    <t>Payment delayed due to late Tax Cert (26/1). Client requested updated Tax Cert on 18/2; agency advised FTA does not issue annually. On 3/2 Client still asking to provided Tax Cert of the current year as they still unable process payment without it.</t>
  </si>
  <si>
    <t>Payment on hold pending CN issuance (USD 116.72) due to overspend. Sent to Ops on 17/02; chasing internally.</t>
  </si>
  <si>
    <t>Client request W9 From on 9/12 - W8 Form provided on 5/2 - On 25/2 Client con payment by 26/2. On 6/3 Client mentioned there are correspondence regarding revision of this invoice since last year.</t>
  </si>
  <si>
    <t>Partially paid due to short payment made by client last 3/2 -  and client requesting to issue new invoice against the remaining balance - new invoice shared on 24/03 - Chasing client for Payment Timeline.</t>
  </si>
  <si>
    <t>Client refusing to settle, claiming payment was already made for the same month’s campaign</t>
  </si>
  <si>
    <t>Client POC unresponsive - keep chsaing for an update.</t>
  </si>
  <si>
    <t>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t>
  </si>
  <si>
    <t>New POC added (14/11); invoices reshared (20/11) and forwarded to Finance. Client advised payment in process (29/1); no response since—chasing payment timeline.</t>
  </si>
  <si>
    <t>Hold payment due to pending contract - Keep sending monthly SOA and ask alternative support to proceed payment - reshared invoice copies as requested on 4/2. Client is requesting to revised invoice details to (
Raffles Dubai Branch of Wafi Property LLC, Dubai,Post Box: 121800, Phone No: +971 43248888,Emailaccountspayable@raffles.com) forwarded to Faraz on 5/2.</t>
  </si>
  <si>
    <t>P2P. Client confirmed payment to be paid on 18/3 by 27/3.</t>
  </si>
  <si>
    <t>Summary</t>
  </si>
  <si>
    <t>POCs</t>
  </si>
  <si>
    <t>AB Linking (actuals to be offset to Advance Billing)</t>
  </si>
  <si>
    <t>Need confirmation from agency if actual invoices are for offset before sending of SOA</t>
  </si>
  <si>
    <r>
      <t>Corporate Account /</t>
    </r>
    <r>
      <rPr>
        <b/>
        <sz val="11"/>
        <color theme="1"/>
        <rFont val="Calibri Light"/>
        <family val="2"/>
      </rPr>
      <t xml:space="preserve"> Corporate Payment Inquiry</t>
    </r>
    <r>
      <rPr>
        <sz val="11"/>
        <color theme="1"/>
        <rFont val="Calibri Light"/>
        <family val="2"/>
      </rPr>
      <t xml:space="preserve"> (POC: </t>
    </r>
    <r>
      <rPr>
        <b/>
        <sz val="11"/>
        <color theme="1"/>
        <rFont val="Calibri Light"/>
        <family val="2"/>
      </rPr>
      <t>Anita</t>
    </r>
    <r>
      <rPr>
        <sz val="11"/>
        <color theme="1"/>
        <rFont val="Calibri Light"/>
        <family val="2"/>
      </rPr>
      <t xml:space="preserve"> / </t>
    </r>
    <r>
      <rPr>
        <b/>
        <sz val="11"/>
        <color theme="1"/>
        <rFont val="Calibri Light"/>
        <family val="2"/>
      </rPr>
      <t>Reda</t>
    </r>
    <r>
      <rPr>
        <sz val="11"/>
        <color theme="1"/>
        <rFont val="Calibri Light"/>
        <family val="2"/>
      </rPr>
      <t>)</t>
    </r>
  </si>
  <si>
    <t>ROE MANAGEMENT US INC</t>
  </si>
  <si>
    <t>RAFFLES MEA FZ-LLC "</t>
  </si>
  <si>
    <t>Issues regarding Billing: Price difference / Billing cycle / adjustment in the invoice for amount to settle by corporate; Forms (W8 / W9) / Documents for Vendor registration (bank details/letter)</t>
  </si>
  <si>
    <t>Faraz / Kevin</t>
  </si>
  <si>
    <t>Contract /  SOW (Service of Agreement)</t>
  </si>
  <si>
    <t>Toseef / Hadi</t>
  </si>
  <si>
    <t>NCA (Canada and America)</t>
  </si>
  <si>
    <t>Connie.Marianacci@Fairmont.com
jordan.thompson@fairmont.com</t>
  </si>
  <si>
    <t>ROW (Rest of the World)</t>
  </si>
  <si>
    <t>Joyce.Jabbour@Fairmont.com</t>
  </si>
  <si>
    <t>Inquiries regarding Monthly report/Detailed</t>
  </si>
  <si>
    <t>Jeffrey Saade / Toseef</t>
  </si>
  <si>
    <t>Canadian Resort AP</t>
  </si>
  <si>
    <r>
      <rPr>
        <b/>
        <sz val="11"/>
        <color theme="1"/>
        <rFont val="Calibri Light"/>
        <family val="2"/>
      </rPr>
      <t>Fairmont Lake Louise</t>
    </r>
    <r>
      <rPr>
        <sz val="11"/>
        <color theme="1"/>
        <rFont val="Calibri Light"/>
        <family val="2"/>
      </rPr>
      <t xml:space="preserve"> - Monica.FERNANDEZ@fairmont.com 
                                                AccountsPayable.CLL@Fairmont.com 
                                                Kaustubh.Parab@Fairmont.com
</t>
    </r>
    <r>
      <rPr>
        <b/>
        <sz val="11"/>
        <color theme="1"/>
        <rFont val="Calibri Light"/>
        <family val="2"/>
      </rPr>
      <t>Fairmont Whistler</t>
    </r>
    <r>
      <rPr>
        <sz val="11"/>
        <color theme="1"/>
        <rFont val="Calibri Light"/>
        <family val="2"/>
      </rPr>
      <t xml:space="preserve"> -  Dinal.Samaranayake@Fairmont.com
                                          CWR.AP@Fairmont.com
</t>
    </r>
    <r>
      <rPr>
        <b/>
        <sz val="11"/>
        <color theme="1"/>
        <rFont val="Calibri Light"/>
        <family val="2"/>
      </rPr>
      <t xml:space="preserve">
Fairmont Jasper</t>
    </r>
    <r>
      <rPr>
        <sz val="11"/>
        <color theme="1"/>
        <rFont val="Calibri Light"/>
        <family val="2"/>
      </rPr>
      <t xml:space="preserve">: Suryavir.Thakur@Fairmont.com
                                    JPL.APInvoices@Fairmont.com
</t>
    </r>
    <r>
      <rPr>
        <b/>
        <sz val="11"/>
        <color theme="1"/>
        <rFont val="Calibri Light"/>
        <family val="2"/>
      </rPr>
      <t>FAIRMONT BANFF SPRINGS</t>
    </r>
    <r>
      <rPr>
        <sz val="11"/>
        <color theme="1"/>
        <rFont val="Calibri Light"/>
        <family val="2"/>
      </rPr>
      <t xml:space="preserve"> - BSH.APInvoices@Fairmont.com</t>
    </r>
  </si>
  <si>
    <r>
      <t xml:space="preserve">Bank Name: 
</t>
    </r>
    <r>
      <rPr>
        <b/>
        <sz val="11"/>
        <color theme="1"/>
        <rFont val="Calibri Light"/>
        <family val="2"/>
      </rPr>
      <t>ACCOR MANAGEMENT CANADA INC</t>
    </r>
  </si>
  <si>
    <t>Royal York</t>
  </si>
  <si>
    <t>Canadian Resort</t>
  </si>
  <si>
    <t>Fairmont Vancouver</t>
  </si>
  <si>
    <t>Fairmont Palliser Hotel</t>
  </si>
  <si>
    <t>Queen Elizabeth LP</t>
  </si>
  <si>
    <t>Fairmont Pacific Rim</t>
  </si>
  <si>
    <t>Innvest Hotel</t>
  </si>
  <si>
    <t>Capital Hotel</t>
  </si>
  <si>
    <t xml:space="preserve">BDC (EMPRESS HOTEL) INVESTMENT   </t>
  </si>
  <si>
    <r>
      <t xml:space="preserve">Bank Name: </t>
    </r>
    <r>
      <rPr>
        <b/>
        <sz val="11"/>
        <color theme="1"/>
        <rFont val="Calibri Light"/>
        <family val="2"/>
      </rPr>
      <t>ZENITH ME</t>
    </r>
  </si>
  <si>
    <t>LHCW HOTEL OPERATING COMPANY WASHINGTON</t>
  </si>
  <si>
    <r>
      <t xml:space="preserve">Bank Name: </t>
    </r>
    <r>
      <rPr>
        <b/>
        <sz val="11"/>
        <color theme="1"/>
        <rFont val="Calibri Light"/>
        <family val="2"/>
      </rPr>
      <t>FAIRMONT HOTELS RESORTS</t>
    </r>
  </si>
  <si>
    <t>SOA for Confirmation to Faraz for Checking before sharing due to AB invoices</t>
  </si>
  <si>
    <t>ACCOR LUXURY MEA FZ LLC - UAE</t>
  </si>
  <si>
    <t>ACCOR MANAGEMENT US INC - US</t>
  </si>
  <si>
    <t>RAFFLES THE PALM DUBAI – FZE -</t>
  </si>
  <si>
    <t>RAFFLES MEA FZ-LLC - UAE</t>
  </si>
  <si>
    <t>ROE MANAGEMENT US INC. - US</t>
  </si>
  <si>
    <t>ACCOR MANAGEMENT CANADA INC</t>
  </si>
  <si>
    <t>Client Pending</t>
  </si>
  <si>
    <t>For Cancellation</t>
  </si>
  <si>
    <t>CN not Shared</t>
  </si>
  <si>
    <t>Pending Copy of Contract / SOW</t>
  </si>
  <si>
    <t>Refuse to Pay</t>
  </si>
  <si>
    <t>Pending Request</t>
  </si>
  <si>
    <t>Payment</t>
  </si>
  <si>
    <t>For Payment</t>
  </si>
  <si>
    <t>Client Unresponsive</t>
  </si>
  <si>
    <t>Paid</t>
  </si>
  <si>
    <t>Pending Documents</t>
  </si>
  <si>
    <t>APPROVAL - PROPERTY ALWAYS ON</t>
  </si>
  <si>
    <t>POAE586_AB Do not share with the client</t>
  </si>
  <si>
    <t>POAE591_ AB Do not share with the client</t>
  </si>
  <si>
    <t>DXB_PO14500_ Ab Do not share with the client</t>
  </si>
  <si>
    <t>EMAIL APPROVAL_AB Do not share with the client</t>
  </si>
  <si>
    <t>EMAIL APPROVAL _Ab Do not share with the client</t>
  </si>
  <si>
    <t>APPROVAL_PROPERTY LEVEL_SEA_002</t>
  </si>
  <si>
    <t>APPROVAL_PROPERTY LEVEL_SEA_001</t>
  </si>
  <si>
    <t>APPROVAL - PROPERTY LEVEL - ALWAYS ON</t>
  </si>
  <si>
    <t>APPROVEL - PROPERTY ALWAYS ON</t>
  </si>
  <si>
    <t>APPROVAL - PROPERTY - FAIRMONT LONG BEACH</t>
  </si>
  <si>
    <t>EMAIL APPROVAL - PROPERTY LEVEL</t>
  </si>
  <si>
    <t>APPROVAL - PROPERTY - FAIRMONT KEA LANI</t>
  </si>
  <si>
    <t>APPROVAL - PROPERTY + SIGNED PLAN</t>
  </si>
  <si>
    <t>EMAIL APPROVAL - GRAND DEL MAR TACTICAL 2025</t>
  </si>
  <si>
    <t>76360199911418TLKSPR</t>
  </si>
  <si>
    <t>HAMILTON PRINCESS TACTICAL 2025 - EMAIL APPROVAL</t>
  </si>
  <si>
    <t>EMAIL APPROVAL - HAMILTON WEDDING TACTICAL 2025</t>
  </si>
  <si>
    <t>EMAIL APPROVAL - FAIRMONT SAN FRANCISCO TACTICAL</t>
  </si>
  <si>
    <t>APPROVAL -PROPERTY ALWAYS ON</t>
  </si>
  <si>
    <t>FAIRMONT PROPERTY ALWAYS ON APPROVAL</t>
  </si>
  <si>
    <t>72653799598693TFYHGR#000504</t>
  </si>
  <si>
    <t>69910199694039SKNO2V #119210_Ab_ Do not share</t>
  </si>
  <si>
    <t>69910199694039TELPG0 #140358_AB do not share with</t>
  </si>
  <si>
    <t>DXB_PO14496_AB_Do not share with the client</t>
  </si>
  <si>
    <t>N° 2510073</t>
  </si>
  <si>
    <t>APPROVAL - PROPERTY LEVEN</t>
  </si>
  <si>
    <t>EMAIL APPROVAL - PROPERTY ALWAYS ON</t>
  </si>
  <si>
    <t>Email Approval - Fairmont Tokyo</t>
  </si>
  <si>
    <t>APPROVAL - PROPERTY - ALWAYS ON</t>
  </si>
  <si>
    <t>WOF28-Jul-25000013</t>
  </si>
  <si>
    <t>APPROVAL - PROPERTY ALWAYS ON 2025</t>
  </si>
  <si>
    <t>APPROVAL - PROPERTY LEVEL</t>
  </si>
  <si>
    <t>WIC PRAGUE - 007</t>
  </si>
  <si>
    <t>Errorneous payment - Overpayment</t>
  </si>
  <si>
    <t>Cleared</t>
  </si>
  <si>
    <t>On hold due to pending Docs (Bus Reg Cert)</t>
  </si>
  <si>
    <t xml:space="preserve">Client mentioned that payment has been approved and in processed on 2/4.
</t>
  </si>
  <si>
    <t>Invoice created against remaining balance of invoice M11IN26-00000936 to cancel once settled.</t>
  </si>
  <si>
    <t>On 27/03 Client is unable to process payment as the invoice relates to CY2025, was not communicated before books were closed, and is now restricted by audit constraints and limited current‑year activity.</t>
  </si>
  <si>
    <t xml:space="preserve">On 09/03 Client mentioned unable to proceed payment as required by Indonesian tax  regulation due to absence of COR(Certificate of  Residence) and DGT Form issued by tax authority client propose to process payment less 20% tax without documents - chasing Ops for an update.
</t>
  </si>
  <si>
    <t>Pending signed DGT form from Finance.</t>
  </si>
  <si>
    <t>Payment on hold due to pending CN issuance (USD 116.72) for overspend; sent to Ops on 17/02 and currently being followed up internally.</t>
  </si>
  <si>
    <t>Delayed due to Bank issue Client payment unsuccessful on 24/03 and asking to retrying test transaction again on 08/4 - Chasing client for an update.</t>
  </si>
  <si>
    <t>With Bank Issue on Client which possible  delaying payment.</t>
  </si>
  <si>
    <t>Column Labels</t>
  </si>
  <si>
    <t>0-30</t>
  </si>
  <si>
    <t>120 +</t>
  </si>
  <si>
    <t>31-60</t>
  </si>
  <si>
    <t>61-90</t>
  </si>
  <si>
    <t>91-120</t>
  </si>
  <si>
    <t>Grand Total</t>
  </si>
  <si>
    <t>Row Labels</t>
  </si>
  <si>
    <t>Sum of Remaining Amount</t>
  </si>
  <si>
    <t>CN Total</t>
  </si>
  <si>
    <t>Summary of Status as of Apr 2026</t>
  </si>
  <si>
    <t>Person Responsible</t>
  </si>
  <si>
    <t>Timeline</t>
  </si>
  <si>
    <t>(Multiple Items)</t>
  </si>
  <si>
    <t>Status as of Apr 2026</t>
  </si>
  <si>
    <t>Docs Requested</t>
  </si>
  <si>
    <t>P2P. Client confirmed payment in Process on 08/04.</t>
  </si>
  <si>
    <t>Client requesting for Clarification on the details of this invoice.</t>
  </si>
  <si>
    <t>Errorneous payment - invoice M11IN25-00033853 under different Entity client were informed and mentioned to process reversal on their end as CN.</t>
  </si>
  <si>
    <t>Reshared invoice on 08/04 as client mentioned did not received. Chasing Client for Payment timeline.</t>
  </si>
  <si>
    <t>P2P. Client confirmed Payment on 07/04 by 15/04.</t>
  </si>
  <si>
    <t>Client request documents to process payment on 07/0 such as 4 Tax Residency Certificate (TRC) - 2026, No Permanent Establishment (No PE) Certificate – 2026 Form 10F for FY 2026-27</t>
  </si>
  <si>
    <t>Client is requesting the September 2025 billing and has advised that payment will not be processed unless this is provided.</t>
  </si>
  <si>
    <t>• Client is requesting the September 2025 billing and has advised that payment will not be processed unless this is provided.</t>
  </si>
  <si>
    <t>Cleared - AB Linking</t>
  </si>
  <si>
    <t>Overdue Days</t>
  </si>
  <si>
    <t>324 days overdue</t>
  </si>
  <si>
    <t>Action Items</t>
  </si>
  <si>
    <t>Action Owner</t>
  </si>
  <si>
    <t>DGT Form</t>
  </si>
  <si>
    <t>COR and DGT Form</t>
  </si>
  <si>
    <t>Tax Certificate</t>
  </si>
  <si>
    <t xml:space="preserve"> Tax Residency Certificate (TRC) - 2026, No Permanent Establishment (No PE) Certificate – 2026 Form 10F for FY 2026-27</t>
  </si>
  <si>
    <t>Formulas auto-refresh when Consolidated SOA data is updated</t>
  </si>
  <si>
    <t>Paid Amount</t>
  </si>
  <si>
    <t>Unpaid Amount</t>
  </si>
  <si>
    <t>% Paid</t>
  </si>
  <si>
    <t>Status</t>
  </si>
  <si>
    <t>Summary Statistics</t>
  </si>
  <si>
    <t>Total Clients</t>
  </si>
  <si>
    <t>Total Receivable</t>
  </si>
  <si>
    <t>Total Paid</t>
  </si>
  <si>
    <t>Total Unpaid</t>
  </si>
  <si>
    <t>Total Group Currency</t>
  </si>
  <si>
    <t>Client Summary - Paid vs Unpaid Analysis (Group Currency)</t>
  </si>
  <si>
    <t>Delay due to late invoice sharing (including tax and address) on 02/10. On 10/03, the client proposed a 50% payment as the campaign had not started and the contract was still pending. On 07/04, the client requested the contract and advised it was not available to date, asking for any required details or documents to proceed with payment. On 13/04, the client forwarded the PO form; signed and returned to the client on the same day. Currently chasing the client for an update.</t>
  </si>
  <si>
    <t>Client Aging &amp; Status Report — Apr 2026 (Auto-Update)</t>
  </si>
  <si>
    <t>• was shared to client yet on 5/3 Faraz(Agency) mentioned to to park this invoice - still chasing if to shared or not. On 27/03 Faraz mentioned that no issue on this invoice and should be paid by client and now chasing client asking reason being skipped.
• For Cancellation - to replace PO with VAT.
• Paid Cancelled invoice Faraz mentioned they will raised new invoice to offset this CN.
• For invoice revision due to PO issue(Billed in Full).</t>
  </si>
  <si>
    <t>• AB Linking</t>
  </si>
  <si>
    <t>114 days overdue</t>
  </si>
  <si>
    <t xml:space="preserve">• Client refuses payment, citing Oct account closure. Sent to Faraz (Agency); pending response.
</t>
  </si>
  <si>
    <t>• Delay due to late POC sharing (20/01), new POC not handling old invoices, and pending approved PO requested on 05/02; escalated to Faraz and Toseef(Agency).</t>
  </si>
  <si>
    <t>• Unresponsive—no reply since 12 Jan; client advised they will revert once payment is processed. Keep Chasing client in email follow ups.</t>
  </si>
  <si>
    <t>• Client request clarification on the invoice which the attachement does not match to the month's campaign.</t>
  </si>
  <si>
    <t>• AB Linking
• Cllient Claiming the this invoice been paid for the campaign launch on April.
• Client requesting for Clarification on the details of this invoice.</t>
  </si>
  <si>
    <t>152 days overdue</t>
  </si>
  <si>
    <t>• Pending signed DGT form from Finance.
• Client request COR and DGT Form on 18/12. COR provided on 09/01, still pending as of 24/2 due to unsigned DGT form from Finance.</t>
  </si>
  <si>
    <t xml:space="preserve">• On 09/03 Client mentioned unable to proceed payment as required by Indonesian tax  regulation due to absence of COR(Certificate of  Residence) and DGT Form issued by tax authority client propose to process payment less 20% tax without documents - chasing Ops for an update.
</t>
  </si>
  <si>
    <t>• Payment on hold due to the client’s request for a detailed performance report of the invoices still pending on the agency side as of 06/03. Client requested a call on 31/03.</t>
  </si>
  <si>
    <t>307 days overdue</t>
  </si>
  <si>
    <t>• Payment on hold as properties escalated performance concerns to Corporate. Last update on 15/01 indicated Corporate will meet with properties for discussion. Continuing to chase client for update.</t>
  </si>
  <si>
    <t>• Payment delayed due to late Tax Cert (26/1). Client requested updated Tax Cert on 18/2; agency advised FTA does not issue annually. On 3/2 Client still asking to provided Tax Cert of the current year as they still unable process payment without it.</t>
  </si>
  <si>
    <t>• Payment on hold due to pending CN issuance (USD 116.72) for overspend; sent to Ops on 17/02 and currently being followed up internally.</t>
  </si>
  <si>
    <t>• Client refusing to settle, claiming payment was already made for the same month’s campaign</t>
  </si>
  <si>
    <t>306 days overdue</t>
  </si>
  <si>
    <t>• Client POC unresponsive - keep chsaing for an update.
• 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t>
  </si>
  <si>
    <t>⚡ Auto-updates from Consolidated SOA. Excludes: Paid, Cleared, For Payment, Client Pending paretos.</t>
  </si>
  <si>
    <t>-</t>
  </si>
  <si>
    <t>21 days overdue</t>
  </si>
  <si>
    <t>Due in 5 days</t>
  </si>
  <si>
    <t>• Pending Contract, WIP as per Hadi(Agency) on 12/8 - still chasing for an update internally.</t>
  </si>
  <si>
    <t>385 days overdue</t>
  </si>
  <si>
    <t>• Pending Contract, WIP as per Hadi(Agency) on 12/8 - still chasing for an update internally. Also on 26/02 client requesting for consolidated Excel summary of all charges and still pending by Ops Team.</t>
  </si>
  <si>
    <t>391 days overdue</t>
  </si>
  <si>
    <t>• Pending Contract, WIP as per Hadi(Agency) on 12/8. As of 7/11 Client request to amend the invoice to indicate Tax is borned by Bal Al Bahr Hospitality and service rendered in Morocco.</t>
  </si>
  <si>
    <t>118 days overdue</t>
  </si>
  <si>
    <t>29 days overdue</t>
  </si>
  <si>
    <t>149 days overdue</t>
  </si>
  <si>
    <t>117 days overdue</t>
  </si>
  <si>
    <t>393 days overdue</t>
  </si>
  <si>
    <t>• Pending Contract, WIP as per Hadi(Agency) on 12/8 - still chasing for an update internally. Ask client any supporting docs so they can proceed paying the outstanding, reshared invoices copy on 06/03 as client request.</t>
  </si>
  <si>
    <t>Due in 8 days</t>
  </si>
  <si>
    <t>1 days overdue</t>
  </si>
  <si>
    <t>• Client request contract on 7/04 inform still in progress and loop Ops Team for support</t>
  </si>
  <si>
    <t>481 days overdue</t>
  </si>
  <si>
    <t>309 days overdue</t>
  </si>
  <si>
    <t>156 days overdue</t>
  </si>
  <si>
    <t>• Pending Doc request on 12/11.(PE Cert,Copy of Pan,TRC,Form 10F,Contract,Bank Details) -  Pending signature</t>
  </si>
  <si>
    <t>392 days overdue</t>
  </si>
  <si>
    <t>22 days overdue</t>
  </si>
  <si>
    <t>311 days overdue</t>
  </si>
  <si>
    <t>65 days overdue</t>
  </si>
  <si>
    <t>Due in 7 days</t>
  </si>
  <si>
    <t>• On 27/03 Client is unable to process payment as the invoice relates to CY2025, was not communicated before books were closed, and is now restricted by audit constraints and limited current‑year activity.
• Invoice created against remaining balance of invoice M11IN26-00000936 to cancel once settled.
• Client request documents to process payment on 07/0 such as 4 Tax Residency Certificate (TRC) - 2026, No Permanent Establishment (No PE) Certificate – 2026 Form 10F for FY 2026-27</t>
  </si>
  <si>
    <t>310 days overdue</t>
  </si>
  <si>
    <t>• Hold payment due to pending contract - Keep sending monthly SOA and ask alternative support to proceed payment - reshared invoice copies as requested on 4/2. Client is requesting to revised invoice details to (
Raffles Dubai Branch of Wafi Property LLC, Dubai,Post Box: 121800, Phone No: +971 43248888,Emailaccountspayable@raffles.com) forwarded to Faraz on 5/2.</t>
  </si>
  <si>
    <t>AM11IN26-0002273</t>
  </si>
  <si>
    <t>On 02/04, the client advised that the invoice reported to Faraz (Agency) had a PO that was already fully utilized and requested issuance of a new invoice. This concern was forwarded to Faraz on 09/04 and is currently pending next steps.</t>
  </si>
  <si>
    <t>Delayed due to client-reported discrepancies in the total spend for the monthly campaign. On 4/3, Faraz (Agency) advised that the client will raise a new PO, after which payment will be made. On 13/04 Client mentioned that invoice are being finalized and in Process and assure to be cleared yet no timeline given.</t>
  </si>
  <si>
    <t>IMMEDIATE</t>
  </si>
  <si>
    <t>To Confirm with Agency timeline when the actuals to be offset. Clear within the Month to avoid month-end backlog.</t>
  </si>
  <si>
    <t>Escalate to Agency. If no response in 5 days, escalate to Corporate POC.</t>
  </si>
  <si>
    <t>Follow up with Agency for CN sharing timeline expected for offsetting.</t>
  </si>
  <si>
    <t>Chase Agency for contract status. Aged items (&gt;120 days) require immediate escalation.</t>
  </si>
  <si>
    <t xml:space="preserve"> Request specific docs needed. Set deadline for compliance forms.</t>
  </si>
  <si>
    <t>Provide requested reports/clarifications.</t>
  </si>
  <si>
    <t>Immediate Agency escalation.</t>
  </si>
  <si>
    <t>Payment on hold due to client request for detailed performance report for invoices pending on agency side as of 06/03. Call requested on 31/03 and actioned by Faraz. Partial processing done; remaining invoices still open. Follow-up sent on 14/04 to confirm reason for hold or further actions needed.</t>
  </si>
  <si>
    <t>Payment on hold as properties escalated performance concerns to Corporate. Corporate team has been unresponsive despite multiple follow-ups. Partial payment received covering recent invoices only; older invoices remain open with no reason provided.</t>
  </si>
  <si>
    <t>Payment delayed due to late Tax Cert (26/1). Client requested updated Tax Cert on 18/2; agency advised FTA does not issue annually. On 3/2 Client still asking to provided Tax Cert of the current year as they still unable process payment without it. received partial payment to other invoice yet there are invoice are not included.</t>
  </si>
  <si>
    <t>CN Issuance</t>
  </si>
  <si>
    <t>To Chase Operation and request Timeline for CN issuance</t>
  </si>
  <si>
    <t>AB Linking Total</t>
  </si>
  <si>
    <t>For Cancellation Total</t>
  </si>
  <si>
    <t>Total Non-Collectible</t>
  </si>
  <si>
    <t>Adjusted Receivable</t>
  </si>
  <si>
    <t>Adjusted Paid</t>
  </si>
  <si>
    <t>Adjusted Unpaid</t>
  </si>
  <si>
    <t>Overall % Paid (incl. Non-Collectible)</t>
  </si>
  <si>
    <t>--- NON-COLLECTIBLE ---</t>
  </si>
  <si>
    <t>--- COLLECTIBLE ONLY ---</t>
  </si>
  <si>
    <t>Adjusted % Paid (Collectible)</t>
  </si>
  <si>
    <t>--- FOR PAYMENT (Expected This Month) ---</t>
  </si>
  <si>
    <t>For Payment (Confirmed)</t>
  </si>
  <si>
    <t>Til Friday</t>
  </si>
  <si>
    <t>Disputed Invoice</t>
  </si>
  <si>
    <r>
      <t>Payment on hold as</t>
    </r>
    <r>
      <rPr>
        <b/>
        <i/>
        <sz val="11"/>
        <color theme="1"/>
        <rFont val="Aptos Narrow"/>
        <family val="2"/>
        <scheme val="minor"/>
      </rPr>
      <t xml:space="preserve"> properties escalated performance concerns</t>
    </r>
    <r>
      <rPr>
        <i/>
        <sz val="11"/>
        <color theme="1"/>
        <rFont val="Aptos Narrow"/>
        <family val="2"/>
        <scheme val="minor"/>
      </rPr>
      <t xml:space="preserve"> to Corporate. Corporate team has been unresponsive despite multiple follow-ups. Partial payment received covering recent invoices only; older invoices remain open with no reason provided.</t>
    </r>
  </si>
  <si>
    <t>Location</t>
  </si>
  <si>
    <t>California, USA</t>
  </si>
  <si>
    <t>Dubai AE</t>
  </si>
  <si>
    <t>Maryland USA</t>
  </si>
  <si>
    <t>Jeddah, Saudi Arabia</t>
  </si>
  <si>
    <t>Makati, Philippines</t>
  </si>
  <si>
    <t>Baku, Azerbaijan</t>
  </si>
  <si>
    <t>ABU DHABI, AE</t>
  </si>
  <si>
    <t>Victoria, Canada</t>
  </si>
  <si>
    <t>Marrakech, Morocco</t>
  </si>
  <si>
    <t>Sale, Morocco</t>
  </si>
  <si>
    <t>LEINSTER, Ireland</t>
  </si>
  <si>
    <t>LONG BEACH, USA</t>
  </si>
  <si>
    <t>TORONTO, Canada</t>
  </si>
  <si>
    <t>Inv Date</t>
  </si>
  <si>
    <t>(M11) (M11)100111888</t>
  </si>
  <si>
    <t>ACCOR MANAGEMENT, US INC</t>
  </si>
  <si>
    <t>9000066463</t>
  </si>
  <si>
    <t>AMT 1,344.44</t>
  </si>
  <si>
    <t>Rem amt posted on acc against pay amt 1,344.44</t>
  </si>
  <si>
    <t>(M11)(M114)100111888</t>
  </si>
  <si>
    <t>Overpayment against rem bal of inv M11IN25-00013509 &amp; M11IN25-00019361.</t>
  </si>
  <si>
    <t>await Excel.run(async (context) =&gt; {</t>
  </si>
  <si>
    <t>ISSUE DETAIL VIEW - PARETO ANALYSIS DASHBOARD</t>
  </si>
  <si>
    <t>⚡ AUTO-UPDATES: Select a Pareto from the dropdown (B4). All data refreshes automatically from Consolidated SOA when changes are made.</t>
  </si>
  <si>
    <t>CORP GROUP:</t>
  </si>
  <si>
    <t>PARETO:</t>
  </si>
  <si>
    <t># Clients Affected:</t>
  </si>
  <si>
    <t>% OF TOTAL:</t>
  </si>
  <si>
    <t># OF INVOICES:</t>
  </si>
  <si>
    <t>CURR.CONV.</t>
  </si>
  <si>
    <t>EUR</t>
  </si>
  <si>
    <t>Subtotals:</t>
  </si>
  <si>
    <t>Grand Totals:</t>
  </si>
  <si>
    <t>Total:</t>
  </si>
  <si>
    <t>CorpGroup_List</t>
  </si>
  <si>
    <t>Pareto_List</t>
  </si>
  <si>
    <t>UNIQUE CLIENT REF.</t>
  </si>
  <si>
    <t>Reference Doc No.</t>
  </si>
  <si>
    <t>Doc Date</t>
  </si>
  <si>
    <t>Pmt Terms (Days)</t>
  </si>
  <si>
    <t>120+</t>
  </si>
  <si>
    <t xml:space="preserve">  const wb = context.workbook;</t>
  </si>
  <si>
    <t xml:space="preserve">  const NAME = "Issue Detail Dashboard";</t>
  </si>
  <si>
    <t xml:space="preserve">  const SOA = "Consolidated SOA";</t>
  </si>
  <si>
    <t xml:space="preserve">  const GOLD = "#9D833E", BLUE = "#1F4E79", WHITE = "#FFFFFF", GRAY = "#D9D9D9";</t>
  </si>
  <si>
    <t xml:space="preserve">  const sheet = wb.worksheets.add(NAME);</t>
  </si>
  <si>
    <t xml:space="preserve">  sheet.activate();</t>
  </si>
  <si>
    <t xml:space="preserve">  const rng = (a) =&gt; sheet.getRange(a);</t>
  </si>
  <si>
    <t xml:space="preserve">  const R = (c) =&gt; `'${SOA}'!$${c}$7:$${c}$500`;</t>
  </si>
  <si>
    <t xml:space="preserve">  const fill = (a, c) =&gt; rng(a).format.fill.color = c;</t>
  </si>
  <si>
    <t xml:space="preserve">  Object.entries(colWidths).forEach(([c,w]) =&gt; rng(`${c}1`).format.columnWidth = w);</t>
  </si>
  <si>
    <t xml:space="preserve">  rng("R:V").format.columnHidden = true;</t>
  </si>
  <si>
    <t xml:space="preserve">  sheet.freezePanes.freezeRows(10);</t>
  </si>
  <si>
    <t xml:space="preserve">  await context.sync();</t>
  </si>
  <si>
    <t>});</t>
  </si>
  <si>
    <t>// ============================================================================</t>
  </si>
  <si>
    <t>// Version: April 21, 2026</t>
  </si>
  <si>
    <t>// Source: 'Consolidated SOA' rows 7-500</t>
  </si>
  <si>
    <t>To Chase Operation and request with assistance and support in chasing the corp Team</t>
  </si>
  <si>
    <t>// ISSUE DETAIL DASHBOARD - COMPLETE SCRIPT (FINAL VERSION)</t>
  </si>
  <si>
    <t>// Features:</t>
  </si>
  <si>
    <t>//   - Row 7 (USD Subtotals), Row 8 (AED Subtotals)</t>
  </si>
  <si>
    <t>//   - C7 = Total BS (Receivables) from Column AE</t>
  </si>
  <si>
    <t>//   - D7 = Group Currency Amount from Column AF</t>
  </si>
  <si>
    <t>//   - K4 = Pareto % = C7 / Total BS for records WITH Pareto (filtered by Corp Group)</t>
  </si>
  <si>
    <t>//   - Number format: positive normal, negative RED, zero/blank empty</t>
  </si>
  <si>
    <t>//   - Aging fill colors (Yellow, Peach)</t>
  </si>
  <si>
    <t>//   - Font size 16 for rows 1-10</t>
  </si>
  <si>
    <t>//   - Freeze Panes Rows 1-10, Helper Columns R-V Hidden</t>
  </si>
  <si>
    <t>//   - Set zoom to 44% manually via View &gt; Zoom</t>
  </si>
  <si>
    <t xml:space="preserve">  // Colors</t>
  </si>
  <si>
    <t xml:space="preserve">  const YELLOW_LIGHT = "#FFF2CC", PEACH_LIGHT = "#FCE4D6", PEACH_DARK = "#F8CBAD";</t>
  </si>
  <si>
    <t xml:space="preserve">  // Delete existing sheet</t>
  </si>
  <si>
    <t xml:space="preserve">  try { const s = wb.worksheets.getItem(NAME); s.delete(); await context.sync(); } catch(e){}</t>
  </si>
  <si>
    <t xml:space="preserve">  // Create new sheet</t>
  </si>
  <si>
    <t xml:space="preserve">  // Helpers</t>
  </si>
  <si>
    <t xml:space="preserve">  const border = (r, edge, color) =&gt; { const b = r.format.borders.getItem(edge); b.style = "Continuous"; b.color = color; b.weight = "Thin"; };</t>
  </si>
  <si>
    <t xml:space="preserve">  const whiteEdges = (a) =&gt; { const r = rng(a); ["EdgeTop","EdgeBottom","EdgeLeft","EdgeRight"].forEach(e =&gt; border(r, e, WHITE)); };</t>
  </si>
  <si>
    <t xml:space="preserve">  const allBorders = (a, color=GRAY) =&gt; { const r = rng(a); ["EdgeTop","EdgeBottom","EdgeLeft","EdgeRight","InsideHorizontal","InsideVertical"].forEach(e =&gt; border(r, e, color)); };</t>
  </si>
  <si>
    <t xml:space="preserve">  const clearBorders = (a) =&gt; { const r = rng(a); ["EdgeTop","EdgeBottom","EdgeLeft","EdgeRight","InsideHorizontal","InsideVertical"].forEach(e =&gt; { r.format.borders.getItem(e).style = "None"; }); };</t>
  </si>
  <si>
    <t xml:space="preserve">  const setFont = (a, name, size, bold, color) =&gt; { const f = rng(a).format.font; if(name)f.name=name; if(size)f.size=size; if(bold!==undefined)f.bold=bold; if(color)f.color=color; };</t>
  </si>
  <si>
    <t xml:space="preserve">  const align = (a, h, v="Center") =&gt; { const r = rng(a).format; r.horizontalAlignment=h; r.verticalAlignment=v; };</t>
  </si>
  <si>
    <t xml:space="preserve">  // SOA ranges</t>
  </si>
  <si>
    <t xml:space="preserve">  const COL_UCR="C",COL_NAME="D",COL_REF="F",COL_ASGN="Q",COL_DOCD="L",COL_DUED="I",COL_CURR="G",COL_AMT="H",COL_AGING="J",COL_PARETO="AJ",COL_STATUS="AK",COL_TEXT="AA",COL_CG="M",COL_TOTAL_BS="AE",COL_GROUP_CURR="AF";</t>
  </si>
  <si>
    <t xml:space="preserve">  // LET filter</t>
  </si>
  <si>
    <t xml:space="preserve">  const LET_BASE = `LET(cg,$B$3,p,$B$4,cgCond,IF(cg="(All)",TRUE,${R(COL_CG)}=cg),pCond,IF(p="(All)",${R(COL_PARETO)}&lt;&gt;"",IF(p="AB Linking / For Cancellation",(${R(COL_PARETO)}="AB Linking")+(${R(COL_PARETO)}="For Cancellation"),${R(COL_PARETO)}=p)),cond,cgCond*pCond,`;</t>
  </si>
  <si>
    <t xml:space="preserve">  const spillCol = (soaRange) =&gt; `=IFERROR(${LET_BASE}data,FILTER(${soaRange},cond),TAKE(data,MIN(500,ROWS(data)))),"")`;</t>
  </si>
  <si>
    <t xml:space="preserve">  const spillAging = (bucket) =&gt; `=IFERROR(${LET_BASE}amt,FILTER(${R(COL_AMT)},cond,""),ag,FILTER(${R(COL_AGING)},cond,""),result,IF(ag="${bucket}",amt,""),IFERROR(TAKE(result,MIN(500,ROWS(result))),"")),"")`; </t>
  </si>
  <si>
    <t xml:space="preserve">  const spillTermsDays = () =&gt; `=IFERROR(${LET_BASE}dd,FILTER(${R(COL_DOCD)},cond,""),du,FILTER(${R(COL_DUED)},cond,""),res,du-dd,IFERROR(TAKE(res,MIN(500,ROWS(res))),"")),"")`; </t>
  </si>
  <si>
    <t xml:space="preserve">  // Dimensions</t>
  </si>
  <si>
    <t xml:space="preserve">  const colWidths = {A:128.25,B:195,C:129.75,D:120,E:84,F:69,G:75.75,H:57,I:87.75,J:93.75,K:95.25,L:94.5,M:93,N:104.25,O:133.5,P:314.25,Q:228};</t>
  </si>
  <si>
    <t xml:space="preserve">  [[1,34.5],[2,21.75],[3,21.75],[4,24.75],[5,19.5],[6,33.75],[7,21.75],[8,21.75],[9,10.5],[10,40.5]].forEach(([r,h]) =&gt; rng(`${r}:${r}`).format.rowHeight = h);</t>
  </si>
  <si>
    <t xml:space="preserve">  rng("11:510").format.rowHeight = 30.75;</t>
  </si>
  <si>
    <t xml:space="preserve">  // Row 1-2: Title (Font size 16)</t>
  </si>
  <si>
    <t xml:space="preserve">  rng("A1:Q1").merge(); rng("A1").values = [["ISSUE DETAIL VIEW - PARETO ANALYSIS DASHBOARD"]]; fill("A1:Q1", GOLD); setFont("A1", "Segoe UI", 16, true, WHITE); align("A1", "Center");</t>
  </si>
  <si>
    <t xml:space="preserve">  rng("A2:Q2").merge(); rng("A2").values = [["⚡ AUTO-UPDATES: Select a Pareto from the dropdown (B4). All data refreshes automatically from Consolidated SOA when changes are made."]]; fill("A2:Q2", GOLD); setFont("A2", "Calibri", 16, true, WHITE); rng("A2").format.font.italic = true; align("A2", "Center");</t>
  </si>
  <si>
    <t xml:space="preserve">  // Row 3: Corp Group (Font size 16)</t>
  </si>
  <si>
    <t xml:space="preserve">  fill("A3:Q3", GOLD); rng("A3").values = [["CORP GROUP:"]]; setFont("A3", "Segoe UI", 16, true, WHITE); rng("A3").format.font.italic = true; align("A3", "Right");</t>
  </si>
  <si>
    <t xml:space="preserve">  rng("B3").values = [["(All)"]]; fill("B3", BLUE); setFont("B3", "Segoe UI", 16, true, WHITE); align("B3", "Center"); whiteEdges("B3");</t>
  </si>
  <si>
    <t xml:space="preserve">  // Row 4: Pareto + KPIs (Font size 16)</t>
  </si>
  <si>
    <t xml:space="preserve">  fill("A4:Q4", GOLD); setFont("A4:Q4", "Segoe UI", 16, true, WHITE);</t>
  </si>
  <si>
    <t xml:space="preserve">  rng("A4").values = [["PARETO:"]]; rng("A4").format.font.italic = true; align("A4", "Right");</t>
  </si>
  <si>
    <t xml:space="preserve">  rng("B4").values = [["(All)"]]; fill("B4", BLUE); align("B4", "Center"); whiteEdges("B4");</t>
  </si>
  <si>
    <t xml:space="preserve">  rng("F4").values = [["# Clients Affected:"]]; rng("F4").format.font.italic = true; align("F4", "Right");</t>
  </si>
  <si>
    <t xml:space="preserve">  rng("G4").formulas = [[`=LET(cg,$B$3,p,$B$4,cgCond,IF(cg="(All)",TRUE,${R(COL_CG)}=cg),pCond,IF(p="(All)",${R(COL_PARETO)}&lt;&gt;"",IF(p="AB Linking / For Cancellation",(${R(COL_PARETO)}="AB Linking")+(${R(COL_PARETO)}="For Cancellation"),${R(COL_PARETO)}=p)),cond,cgCond*pCond,IFERROR(COUNTA(UNIQUE(FILTER(${R("B")},cond))),0))`]]; fill("G4", BLUE); align("G4", "Center"); rng("G4").numberFormat = [["#,##0"]]; whiteEdges("G4");</t>
  </si>
  <si>
    <t xml:space="preserve">  rng("J4").values = [["% OF TOTAL:"]]; rng("J4").format.font.italic = true; align("J4", "Right");</t>
  </si>
  <si>
    <t xml:space="preserve">  // K4: Pareto % = C7 / Total BS for records WITH Pareto values (filtered by Corp Group)</t>
  </si>
  <si>
    <t xml:space="preserve">  rng("K4").formulas = [[`=IFERROR(C7/IF($B$3="(All)",SUMIF('Consolidated SOA'!$AJ$7:$AJ$500,"&lt;&gt;",'Consolidated SOA'!$AE$7:$AE$500),SUMIFS('Consolidated SOA'!$AE$7:$AE$500,'Consolidated SOA'!$AJ$7:$AJ$500,"&lt;&gt;",'Consolidated SOA'!$M$7:$M$500,$B$3)),0)`]]; fill("K4", BLUE); align("K4", "Center"); rng("K4").numberFormat = [["0%"]]; whiteEdges("K4");</t>
  </si>
  <si>
    <t xml:space="preserve">  rng("M4").values = [["# OF INVOICES:"]]; rng("M4").format.font.italic = true; align("M4", "Right");</t>
  </si>
  <si>
    <t xml:space="preserve">  rng("N4").formulas = [[`=LET(cg,$B$3,p,$B$4,cgCond,IF(cg="(All)",TRUE,${R(COL_CG)}=cg),pCond,IF(p="(All)",${R(COL_PARETO)}&lt;&gt;"",IF(p="AB Linking / For Cancellation",(${R(COL_PARETO)}="AB Linking")+(${R(COL_PARETO)}="For Cancellation"),${R(COL_PARETO)}=p)),cond,cgCond*pCond,IFERROR(ROWS(FILTER(${R("B")},cond)),0))`]]; fill("N4", BLUE); align("N4", "Center"); rng("N4").numberFormat = [["#,##0"]]; whiteEdges("N4");</t>
  </si>
  <si>
    <t xml:space="preserve">  // Rows 5-6 (Font size 16)</t>
  </si>
  <si>
    <t xml:space="preserve">  fill("A5:Q5", GOLD); fill("A6:Q6", GOLD); setFont("A6:Q6", "Segoe UI", 16, true, WHITE);</t>
  </si>
  <si>
    <t xml:space="preserve">  rng("A6").values = [["CURR.CONV."]]; rng("A6").format.font.italic = true; align("A6", "Left");</t>
  </si>
  <si>
    <t xml:space="preserve">  rng("B6").values = [["USD"]]; rng("C6").values = [["AED"]]; rng("D6").values = [["EUR"]]; ["B6","C6","D6"].forEach(a =&gt; align(a,"Center"));</t>
  </si>
  <si>
    <t xml:space="preserve">  rng("I6").values=[["Subtotals:"]]; align("I6","Center"); rng("O6").values=[["Grand Totals:"]]; align("O6","Center");</t>
  </si>
  <si>
    <t xml:space="preserve">  // Row 7: USD Totals (Font size 16)</t>
  </si>
  <si>
    <t xml:space="preserve">  fill("A7:Q7", GOLD); setFont("A7:Q7", "Segoe UI", 16, true, WHITE); rng("A7").values=[["Total:"]]; align("A7","Right");</t>
  </si>
  <si>
    <t xml:space="preserve">  // B7: USD Total from dashboard aging columns</t>
  </si>
  <si>
    <t xml:space="preserve">  rng("B7").formulas=[[`=IF(COUNTIF($H$11:$H$510,"USD")=0,"",SUMIF($H$11:$H$510,"USD",$I$11:$I$510)+SUMIF($H$11:$H$510,"USD",$J$11:$J$510)+SUMIF($H$11:$H$510,"USD",$K$11:$K$510)+SUMIF($H$11:$H$510,"USD",$L$11:$L$510)+SUMIF($H$11:$H$510,"USD",$M$11:$M$510)+SUMIF($H$11:$H$510,"USD",$N$11:$N$510))`]];</t>
  </si>
  <si>
    <t xml:space="preserve">  // C7: Total BS (Receivables) from Consolidated SOA Column AE</t>
  </si>
  <si>
    <t xml:space="preserve">  rng("C7").formulas=[[`=LET(cg,$B$3,p,$B$4,cgCond,IF(cg="(All)",TRUE,${R(COL_CG)}=cg),pCond,IF(p="(All)",${R(COL_PARETO)}&lt;&gt;"",IF(p="AB Linking / For Cancellation",(${R(COL_PARETO)}="AB Linking")+(${R(COL_PARETO)}="For Cancellation"),${R(COL_PARETO)}=p)),cond,cgCond*pCond,IFERROR(SUMPRODUCT(cond*${R(COL_TOTAL_BS)}),0))`]];</t>
  </si>
  <si>
    <t xml:space="preserve">  // D7: Group Currency Amount from Consolidated SOA Column AF</t>
  </si>
  <si>
    <t xml:space="preserve">  rng("D7").formulas=[[`=LET(cg,$B$3,p,$B$4,cgCond,IF(cg="(All)",TRUE,${R(COL_CG)}=cg),pCond,IF(p="(All)",${R(COL_PARETO)}&lt;&gt;"",IF(p="AB Linking / For Cancellation",(${R(COL_PARETO)}="AB Linking")+(${R(COL_PARETO)}="For Cancellation"),${R(COL_PARETO)}=p)),cond,cgCond*pCond,IFERROR(SUMPRODUCT(cond*${R(COL_GROUP_CURR)}),0))`]];</t>
  </si>
  <si>
    <t xml:space="preserve">  ["B7","C7","D7"].forEach(a=&gt;{ fill(a, BLUE); align(a,"Center"); rng(a).numberFormat=[["#,##0;[Red]-#,##0;;@"]]; whiteEdges(a); });</t>
  </si>
  <si>
    <t xml:space="preserve">  rng("H7").values=[["USD"]]; fill("H7", GOLD); align("H7","Center");</t>
  </si>
  <si>
    <t xml:space="preserve">  // I7:N7 USD Subtotals</t>
  </si>
  <si>
    <t xml:space="preserve">  ["I","J","K","L","M","N"].forEach(c =&gt; { rng(`${c}7`).formulas=[[`=IF(COUNTIF($H$11:$H$510,"USD")=0,"",SUMIF($H$11:$H$510,"USD",${c}$11:${c}$510))`]]; });</t>
  </si>
  <si>
    <t xml:space="preserve">  fill("I7:N7", BLUE); setFont("I7:N7", "Segoe UI", 16, true, WHITE); align("I7:N7", "Center"); rng("I7:N7").numberFormat = [["#,##0;[Red]-#,##0;;@"]]; allBorders("I7:N7", WHITE);</t>
  </si>
  <si>
    <t xml:space="preserve">  rng("O7").formulas=[[`=IF(COUNTIF($H$11:$H$510,"USD")=0,"",SUM(I7:N7))`]]; fill("O7", BLUE); align("O7","Center"); rng("O7").numberFormat=[["#,##0;[Red]-#,##0;;@"]]; whiteEdges("O7");</t>
  </si>
  <si>
    <t xml:space="preserve">  // Row 8: AED Subtotals (Font size 16)</t>
  </si>
  <si>
    <t xml:space="preserve">  fill("A8:Q8", GOLD); setFont("A8:Q8", "Segoe UI", 16, true, WHITE);</t>
  </si>
  <si>
    <t xml:space="preserve">  rng("H8").values=[["AED"]]; fill("H8", GOLD); align("H8","Center");</t>
  </si>
  <si>
    <t xml:space="preserve">  // I8:N8 AED Subtotals</t>
  </si>
  <si>
    <t xml:space="preserve">  ["I","J","K","L","M","N"].forEach(c =&gt; { rng(`${c}8`).formulas=[[`=IF(COUNTIF($H$11:$H$510,"AED")=0,"",SUMIF($H$11:$H$510,"AED",${c}$11:${c}$510))`]]; });</t>
  </si>
  <si>
    <t xml:space="preserve">  fill("I8:N8", BLUE); setFont("I8:N8", "Segoe UI", 16, true, WHITE); align("I8:N8", "Center"); rng("I8:N8").numberFormat = [["#,##0;[Red]-#,##0;;@"]]; allBorders("I8:N8", WHITE);</t>
  </si>
  <si>
    <t xml:space="preserve">  rng("O8").formulas=[[`=IF(COUNTIF($H$11:$H$510,"AED")=0,"",SUM(I8:N8))`]]; fill("O8", BLUE); align("O8","Center"); rng("O8").numberFormat=[["#,##0;[Red]-#,##0;;@"]]; whiteEdges("O8");</t>
  </si>
  <si>
    <t xml:space="preserve">  // Row 9: Spacer</t>
  </si>
  <si>
    <t xml:space="preserve">  fill("A9:Q9", GOLD);</t>
  </si>
  <si>
    <t xml:space="preserve">  // Row 10: Headers (Font size 16, NO borders)</t>
  </si>
  <si>
    <t xml:space="preserve">  const headers = ["UNIQUE CLIENT REF.","Name","Reference Doc No.","Assignment Number","Doc Date","Pmt Terms (Days)","Due Date","Doc Currency","Current","0-30","31-60","61-90","91-120","120+","Pareto","Status as of Apr 2026","Text"];</t>
  </si>
  <si>
    <t xml:space="preserve">  const cols = ["A","B","C","D","E","F","G","H","I","J","K","L","M","N","O","P","Q"];</t>
  </si>
  <si>
    <t xml:space="preserve">  headers.forEach((h, i) =&gt; { rng(`${cols[i]}10`).values = [[h]]; });</t>
  </si>
  <si>
    <t xml:space="preserve">  fill("A10:Q10", GOLD); setFont("A10:Q10", "Segoe UI", 16, true, WHITE); align("A10:Q10","Center"); rng("A10:Q10").format.wrapText = true; clearBorders("A10:Q10");</t>
  </si>
  <si>
    <t xml:space="preserve">  // Data Spill Formulas (Row 11)</t>
  </si>
  <si>
    <t xml:space="preserve">  rng("A11").formulas = [[ spillCol(R(COL_UCR)) ]]; rng("B11").formulas = [[ spillCol(R(COL_NAME)) ]]; rng("C11").formulas = [[ spillCol(R(COL_REF)) ]]; rng("D11").formulas = [[ spillCol(R(COL_ASGN)) ]];</t>
  </si>
  <si>
    <t xml:space="preserve">  rng("E11").formulas = [[ spillCol(R(COL_DOCD)) ]]; rng("F11").formulas = [[ spillTermsDays() ]]; rng("G11").formulas = [[ spillCol(R(COL_DUED)) ]]; rng("H11").formulas = [[ spillCol(R(COL_CURR)) ]];</t>
  </si>
  <si>
    <t xml:space="preserve">  rng("I11").formulas = [[ spillAging("Current") ]]; rng("J11").formulas = [[ spillAging("0-30") ]]; rng("K11").formulas = [[ spillAging("31-60") ]]; rng("L11").formulas = [[ spillAging("61-90") ]];</t>
  </si>
  <si>
    <t xml:space="preserve">  rng("M11").formulas = [[ spillAging("91-120") ]]; rng("N11").formulas = [[ spillAging("120 +") ]];</t>
  </si>
  <si>
    <t xml:space="preserve">  rng("O11").formulas = [[ spillCol(R(COL_PARETO)) ]]; rng("P11").formulas = [[ spillCol(R(COL_STATUS)) ]]; rng("Q11").formulas = [[ spillCol(R(COL_TEXT)) ]];</t>
  </si>
  <si>
    <t xml:space="preserve">  // Data Formatting</t>
  </si>
  <si>
    <t xml:space="preserve">  rng("E11:E510").numberFormat = [["dd/mm/yyyy"]]; rng("G11:G510").numberFormat = [["dd/mm/yyyy"]]; rng("F11:F510").numberFormat = [["0"]];</t>
  </si>
  <si>
    <t xml:space="preserve">  // Number format: positive normal, negative RED, zero/blank empty</t>
  </si>
  <si>
    <t xml:space="preserve">  rng("I11:N510").numberFormat = [["#,##0;[Red]-#,##0;;@"]];</t>
  </si>
  <si>
    <t xml:space="preserve">  setFont("A11:Q510", "Calibri", 11, false, null); rng("A11:Q510").format.wrapText = true; rng("A11:Q510").format.verticalAlignment = "Center"; allBorders("A11:Q510", GRAY);</t>
  </si>
  <si>
    <t xml:space="preserve">  // Aging fill colors</t>
  </si>
  <si>
    <t xml:space="preserve">  fill("I11:I510", YELLOW_LIGHT); setFont("I11:I510", "Calibri", 11, true, "#006100");</t>
  </si>
  <si>
    <t xml:space="preserve">  fill("J11:L510", PEACH_LIGHT); setFont("J11:L510", "Calibri", 11, true, null);</t>
  </si>
  <si>
    <t xml:space="preserve">  fill("M11:N510", PEACH_DARK); setFont("M11:N510", "Calibri", 11, true, null);</t>
  </si>
  <si>
    <t xml:space="preserve">  // Dropdowns (Helper columns)</t>
  </si>
  <si>
    <t xml:space="preserve">  rng("R1").values=[["CorpGroup_List"]]; rng("S1").values=[["Pareto_List"]];</t>
  </si>
  <si>
    <t xml:space="preserve">  rng("R2").formulas=[[`=VSTACK("(All)",SORT(UNIQUE(FILTER(${R(COL_CG)},${R(COL_CG)}&lt;&gt;""))))`]];</t>
  </si>
  <si>
    <t xml:space="preserve">  rng("S2").formulas=[[`=VSTACK("(All)",SORT(UNIQUE(FILTER(${R(COL_PARETO)},${R(COL_PARETO)}&lt;&gt;""))))`]];</t>
  </si>
  <si>
    <t xml:space="preserve">  rng("B3").dataValidation.clear(); rng("B3").dataValidation.rule = { list: { inCellDropDown: true, source: "=$R$2#" } };</t>
  </si>
  <si>
    <t xml:space="preserve">  rng("B4").dataValidation.clear(); rng("B4").dataValidation.rule = { list: { inCellDropDown: true, source: "=$S$2#" } };</t>
  </si>
  <si>
    <t xml:space="preserve">  // Freeze Panes (Rows 1-10)</t>
  </si>
  <si>
    <t xml:space="preserve">  return "✅ Dashboard created successfully!";</t>
  </si>
  <si>
    <t>Boston, USA</t>
  </si>
  <si>
    <t>Cape Town, South Africa</t>
  </si>
  <si>
    <t>Ottawa Canada</t>
  </si>
  <si>
    <t>MALDIVES</t>
  </si>
  <si>
    <t>NAIROBI, Kenya</t>
  </si>
  <si>
    <t>QUÉBEC, Canada</t>
  </si>
  <si>
    <t>CAROLINA USA</t>
  </si>
  <si>
    <t>ALBERTA, Canada</t>
  </si>
  <si>
    <t>DUBAI, AE</t>
  </si>
  <si>
    <t>CAIRO, Egypt</t>
  </si>
  <si>
    <t>VANCOUVER, Canada</t>
  </si>
  <si>
    <t>RIYADH, Saudi Arabia</t>
  </si>
  <si>
    <t>Canada</t>
  </si>
  <si>
    <t>SAN ROQUE, Spain</t>
  </si>
  <si>
    <t>HANOI, Vietnam</t>
  </si>
  <si>
    <t>MIDDLESEX, UK</t>
  </si>
  <si>
    <t>Hamilton, Bermuda</t>
  </si>
  <si>
    <t>AJMAN, AE</t>
  </si>
  <si>
    <t>MONTREUX, Switzerland</t>
  </si>
  <si>
    <t>Hamburg, Gernmany</t>
  </si>
  <si>
    <t xml:space="preserve"> AMMAN, Jordan</t>
  </si>
  <si>
    <t>DOHA, Qatar</t>
  </si>
  <si>
    <t>MUMBAI, india</t>
  </si>
  <si>
    <t>PRASLIN, Seychelles</t>
  </si>
  <si>
    <t>MONTEBLLO, Canada</t>
  </si>
  <si>
    <t>WASHINGTON, USA</t>
  </si>
  <si>
    <t>WINNIPEG, Canada</t>
  </si>
  <si>
    <t>TEXAS, USA</t>
  </si>
  <si>
    <t>HAWAII</t>
  </si>
  <si>
    <t>SAN FRANCISCO, USA</t>
  </si>
  <si>
    <t>RIO DE JANEIRO, Brazil</t>
  </si>
  <si>
    <t>PLAYA DEL CARMEN, Mexico</t>
  </si>
  <si>
    <t>SEOUL, South Korea</t>
  </si>
  <si>
    <t>JAKARTA SELATAN, Indonesia</t>
  </si>
  <si>
    <t>Jimbaran, Indonesia</t>
  </si>
  <si>
    <t>QUEBEC, Canada</t>
  </si>
  <si>
    <t>SINGAPORE</t>
  </si>
  <si>
    <t>SAINT JAMES, Barbados</t>
  </si>
  <si>
    <t>WARSZAWA, Poland</t>
  </si>
  <si>
    <t>MONACO</t>
  </si>
  <si>
    <t>SISLI, Turkey</t>
  </si>
  <si>
    <t>TOKYO, Japan</t>
  </si>
  <si>
    <t>SCOTTSDALE, USA</t>
  </si>
  <si>
    <t>PARIS, France</t>
  </si>
  <si>
    <t>SONOMA, USA</t>
  </si>
  <si>
    <t>ST ANDREWS, UK</t>
  </si>
  <si>
    <t>TANGIER, Morocco</t>
  </si>
  <si>
    <t>LONDON, UK</t>
  </si>
  <si>
    <t>PRAGUE, Czec Republic</t>
  </si>
  <si>
    <t>PITTSBURGH, USA</t>
  </si>
  <si>
    <t>ISTANBUL, Turkey</t>
  </si>
  <si>
    <t>x`</t>
  </si>
  <si>
    <t>(All)</t>
  </si>
  <si>
    <t>Cleared / Cancelled</t>
  </si>
  <si>
    <t xml:space="preserve"> Client refuses payment, citing Oct account closure</t>
  </si>
  <si>
    <t>Comments</t>
  </si>
  <si>
    <t>Client is unable to process payment as the invoice relates to CY2025, was not communicated before books were closed, and is now restricted by audit constraints and limited current‑year activity.</t>
  </si>
  <si>
    <t>Delayed due to Pending contract which ask alternatives and resharing the invoice and on 24/4 Client mentioned to expect payment by nextweek.</t>
  </si>
  <si>
    <t>Client request contract on 7/04 inform still in progress and loop Ops Team for support. Copy of Contract shared on 22/4 and still Pending in Agency side for signature.</t>
  </si>
  <si>
    <t>Client confirmed payment in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</si>
</sst>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0_ ;[Red]\-#,##0.00\ "/>
    <numFmt numFmtId="165" formatCode="_(* #,##0.00_);_(* \(#,##0.00\);_(* &quot;-&quot;??_);_(@_)"/>
    <numFmt numFmtId="166" formatCode="[$€-2]#,##0.00"/>
    <numFmt numFmtId="167" formatCode="#,##0.00;[Red]\-#,##0.00;&quot;-&quot;"/>
    <numFmt numFmtId="168" formatCode="0.0%"/>
    <numFmt numFmtId="169" formatCode="#,##0;[Red]\-#,##0;;@"/>
  </numFmts>
  <fonts count="41" x14ac:knownFonts="1">
    <font>
      <sz val="11"/>
      <color theme="1"/>
      <name val="Aptos Narrow"/>
      <family val="2"/>
      <scheme val="minor"/>
    </font>
    <font>
      <sz val="11"/>
      <color theme="1"/>
      <name val="Aptos Narrow"/>
      <family val="2"/>
      <scheme val="minor"/>
    </font>
    <font>
      <b/>
      <sz val="12.5"/>
      <color theme="0"/>
      <name val="Calibri"/>
      <family val="2"/>
    </font>
    <font>
      <sz val="11"/>
      <name val="Calibri"/>
      <family val="2"/>
    </font>
    <font>
      <b/>
      <sz val="12"/>
      <color theme="0"/>
      <name val="Calibri"/>
      <family val="2"/>
    </font>
    <font>
      <u/>
      <sz val="11"/>
      <color theme="10"/>
      <name val="Aptos Narrow"/>
      <family val="2"/>
      <scheme val="minor"/>
    </font>
    <font>
      <b/>
      <sz val="14"/>
      <color theme="0"/>
      <name val="Calibri Light"/>
      <family val="2"/>
    </font>
    <font>
      <sz val="11"/>
      <color theme="1"/>
      <name val="Calibri Light"/>
      <family val="2"/>
    </font>
    <font>
      <b/>
      <sz val="11"/>
      <color theme="1"/>
      <name val="Calibri Light"/>
      <family val="2"/>
    </font>
    <font>
      <u/>
      <sz val="11"/>
      <color theme="10"/>
      <name val="Calibri Light"/>
      <family val="2"/>
    </font>
    <font>
      <sz val="11"/>
      <name val="Calibri Light"/>
      <family val="2"/>
    </font>
    <font>
      <b/>
      <sz val="12.5"/>
      <color rgb="FFFFFFFF"/>
      <name val="Calibri"/>
      <family val="2"/>
    </font>
    <font>
      <b/>
      <sz val="12.5"/>
      <color theme="7"/>
      <name val="Calibri"/>
      <family val="2"/>
    </font>
    <font>
      <i/>
      <sz val="11"/>
      <color theme="1"/>
      <name val="Aptos Narrow"/>
      <family val="2"/>
      <scheme val="minor"/>
    </font>
    <font>
      <b/>
      <i/>
      <sz val="12.5"/>
      <color theme="0"/>
      <name val="Calibri"/>
      <family val="2"/>
    </font>
    <font>
      <sz val="11"/>
      <color theme="1"/>
      <name val="Calibri"/>
      <family val="2"/>
    </font>
    <font>
      <sz val="11"/>
      <color theme="1"/>
      <name val="Calibri"/>
      <family val="2"/>
    </font>
    <font>
      <sz val="11"/>
      <color theme="0"/>
      <name val="Calibri"/>
      <family val="2"/>
    </font>
    <font>
      <b/>
      <sz val="11.5"/>
      <color rgb="FFFFFFFF"/>
      <name val="Calibri"/>
      <family val="2"/>
    </font>
    <font>
      <b/>
      <sz val="11"/>
      <color theme="1"/>
      <name val="Calibri"/>
      <family val="2"/>
    </font>
    <font>
      <b/>
      <sz val="11"/>
      <color theme="0"/>
      <name val="Calibri"/>
      <family val="2"/>
    </font>
    <font>
      <b/>
      <sz val="11"/>
      <color theme="1"/>
      <name val="Aptos Narrow"/>
      <family val="2"/>
      <scheme val="minor"/>
    </font>
    <font>
      <b/>
      <sz val="16"/>
      <color rgb="FFFFFFFF"/>
      <name val="Aptos Narrow"/>
      <family val="2"/>
      <scheme val="minor"/>
    </font>
    <font>
      <i/>
      <sz val="11"/>
      <color rgb="FF666666"/>
      <name val="Aptos Narrow"/>
      <family val="2"/>
      <scheme val="minor"/>
    </font>
    <font>
      <b/>
      <sz val="11"/>
      <color rgb="FFFFFFFF"/>
      <name val="Aptos Narrow"/>
      <family val="2"/>
      <scheme val="minor"/>
    </font>
    <font>
      <i/>
      <sz val="10"/>
      <color theme="1"/>
      <name val="Aptos Narrow"/>
      <family val="2"/>
      <scheme val="minor"/>
    </font>
    <font>
      <b/>
      <sz val="11"/>
      <color theme="1"/>
      <name val="Calibri"/>
      <family val="2"/>
    </font>
    <font>
      <b/>
      <sz val="11"/>
      <color rgb="FF1F4E79"/>
      <name val="Calibri"/>
      <family val="2"/>
    </font>
    <font>
      <b/>
      <sz val="11"/>
      <color rgb="FFC00000"/>
      <name val="Calibri"/>
      <family val="2"/>
    </font>
    <font>
      <sz val="11"/>
      <color theme="1"/>
      <name val="Calibri"/>
      <family val="2"/>
    </font>
    <font>
      <b/>
      <i/>
      <sz val="11"/>
      <color theme="1"/>
      <name val="Aptos Narrow"/>
      <family val="2"/>
      <scheme val="minor"/>
    </font>
    <font>
      <b/>
      <i/>
      <sz val="11"/>
      <color rgb="FFFFFFFF"/>
      <name val="Aptos Narrow"/>
      <family val="2"/>
      <scheme val="minor"/>
    </font>
    <font>
      <b/>
      <sz val="11"/>
      <color rgb="FF000000"/>
      <name val="Aptos Narrow"/>
      <family val="2"/>
      <scheme val="minor"/>
    </font>
    <font>
      <sz val="10"/>
      <name val="Arial"/>
      <family val="2"/>
    </font>
    <font>
      <b/>
      <sz val="11"/>
      <color rgb="FF006100"/>
      <name val="Calibri"/>
      <family val="2"/>
    </font>
    <font>
      <b/>
      <sz val="16"/>
      <color rgb="FFFFFFFF"/>
      <name val="Segoe UI"/>
      <family val="2"/>
    </font>
    <font>
      <b/>
      <i/>
      <sz val="16"/>
      <color rgb="FFFFFFFF"/>
      <name val="Calibri"/>
      <family val="2"/>
    </font>
    <font>
      <b/>
      <i/>
      <sz val="16"/>
      <color rgb="FFFFFFFF"/>
      <name val="Segoe UI"/>
      <family val="2"/>
    </font>
    <font>
      <sz val="13.5"/>
      <color theme="1"/>
      <name val="Aptos Display"/>
      <family val="2"/>
      <scheme val="major"/>
    </font>
    <font>
      <b/>
      <sz val="13.5"/>
      <color rgb="FF006100"/>
      <name val="Aptos Display"/>
      <family val="2"/>
      <scheme val="major"/>
    </font>
    <font>
      <b/>
      <sz val="13.5"/>
      <color theme="1"/>
      <name val="Aptos Display"/>
      <family val="2"/>
      <scheme val="major"/>
    </font>
  </fonts>
  <fills count="23">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000000"/>
        <bgColor indexed="64"/>
      </patternFill>
    </fill>
    <fill>
      <patternFill patternType="solid">
        <fgColor rgb="FFFFFFFF"/>
        <bgColor indexed="64"/>
      </patternFill>
    </fill>
    <fill>
      <patternFill patternType="solid">
        <fgColor theme="1"/>
        <bgColor theme="1"/>
      </patternFill>
    </fill>
    <fill>
      <patternFill patternType="solid">
        <fgColor rgb="FF1F4E79"/>
        <bgColor indexed="64"/>
      </patternFill>
    </fill>
    <fill>
      <patternFill patternType="solid">
        <fgColor rgb="FF2E75B6"/>
        <bgColor indexed="64"/>
      </patternFill>
    </fill>
    <fill>
      <patternFill patternType="solid">
        <fgColor rgb="FFDEEBF7"/>
        <bgColor indexed="64"/>
      </patternFill>
    </fill>
    <fill>
      <patternFill patternType="solid">
        <fgColor rgb="FFFFCCCC"/>
        <bgColor indexed="64"/>
      </patternFill>
    </fill>
    <fill>
      <patternFill patternType="solid">
        <fgColor rgb="FF000000"/>
        <bgColor rgb="FF000000"/>
      </patternFill>
    </fill>
    <fill>
      <patternFill patternType="solid">
        <fgColor theme="6"/>
        <bgColor theme="6"/>
      </patternFill>
    </fill>
    <fill>
      <patternFill patternType="solid">
        <fgColor rgb="FFD6DCE4"/>
        <bgColor indexed="64"/>
      </patternFill>
    </fill>
    <fill>
      <patternFill patternType="solid">
        <fgColor rgb="FFC6EFCE"/>
        <bgColor indexed="64"/>
      </patternFill>
    </fill>
    <fill>
      <patternFill patternType="solid">
        <fgColor rgb="FF70AD47"/>
        <bgColor indexed="64"/>
      </patternFill>
    </fill>
    <fill>
      <patternFill patternType="solid">
        <fgColor rgb="FFD9D9D9"/>
        <bgColor indexed="64"/>
      </patternFill>
    </fill>
    <fill>
      <patternFill patternType="solid">
        <fgColor rgb="FFBDD7EE"/>
        <bgColor indexed="64"/>
      </patternFill>
    </fill>
    <fill>
      <patternFill patternType="solid">
        <fgColor rgb="FF9D833E"/>
        <bgColor indexed="64"/>
      </patternFill>
    </fill>
    <fill>
      <patternFill patternType="solid">
        <fgColor rgb="FFFFF2CC"/>
        <bgColor indexed="64"/>
      </patternFill>
    </fill>
    <fill>
      <patternFill patternType="solid">
        <fgColor rgb="FFFCE4D6"/>
        <bgColor indexed="64"/>
      </patternFill>
    </fill>
    <fill>
      <patternFill patternType="solid">
        <fgColor rgb="FFF8CBAD"/>
        <bgColor indexed="64"/>
      </patternFill>
    </fill>
    <fill>
      <patternFill patternType="solid">
        <fgColor theme="8" tint="0.79998168889431442"/>
        <bgColor theme="8" tint="0.79998168889431442"/>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theme="6" tint="-0.249977111117893"/>
      </top>
      <bottom/>
      <diagonal/>
    </border>
    <border>
      <left/>
      <right/>
      <top style="thin">
        <color theme="6" tint="-0.249977111117893"/>
      </top>
      <bottom style="medium">
        <color theme="6" tint="-0.249977111117893"/>
      </bottom>
      <diagonal/>
    </border>
    <border>
      <left style="thin">
        <color rgb="FFB4C6E7"/>
      </left>
      <right style="thin">
        <color rgb="FFB4C6E7"/>
      </right>
      <top style="thin">
        <color rgb="FFB4C6E7"/>
      </top>
      <bottom style="thin">
        <color rgb="FFB4C6E7"/>
      </bottom>
      <diagonal/>
    </border>
    <border>
      <left style="thin">
        <color rgb="FFB4C6E7"/>
      </left>
      <right style="thin">
        <color rgb="FFB4C6E7"/>
      </right>
      <top style="thin">
        <color rgb="FF1F4E79"/>
      </top>
      <bottom style="thin">
        <color rgb="FFB4C6E7"/>
      </bottom>
      <diagonal/>
    </border>
    <border>
      <left style="thin">
        <color rgb="FFB4C6E7"/>
      </left>
      <right style="thin">
        <color rgb="FFB4C6E7"/>
      </right>
      <top style="thin">
        <color rgb="FFB4C6E7"/>
      </top>
      <bottom style="thin">
        <color rgb="FF1F4E79"/>
      </bottom>
      <diagonal/>
    </border>
    <border>
      <left style="thin">
        <color rgb="FF1F4E79"/>
      </left>
      <right style="thin">
        <color rgb="FFB4C6E7"/>
      </right>
      <top style="thin">
        <color rgb="FF1F4E79"/>
      </top>
      <bottom style="thin">
        <color rgb="FFB4C6E7"/>
      </bottom>
      <diagonal/>
    </border>
    <border>
      <left style="thin">
        <color rgb="FF1F4E79"/>
      </left>
      <right style="thin">
        <color rgb="FFB4C6E7"/>
      </right>
      <top style="thin">
        <color rgb="FFB4C6E7"/>
      </top>
      <bottom style="thin">
        <color rgb="FFB4C6E7"/>
      </bottom>
      <diagonal/>
    </border>
    <border>
      <left style="thin">
        <color rgb="FF1F4E79"/>
      </left>
      <right style="thin">
        <color rgb="FFB4C6E7"/>
      </right>
      <top style="thin">
        <color rgb="FFB4C6E7"/>
      </top>
      <bottom style="thin">
        <color rgb="FF1F4E79"/>
      </bottom>
      <diagonal/>
    </border>
    <border>
      <left style="thin">
        <color rgb="FFB4C6E7"/>
      </left>
      <right style="thin">
        <color rgb="FF1F4E79"/>
      </right>
      <top style="thin">
        <color rgb="FF1F4E79"/>
      </top>
      <bottom style="thin">
        <color rgb="FFB4C6E7"/>
      </bottom>
      <diagonal/>
    </border>
    <border>
      <left style="thin">
        <color rgb="FFB4C6E7"/>
      </left>
      <right style="thin">
        <color rgb="FF1F4E79"/>
      </right>
      <top style="thin">
        <color rgb="FFB4C6E7"/>
      </top>
      <bottom style="thin">
        <color rgb="FFB4C6E7"/>
      </bottom>
      <diagonal/>
    </border>
    <border>
      <left style="thin">
        <color rgb="FFB4C6E7"/>
      </left>
      <right style="thin">
        <color rgb="FF1F4E79"/>
      </right>
      <top style="thin">
        <color rgb="FFB4C6E7"/>
      </top>
      <bottom style="thin">
        <color rgb="FF1F4E79"/>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indexed="64"/>
      </left>
      <right style="thin">
        <color indexed="64"/>
      </right>
      <top/>
      <bottom style="thin">
        <color auto="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D9D9D9"/>
      </left>
      <right style="thin">
        <color rgb="FFD9D9D9"/>
      </right>
      <top style="thin">
        <color rgb="FFD9D9D9"/>
      </top>
      <bottom style="thin">
        <color rgb="FFD9D9D9"/>
      </bottom>
      <diagonal/>
    </border>
  </borders>
  <cellStyleXfs count="3">
    <xf numFmtId="0" fontId="0" fillId="0" borderId="0"/>
    <xf numFmtId="43" fontId="1" fillId="0" borderId="0" applyFont="0" applyFill="0" applyBorder="0" applyAlignment="0" applyProtection="0"/>
    <xf numFmtId="0" fontId="5" fillId="0" borderId="0" applyNumberFormat="0" applyFill="0" applyBorder="0" applyAlignment="0" applyProtection="0"/>
  </cellStyleXfs>
  <cellXfs count="216">
    <xf numFmtId="0" fontId="0" fillId="0" borderId="0" xfId="0"/>
    <xf numFmtId="0" fontId="2" fillId="2" borderId="1"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xf>
    <xf numFmtId="0" fontId="2" fillId="2" borderId="1" xfId="0" applyFont="1" applyFill="1" applyBorder="1"/>
    <xf numFmtId="14" fontId="2" fillId="2" borderId="1" xfId="0" applyNumberFormat="1" applyFont="1" applyFill="1" applyBorder="1" applyAlignment="1">
      <alignment horizontal="right"/>
    </xf>
    <xf numFmtId="4" fontId="2" fillId="2" borderId="1" xfId="0" applyNumberFormat="1" applyFont="1" applyFill="1" applyBorder="1" applyAlignment="1">
      <alignment horizontal="right"/>
    </xf>
    <xf numFmtId="3" fontId="2" fillId="2" borderId="1" xfId="0" applyNumberFormat="1" applyFont="1" applyFill="1" applyBorder="1" applyAlignment="1">
      <alignment horizontal="right"/>
    </xf>
    <xf numFmtId="0" fontId="0" fillId="0" borderId="0" xfId="0" applyAlignment="1">
      <alignment horizontal="center"/>
    </xf>
    <xf numFmtId="14" fontId="2" fillId="2" borderId="1" xfId="0" applyNumberFormat="1" applyFont="1" applyFill="1" applyBorder="1" applyAlignment="1">
      <alignment horizontal="center"/>
    </xf>
    <xf numFmtId="0" fontId="4" fillId="2" borderId="1" xfId="0" applyFont="1" applyFill="1" applyBorder="1" applyAlignment="1">
      <alignment horizontal="center" vertical="center" wrapText="1"/>
    </xf>
    <xf numFmtId="0" fontId="4" fillId="2" borderId="1" xfId="0" applyFont="1" applyFill="1" applyBorder="1" applyAlignment="1">
      <alignment horizontal="center" vertical="center"/>
    </xf>
    <xf numFmtId="0" fontId="3" fillId="0" borderId="1" xfId="0" applyFont="1" applyBorder="1" applyAlignment="1">
      <alignment horizontal="center"/>
    </xf>
    <xf numFmtId="0" fontId="3" fillId="0" borderId="1" xfId="0" applyFont="1" applyBorder="1"/>
    <xf numFmtId="164" fontId="3" fillId="0" borderId="1" xfId="0" applyNumberFormat="1" applyFont="1" applyBorder="1"/>
    <xf numFmtId="14" fontId="3" fillId="0" borderId="1" xfId="0" applyNumberFormat="1" applyFont="1" applyBorder="1" applyAlignment="1">
      <alignment horizontal="right"/>
    </xf>
    <xf numFmtId="14" fontId="3" fillId="0" borderId="1" xfId="0" applyNumberFormat="1" applyFont="1" applyBorder="1" applyAlignment="1">
      <alignment horizontal="center"/>
    </xf>
    <xf numFmtId="4" fontId="3" fillId="0" borderId="1" xfId="0" applyNumberFormat="1" applyFont="1" applyBorder="1" applyAlignment="1">
      <alignment horizontal="right"/>
    </xf>
    <xf numFmtId="0" fontId="0" fillId="0" borderId="1" xfId="0" applyBorder="1"/>
    <xf numFmtId="0" fontId="0" fillId="0" borderId="1" xfId="0" applyBorder="1">
      <extLst>
        <ext xmlns:xfpb="http://schemas.microsoft.com/office/spreadsheetml/2022/featurepropertybag" uri="{C7286773-470A-42A8-94C5-96B5CB345126}">
          <xfpb:xfComplement i="0"/>
        </ext>
      </extLst>
    </xf>
    <xf numFmtId="0" fontId="0" fillId="0" borderId="1" xfId="0" applyBorder="1" applyAlignment="1">
      <alignment horizontal="left"/>
    </xf>
    <xf numFmtId="0" fontId="0" fillId="0" borderId="0" xfId="0" applyAlignment="1">
      <alignment horizontal="left"/>
    </xf>
    <xf numFmtId="0" fontId="4" fillId="2" borderId="1" xfId="0" applyFont="1" applyFill="1" applyBorder="1" applyAlignment="1">
      <alignment horizontal="left" vertical="center" wrapText="1"/>
    </xf>
    <xf numFmtId="0" fontId="6" fillId="2" borderId="2" xfId="0" applyFont="1" applyFill="1" applyBorder="1" applyAlignment="1">
      <alignment horizontal="center"/>
    </xf>
    <xf numFmtId="43" fontId="7" fillId="0" borderId="4" xfId="1" applyFont="1" applyBorder="1" applyAlignment="1"/>
    <xf numFmtId="0" fontId="7" fillId="0" borderId="7" xfId="0" applyFont="1" applyBorder="1"/>
    <xf numFmtId="0" fontId="7" fillId="0" borderId="8" xfId="0" applyFont="1" applyBorder="1"/>
    <xf numFmtId="0" fontId="7" fillId="0" borderId="9" xfId="0" applyFont="1" applyBorder="1"/>
    <xf numFmtId="0" fontId="7" fillId="0" borderId="10" xfId="0" applyFont="1" applyBorder="1"/>
    <xf numFmtId="0" fontId="7" fillId="0" borderId="11" xfId="0" applyFont="1" applyBorder="1"/>
    <xf numFmtId="0" fontId="7" fillId="0" borderId="12" xfId="0" applyFont="1" applyBorder="1"/>
    <xf numFmtId="43" fontId="7" fillId="0" borderId="5" xfId="1" applyFont="1" applyBorder="1" applyAlignment="1">
      <alignment wrapText="1"/>
    </xf>
    <xf numFmtId="43" fontId="7" fillId="0" borderId="5" xfId="1" applyFont="1" applyBorder="1" applyAlignment="1"/>
    <xf numFmtId="43" fontId="7" fillId="0" borderId="5" xfId="1" applyFont="1" applyBorder="1" applyAlignment="1">
      <alignment horizontal="left" vertical="center"/>
    </xf>
    <xf numFmtId="0" fontId="7" fillId="0" borderId="5" xfId="0" applyFont="1" applyBorder="1" applyAlignment="1">
      <alignment horizontal="left" vertical="center" wrapText="1"/>
    </xf>
    <xf numFmtId="0" fontId="7" fillId="0" borderId="7" xfId="0" applyFont="1" applyBorder="1" applyAlignment="1">
      <alignment horizontal="right"/>
    </xf>
    <xf numFmtId="0" fontId="7" fillId="0" borderId="9" xfId="0" applyFont="1" applyBorder="1" applyAlignment="1">
      <alignment horizontal="right"/>
    </xf>
    <xf numFmtId="0" fontId="7" fillId="0" borderId="5" xfId="0" applyFont="1" applyBorder="1" applyAlignment="1">
      <alignment vertical="center" wrapText="1"/>
    </xf>
    <xf numFmtId="0" fontId="7" fillId="0" borderId="5" xfId="0" applyFont="1" applyBorder="1" applyAlignment="1">
      <alignment horizontal="right"/>
    </xf>
    <xf numFmtId="0" fontId="7" fillId="0" borderId="6" xfId="0" applyFont="1" applyBorder="1"/>
    <xf numFmtId="0" fontId="7" fillId="0" borderId="9" xfId="0" applyFont="1" applyBorder="1" applyAlignment="1">
      <alignment vertical="center" wrapText="1"/>
    </xf>
    <xf numFmtId="0" fontId="7" fillId="0" borderId="11" xfId="0" applyFont="1" applyBorder="1" applyAlignment="1">
      <alignment horizontal="right"/>
    </xf>
    <xf numFmtId="0" fontId="0" fillId="0" borderId="1" xfId="0" applyBorder="1" applyAlignment="1">
      <alignment horizontal="center"/>
    </xf>
    <xf numFmtId="164" fontId="11" fillId="4" borderId="1" xfId="0" applyNumberFormat="1" applyFont="1" applyFill="1" applyBorder="1"/>
    <xf numFmtId="166" fontId="12" fillId="4" borderId="1" xfId="0" applyNumberFormat="1" applyFont="1" applyFill="1" applyBorder="1" applyAlignment="1">
      <alignment horizontal="center"/>
    </xf>
    <xf numFmtId="0" fontId="2" fillId="2" borderId="1" xfId="0" applyFont="1" applyFill="1" applyBorder="1" applyAlignment="1">
      <alignment horizontal="right"/>
    </xf>
    <xf numFmtId="0" fontId="2" fillId="2" borderId="1" xfId="0" applyFont="1" applyFill="1" applyBorder="1" applyAlignment="1">
      <alignment horizontal="left" vertical="center" wrapText="1"/>
    </xf>
    <xf numFmtId="4" fontId="3" fillId="0" borderId="1" xfId="0" applyNumberFormat="1" applyFont="1" applyBorder="1" applyAlignment="1">
      <alignment horizontal="left"/>
    </xf>
    <xf numFmtId="4" fontId="2" fillId="2" borderId="1" xfId="0" applyNumberFormat="1" applyFont="1" applyFill="1" applyBorder="1" applyAlignment="1">
      <alignment horizontal="left"/>
    </xf>
    <xf numFmtId="0" fontId="13" fillId="0" borderId="1" xfId="0" applyFont="1" applyBorder="1" applyAlignment="1">
      <alignment horizontal="left"/>
    </xf>
    <xf numFmtId="4" fontId="14" fillId="2" borderId="1" xfId="0" applyNumberFormat="1" applyFont="1" applyFill="1" applyBorder="1" applyAlignment="1">
      <alignment horizontal="right"/>
    </xf>
    <xf numFmtId="0" fontId="13" fillId="0" borderId="0" xfId="0" applyFont="1" applyAlignment="1">
      <alignment horizontal="left"/>
    </xf>
    <xf numFmtId="0" fontId="15" fillId="0" borderId="0" xfId="0" applyFont="1"/>
    <xf numFmtId="164" fontId="15" fillId="0" borderId="0" xfId="0" applyNumberFormat="1" applyFont="1"/>
    <xf numFmtId="9" fontId="11" fillId="4" borderId="1" xfId="0" applyNumberFormat="1" applyFont="1" applyFill="1" applyBorder="1" applyAlignment="1">
      <alignment horizontal="center"/>
    </xf>
    <xf numFmtId="164" fontId="15" fillId="0" borderId="0" xfId="0" applyNumberFormat="1" applyFont="1" applyAlignment="1">
      <alignment horizontal="center"/>
    </xf>
    <xf numFmtId="0" fontId="15" fillId="0" borderId="0" xfId="0" applyFont="1" applyAlignment="1">
      <alignment horizontal="center"/>
    </xf>
    <xf numFmtId="164" fontId="16" fillId="0" borderId="0" xfId="0" applyNumberFormat="1" applyFont="1"/>
    <xf numFmtId="0" fontId="0" fillId="0" borderId="0" xfId="0" applyAlignment="1">
      <alignment wrapText="1"/>
    </xf>
    <xf numFmtId="0" fontId="18" fillId="11" borderId="0" xfId="0" applyFont="1" applyFill="1" applyAlignment="1">
      <alignment horizontal="center" vertical="center"/>
    </xf>
    <xf numFmtId="164" fontId="17" fillId="6" borderId="0" xfId="0" applyNumberFormat="1" applyFont="1" applyFill="1"/>
    <xf numFmtId="0" fontId="20" fillId="12" borderId="13" xfId="0" applyFont="1" applyFill="1" applyBorder="1"/>
    <xf numFmtId="0" fontId="19" fillId="0" borderId="14" xfId="0" applyFont="1" applyBorder="1"/>
    <xf numFmtId="0" fontId="24" fillId="8" borderId="1" xfId="0" applyFont="1" applyFill="1" applyBorder="1" applyAlignment="1">
      <alignment horizontal="center"/>
    </xf>
    <xf numFmtId="0" fontId="0" fillId="9" borderId="1" xfId="0" applyFill="1" applyBorder="1"/>
    <xf numFmtId="4" fontId="0" fillId="9" borderId="1" xfId="0" applyNumberFormat="1" applyFill="1" applyBorder="1"/>
    <xf numFmtId="9" fontId="0" fillId="9" borderId="1" xfId="0" applyNumberFormat="1" applyFill="1" applyBorder="1"/>
    <xf numFmtId="0" fontId="0" fillId="5" borderId="1" xfId="0" applyFill="1" applyBorder="1"/>
    <xf numFmtId="4" fontId="0" fillId="5" borderId="1" xfId="0" applyNumberFormat="1" applyFill="1" applyBorder="1"/>
    <xf numFmtId="9" fontId="0" fillId="5" borderId="1" xfId="0" applyNumberFormat="1" applyFill="1" applyBorder="1"/>
    <xf numFmtId="0" fontId="24" fillId="7" borderId="1" xfId="0" applyFont="1" applyFill="1" applyBorder="1"/>
    <xf numFmtId="4" fontId="24" fillId="7" borderId="1" xfId="0" applyNumberFormat="1" applyFont="1" applyFill="1" applyBorder="1"/>
    <xf numFmtId="9" fontId="24" fillId="7" borderId="1" xfId="0" applyNumberFormat="1" applyFont="1" applyFill="1" applyBorder="1"/>
    <xf numFmtId="0" fontId="21" fillId="9" borderId="1" xfId="0" applyFont="1" applyFill="1" applyBorder="1"/>
    <xf numFmtId="168" fontId="0" fillId="9" borderId="1" xfId="0" applyNumberFormat="1" applyFill="1" applyBorder="1"/>
    <xf numFmtId="0" fontId="15" fillId="9" borderId="15" xfId="0" applyFont="1" applyFill="1" applyBorder="1" applyAlignment="1">
      <alignment vertical="top"/>
    </xf>
    <xf numFmtId="167" fontId="26" fillId="9" borderId="15" xfId="0" applyNumberFormat="1" applyFont="1" applyFill="1" applyBorder="1" applyAlignment="1">
      <alignment vertical="top"/>
    </xf>
    <xf numFmtId="167" fontId="15" fillId="9" borderId="15" xfId="0" applyNumberFormat="1" applyFont="1" applyFill="1" applyBorder="1" applyAlignment="1">
      <alignment vertical="top"/>
    </xf>
    <xf numFmtId="0" fontId="28" fillId="9" borderId="15" xfId="0" applyFont="1" applyFill="1" applyBorder="1" applyAlignment="1">
      <alignment horizontal="center" vertical="top"/>
    </xf>
    <xf numFmtId="0" fontId="15" fillId="9" borderId="15" xfId="0" applyFont="1" applyFill="1" applyBorder="1" applyAlignment="1">
      <alignment vertical="top" wrapText="1"/>
    </xf>
    <xf numFmtId="0" fontId="15" fillId="9" borderId="15" xfId="0" applyFont="1" applyFill="1" applyBorder="1" applyAlignment="1">
      <alignment horizontal="center" vertical="top"/>
    </xf>
    <xf numFmtId="0" fontId="15" fillId="5" borderId="15" xfId="0" applyFont="1" applyFill="1" applyBorder="1" applyAlignment="1">
      <alignment vertical="top"/>
    </xf>
    <xf numFmtId="167" fontId="26" fillId="5" borderId="15" xfId="0" applyNumberFormat="1" applyFont="1" applyFill="1" applyBorder="1" applyAlignment="1">
      <alignment vertical="top"/>
    </xf>
    <xf numFmtId="167" fontId="15" fillId="5" borderId="15" xfId="0" applyNumberFormat="1" applyFont="1" applyFill="1" applyBorder="1" applyAlignment="1">
      <alignment vertical="top"/>
    </xf>
    <xf numFmtId="0" fontId="28" fillId="5" borderId="15" xfId="0" applyFont="1" applyFill="1" applyBorder="1" applyAlignment="1">
      <alignment horizontal="center" vertical="top"/>
    </xf>
    <xf numFmtId="0" fontId="15" fillId="5" borderId="15" xfId="0" applyFont="1" applyFill="1" applyBorder="1" applyAlignment="1">
      <alignment vertical="top" wrapText="1"/>
    </xf>
    <xf numFmtId="0" fontId="15" fillId="5" borderId="15" xfId="0" applyFont="1" applyFill="1" applyBorder="1" applyAlignment="1">
      <alignment horizontal="center" vertical="top"/>
    </xf>
    <xf numFmtId="0" fontId="15" fillId="10" borderId="15" xfId="0" applyFont="1" applyFill="1" applyBorder="1" applyAlignment="1">
      <alignment vertical="top"/>
    </xf>
    <xf numFmtId="167" fontId="26" fillId="10" borderId="15" xfId="0" applyNumberFormat="1" applyFont="1" applyFill="1" applyBorder="1" applyAlignment="1">
      <alignment vertical="top"/>
    </xf>
    <xf numFmtId="167" fontId="15" fillId="10" borderId="15" xfId="0" applyNumberFormat="1" applyFont="1" applyFill="1" applyBorder="1" applyAlignment="1">
      <alignment vertical="top"/>
    </xf>
    <xf numFmtId="0" fontId="28" fillId="10" borderId="15" xfId="0" applyFont="1" applyFill="1" applyBorder="1" applyAlignment="1">
      <alignment horizontal="center" vertical="top"/>
    </xf>
    <xf numFmtId="0" fontId="15" fillId="10" borderId="15" xfId="0" applyFont="1" applyFill="1" applyBorder="1" applyAlignment="1">
      <alignment vertical="top" wrapText="1"/>
    </xf>
    <xf numFmtId="0" fontId="15" fillId="10" borderId="15" xfId="0" applyFont="1" applyFill="1" applyBorder="1" applyAlignment="1">
      <alignment horizontal="center" vertical="top"/>
    </xf>
    <xf numFmtId="0" fontId="15" fillId="3" borderId="15" xfId="0" applyFont="1" applyFill="1" applyBorder="1" applyAlignment="1">
      <alignment vertical="top"/>
    </xf>
    <xf numFmtId="167" fontId="26" fillId="3" borderId="15" xfId="0" applyNumberFormat="1" applyFont="1" applyFill="1" applyBorder="1" applyAlignment="1">
      <alignment vertical="top"/>
    </xf>
    <xf numFmtId="167" fontId="15" fillId="3" borderId="15" xfId="0" applyNumberFormat="1" applyFont="1" applyFill="1" applyBorder="1" applyAlignment="1">
      <alignment vertical="top"/>
    </xf>
    <xf numFmtId="0" fontId="28" fillId="3" borderId="15" xfId="0" applyFont="1" applyFill="1" applyBorder="1" applyAlignment="1">
      <alignment horizontal="center" vertical="top"/>
    </xf>
    <xf numFmtId="0" fontId="15" fillId="3" borderId="15" xfId="0" applyFont="1" applyFill="1" applyBorder="1" applyAlignment="1">
      <alignment vertical="top" wrapText="1"/>
    </xf>
    <xf numFmtId="0" fontId="15" fillId="3" borderId="15" xfId="0" applyFont="1" applyFill="1" applyBorder="1" applyAlignment="1">
      <alignment horizontal="center" vertical="top"/>
    </xf>
    <xf numFmtId="0" fontId="24" fillId="7" borderId="16" xfId="0" applyFont="1" applyFill="1" applyBorder="1" applyAlignment="1">
      <alignment horizontal="center"/>
    </xf>
    <xf numFmtId="0" fontId="15" fillId="9" borderId="17" xfId="0" applyFont="1" applyFill="1" applyBorder="1" applyAlignment="1">
      <alignment vertical="top"/>
    </xf>
    <xf numFmtId="167" fontId="26" fillId="9" borderId="17" xfId="0" applyNumberFormat="1" applyFont="1" applyFill="1" applyBorder="1" applyAlignment="1">
      <alignment vertical="top"/>
    </xf>
    <xf numFmtId="167" fontId="15" fillId="9" borderId="17" xfId="0" applyNumberFormat="1" applyFont="1" applyFill="1" applyBorder="1" applyAlignment="1">
      <alignment vertical="top"/>
    </xf>
    <xf numFmtId="0" fontId="28" fillId="9" borderId="17" xfId="0" applyFont="1" applyFill="1" applyBorder="1" applyAlignment="1">
      <alignment horizontal="center" vertical="top"/>
    </xf>
    <xf numFmtId="0" fontId="15" fillId="9" borderId="17" xfId="0" applyFont="1" applyFill="1" applyBorder="1" applyAlignment="1">
      <alignment vertical="top" wrapText="1"/>
    </xf>
    <xf numFmtId="0" fontId="15" fillId="9" borderId="17" xfId="0" applyFont="1" applyFill="1" applyBorder="1" applyAlignment="1">
      <alignment horizontal="center" vertical="top"/>
    </xf>
    <xf numFmtId="0" fontId="24" fillId="7" borderId="18" xfId="0" applyFont="1" applyFill="1" applyBorder="1" applyAlignment="1">
      <alignment horizontal="center"/>
    </xf>
    <xf numFmtId="0" fontId="27" fillId="9" borderId="19" xfId="0" applyFont="1" applyFill="1" applyBorder="1" applyAlignment="1">
      <alignment vertical="top"/>
    </xf>
    <xf numFmtId="0" fontId="27" fillId="5" borderId="19" xfId="0" applyFont="1" applyFill="1" applyBorder="1" applyAlignment="1">
      <alignment vertical="top"/>
    </xf>
    <xf numFmtId="0" fontId="27" fillId="10" borderId="19" xfId="0" applyFont="1" applyFill="1" applyBorder="1" applyAlignment="1">
      <alignment vertical="top"/>
    </xf>
    <xf numFmtId="0" fontId="27" fillId="3" borderId="19" xfId="0" applyFont="1" applyFill="1" applyBorder="1" applyAlignment="1">
      <alignment vertical="top"/>
    </xf>
    <xf numFmtId="0" fontId="27" fillId="9" borderId="20" xfId="0" applyFont="1" applyFill="1" applyBorder="1" applyAlignment="1">
      <alignment vertical="top"/>
    </xf>
    <xf numFmtId="0" fontId="24" fillId="7" borderId="21" xfId="0" applyFont="1" applyFill="1" applyBorder="1" applyAlignment="1">
      <alignment horizontal="center"/>
    </xf>
    <xf numFmtId="0" fontId="15" fillId="9" borderId="22" xfId="0" applyFont="1" applyFill="1" applyBorder="1" applyAlignment="1">
      <alignment vertical="top"/>
    </xf>
    <xf numFmtId="0" fontId="15" fillId="5" borderId="22" xfId="0" applyFont="1" applyFill="1" applyBorder="1" applyAlignment="1">
      <alignment vertical="top"/>
    </xf>
    <xf numFmtId="0" fontId="15" fillId="10" borderId="22" xfId="0" applyFont="1" applyFill="1" applyBorder="1" applyAlignment="1">
      <alignment vertical="top"/>
    </xf>
    <xf numFmtId="0" fontId="15" fillId="3" borderId="22" xfId="0" applyFont="1" applyFill="1" applyBorder="1" applyAlignment="1">
      <alignment vertical="top"/>
    </xf>
    <xf numFmtId="0" fontId="15" fillId="9" borderId="23" xfId="0" applyFont="1" applyFill="1" applyBorder="1" applyAlignment="1">
      <alignment vertical="top"/>
    </xf>
    <xf numFmtId="15" fontId="15" fillId="0" borderId="0" xfId="0" applyNumberFormat="1" applyFont="1" applyAlignment="1">
      <alignment horizontal="center"/>
    </xf>
    <xf numFmtId="0" fontId="28" fillId="0" borderId="0" xfId="0" applyFont="1" applyAlignment="1">
      <alignment horizontal="center"/>
    </xf>
    <xf numFmtId="164" fontId="29" fillId="0" borderId="0" xfId="0" applyNumberFormat="1" applyFont="1"/>
    <xf numFmtId="0" fontId="21" fillId="10" borderId="2" xfId="0" applyFont="1" applyFill="1" applyBorder="1"/>
    <xf numFmtId="0" fontId="21" fillId="10" borderId="31" xfId="0" applyFont="1" applyFill="1" applyBorder="1"/>
    <xf numFmtId="0" fontId="21" fillId="10" borderId="26" xfId="0" applyFont="1" applyFill="1" applyBorder="1"/>
    <xf numFmtId="4" fontId="0" fillId="10" borderId="27" xfId="0" applyNumberFormat="1" applyFill="1" applyBorder="1"/>
    <xf numFmtId="4" fontId="0" fillId="10" borderId="29" xfId="0" applyNumberFormat="1" applyFill="1" applyBorder="1"/>
    <xf numFmtId="4" fontId="21" fillId="10" borderId="29" xfId="0" applyNumberFormat="1" applyFont="1" applyFill="1" applyBorder="1"/>
    <xf numFmtId="0" fontId="21" fillId="14" borderId="25" xfId="0" applyFont="1" applyFill="1" applyBorder="1"/>
    <xf numFmtId="0" fontId="21" fillId="14" borderId="26" xfId="0" applyFont="1" applyFill="1" applyBorder="1"/>
    <xf numFmtId="4" fontId="24" fillId="15" borderId="27" xfId="0" applyNumberFormat="1" applyFont="1" applyFill="1" applyBorder="1"/>
    <xf numFmtId="4" fontId="21" fillId="14" borderId="29" xfId="0" applyNumberFormat="1" applyFont="1" applyFill="1" applyBorder="1"/>
    <xf numFmtId="0" fontId="21" fillId="0" borderId="3" xfId="0" applyFont="1" applyBorder="1"/>
    <xf numFmtId="0" fontId="21" fillId="0" borderId="26" xfId="0" applyFont="1" applyBorder="1"/>
    <xf numFmtId="4" fontId="0" fillId="0" borderId="28" xfId="0" applyNumberFormat="1" applyBorder="1"/>
    <xf numFmtId="168" fontId="21" fillId="17" borderId="29" xfId="0" applyNumberFormat="1" applyFont="1" applyFill="1" applyBorder="1"/>
    <xf numFmtId="0" fontId="32" fillId="17" borderId="3" xfId="0" applyFont="1" applyFill="1" applyBorder="1" applyAlignment="1">
      <alignment horizontal="center"/>
    </xf>
    <xf numFmtId="0" fontId="32" fillId="17" borderId="28" xfId="0" applyFont="1" applyFill="1" applyBorder="1" applyAlignment="1">
      <alignment horizontal="center"/>
    </xf>
    <xf numFmtId="0" fontId="31" fillId="15" borderId="24" xfId="0" applyFont="1" applyFill="1" applyBorder="1" applyAlignment="1">
      <alignment horizontal="center"/>
    </xf>
    <xf numFmtId="0" fontId="31" fillId="15" borderId="30" xfId="0" applyFont="1" applyFill="1" applyBorder="1" applyAlignment="1">
      <alignment horizontal="center"/>
    </xf>
    <xf numFmtId="0" fontId="13" fillId="0" borderId="1" xfId="0" applyFont="1" applyBorder="1" applyAlignment="1">
      <alignment horizontal="left" wrapText="1"/>
    </xf>
    <xf numFmtId="164" fontId="2" fillId="2" borderId="1" xfId="0" applyNumberFormat="1" applyFont="1" applyFill="1" applyBorder="1"/>
    <xf numFmtId="0" fontId="33" fillId="0" borderId="1" xfId="0" applyFont="1" applyBorder="1"/>
    <xf numFmtId="0" fontId="0" fillId="18" borderId="0" xfId="0" applyFill="1"/>
    <xf numFmtId="0" fontId="15" fillId="0" borderId="36" xfId="0" applyFont="1" applyBorder="1" applyAlignment="1">
      <alignment vertical="center" wrapText="1"/>
    </xf>
    <xf numFmtId="14" fontId="15" fillId="0" borderId="36" xfId="0" applyNumberFormat="1" applyFont="1" applyBorder="1" applyAlignment="1">
      <alignment vertical="center" wrapText="1"/>
    </xf>
    <xf numFmtId="1" fontId="15" fillId="0" borderId="36" xfId="0" applyNumberFormat="1" applyFont="1" applyBorder="1" applyAlignment="1">
      <alignment vertical="center" wrapText="1"/>
    </xf>
    <xf numFmtId="0" fontId="35" fillId="18" borderId="0" xfId="0" applyFont="1" applyFill="1" applyAlignment="1">
      <alignment horizontal="center" vertical="center"/>
    </xf>
    <xf numFmtId="0" fontId="37" fillId="18" borderId="0" xfId="0" applyFont="1" applyFill="1" applyAlignment="1">
      <alignment horizontal="right" vertical="center"/>
    </xf>
    <xf numFmtId="0" fontId="35" fillId="7" borderId="34" xfId="0" applyFont="1" applyFill="1" applyBorder="1" applyAlignment="1">
      <alignment horizontal="center" vertical="center"/>
    </xf>
    <xf numFmtId="0" fontId="35" fillId="7" borderId="33" xfId="0" applyFont="1" applyFill="1" applyBorder="1" applyAlignment="1">
      <alignment horizontal="center" vertical="center"/>
    </xf>
    <xf numFmtId="0" fontId="35" fillId="18" borderId="0" xfId="0" applyFont="1" applyFill="1"/>
    <xf numFmtId="3" fontId="35" fillId="7" borderId="33" xfId="0" applyNumberFormat="1" applyFont="1" applyFill="1" applyBorder="1" applyAlignment="1">
      <alignment horizontal="center" vertical="center"/>
    </xf>
    <xf numFmtId="9" fontId="35" fillId="7" borderId="33" xfId="0" applyNumberFormat="1" applyFont="1" applyFill="1" applyBorder="1" applyAlignment="1">
      <alignment horizontal="center" vertical="center"/>
    </xf>
    <xf numFmtId="0" fontId="37" fillId="18" borderId="0" xfId="0" applyFont="1" applyFill="1" applyAlignment="1">
      <alignment horizontal="left" vertical="center"/>
    </xf>
    <xf numFmtId="0" fontId="35" fillId="18" borderId="0" xfId="0" applyFont="1" applyFill="1" applyAlignment="1">
      <alignment horizontal="right" vertical="center"/>
    </xf>
    <xf numFmtId="0" fontId="35" fillId="18" borderId="0" xfId="0" applyFont="1" applyFill="1" applyAlignment="1">
      <alignment horizontal="center" vertical="center" wrapText="1"/>
    </xf>
    <xf numFmtId="169" fontId="35" fillId="7" borderId="32" xfId="0" applyNumberFormat="1" applyFont="1" applyFill="1" applyBorder="1" applyAlignment="1">
      <alignment horizontal="center" vertical="center"/>
    </xf>
    <xf numFmtId="169" fontId="35" fillId="7" borderId="33" xfId="0" applyNumberFormat="1" applyFont="1" applyFill="1" applyBorder="1" applyAlignment="1">
      <alignment horizontal="center" vertical="center"/>
    </xf>
    <xf numFmtId="169" fontId="35" fillId="7" borderId="35" xfId="0" applyNumberFormat="1" applyFont="1" applyFill="1" applyBorder="1" applyAlignment="1">
      <alignment horizontal="center" vertical="center"/>
    </xf>
    <xf numFmtId="169" fontId="35" fillId="7" borderId="34" xfId="0" applyNumberFormat="1" applyFont="1" applyFill="1" applyBorder="1" applyAlignment="1">
      <alignment horizontal="center" vertical="center"/>
    </xf>
    <xf numFmtId="169" fontId="34" fillId="19" borderId="36" xfId="0" applyNumberFormat="1" applyFont="1" applyFill="1" applyBorder="1" applyAlignment="1">
      <alignment vertical="center" wrapText="1"/>
    </xf>
    <xf numFmtId="169" fontId="19" fillId="20" borderId="36" xfId="0" applyNumberFormat="1" applyFont="1" applyFill="1" applyBorder="1" applyAlignment="1">
      <alignment vertical="center" wrapText="1"/>
    </xf>
    <xf numFmtId="169" fontId="19" fillId="21" borderId="36" xfId="0" applyNumberFormat="1" applyFont="1" applyFill="1" applyBorder="1" applyAlignment="1">
      <alignment vertical="center" wrapText="1"/>
    </xf>
    <xf numFmtId="0" fontId="38" fillId="0" borderId="36" xfId="0" applyFont="1" applyBorder="1" applyAlignment="1">
      <alignment vertical="center" wrapText="1"/>
    </xf>
    <xf numFmtId="14" fontId="38" fillId="0" borderId="36" xfId="0" applyNumberFormat="1" applyFont="1" applyBorder="1" applyAlignment="1">
      <alignment vertical="center" wrapText="1"/>
    </xf>
    <xf numFmtId="1" fontId="38" fillId="0" borderId="36" xfId="0" applyNumberFormat="1" applyFont="1" applyBorder="1" applyAlignment="1">
      <alignment vertical="center" wrapText="1"/>
    </xf>
    <xf numFmtId="169" fontId="39" fillId="19" borderId="36" xfId="0" applyNumberFormat="1" applyFont="1" applyFill="1" applyBorder="1" applyAlignment="1">
      <alignment vertical="center" wrapText="1"/>
    </xf>
    <xf numFmtId="169" fontId="40" fillId="20" borderId="36" xfId="0" applyNumberFormat="1" applyFont="1" applyFill="1" applyBorder="1" applyAlignment="1">
      <alignment vertical="center" wrapText="1"/>
    </xf>
    <xf numFmtId="169" fontId="40" fillId="21" borderId="36" xfId="0" applyNumberFormat="1" applyFont="1" applyFill="1" applyBorder="1" applyAlignment="1">
      <alignment vertical="center" wrapText="1"/>
    </xf>
    <xf numFmtId="0" fontId="38" fillId="0" borderId="0" xfId="0" applyFont="1"/>
    <xf numFmtId="0" fontId="15" fillId="0" borderId="0" xfId="0" applyFont="1" applyAlignment="1">
      <alignment wrapText="1"/>
    </xf>
    <xf numFmtId="164" fontId="19" fillId="22" borderId="0" xfId="0" applyNumberFormat="1" applyFont="1" applyFill="1"/>
    <xf numFmtId="0" fontId="15" fillId="0" borderId="0" xfId="0" pivotButton="1" applyFont="1"/>
    <xf numFmtId="14" fontId="15" fillId="0" borderId="0" xfId="0" applyNumberFormat="1" applyFont="1"/>
    <xf numFmtId="164" fontId="15" fillId="0" borderId="0" xfId="0" pivotButton="1" applyNumberFormat="1" applyFont="1"/>
    <xf numFmtId="0" fontId="15" fillId="0" borderId="0" xfId="0" applyFont="1" applyAlignment="1">
      <alignment horizontal="left"/>
    </xf>
    <xf numFmtId="165" fontId="9" fillId="0" borderId="5" xfId="2" applyNumberFormat="1" applyFont="1" applyBorder="1" applyAlignment="1">
      <alignment horizontal="left" vertical="center" wrapText="1"/>
    </xf>
    <xf numFmtId="165" fontId="9" fillId="0" borderId="6" xfId="2" applyNumberFormat="1" applyFont="1" applyBorder="1" applyAlignment="1">
      <alignment horizontal="left" vertical="center" wrapText="1"/>
    </xf>
    <xf numFmtId="0" fontId="6" fillId="2" borderId="3" xfId="0" applyFont="1" applyFill="1" applyBorder="1" applyAlignment="1">
      <alignment horizontal="center" wrapText="1"/>
    </xf>
    <xf numFmtId="0" fontId="6" fillId="2" borderId="0" xfId="0" applyFont="1" applyFill="1" applyAlignment="1">
      <alignment horizontal="center" wrapText="1"/>
    </xf>
    <xf numFmtId="43" fontId="7" fillId="0" borderId="5" xfId="1" applyFont="1" applyBorder="1" applyAlignment="1">
      <alignment horizontal="left" wrapText="1"/>
    </xf>
    <xf numFmtId="43" fontId="7" fillId="0" borderId="6" xfId="1" applyFont="1" applyBorder="1" applyAlignment="1">
      <alignment horizontal="left" wrapText="1"/>
    </xf>
    <xf numFmtId="43" fontId="7" fillId="0" borderId="7" xfId="1" applyFont="1" applyBorder="1" applyAlignment="1">
      <alignment horizontal="left" vertical="center" wrapText="1"/>
    </xf>
    <xf numFmtId="43" fontId="7" fillId="0" borderId="9" xfId="1" applyFont="1" applyBorder="1" applyAlignment="1">
      <alignment horizontal="left" vertical="center" wrapText="1"/>
    </xf>
    <xf numFmtId="43" fontId="7" fillId="0" borderId="11" xfId="1" applyFont="1" applyBorder="1" applyAlignment="1">
      <alignment horizontal="left" vertical="center" wrapText="1"/>
    </xf>
    <xf numFmtId="43" fontId="7" fillId="0" borderId="5" xfId="1" applyFont="1" applyBorder="1" applyAlignment="1">
      <alignment horizontal="left" vertical="center" wrapText="1"/>
    </xf>
    <xf numFmtId="43" fontId="7" fillId="0" borderId="6" xfId="1" applyFont="1" applyBorder="1" applyAlignment="1">
      <alignment horizontal="left" vertical="center" wrapText="1"/>
    </xf>
    <xf numFmtId="165" fontId="9" fillId="0" borderId="5" xfId="2" applyNumberFormat="1" applyFont="1" applyFill="1" applyBorder="1" applyAlignment="1">
      <alignment horizontal="left" vertical="center" wrapText="1"/>
    </xf>
    <xf numFmtId="165" fontId="9" fillId="0" borderId="6" xfId="2" applyNumberFormat="1" applyFont="1" applyFill="1" applyBorder="1" applyAlignment="1">
      <alignment horizontal="left" vertical="center" wrapText="1"/>
    </xf>
    <xf numFmtId="43" fontId="10" fillId="0" borderId="5" xfId="1" applyFont="1" applyFill="1" applyBorder="1" applyAlignment="1">
      <alignment horizontal="left" vertical="center" wrapText="1"/>
    </xf>
    <xf numFmtId="43" fontId="10" fillId="0" borderId="6" xfId="1" applyFont="1" applyFill="1" applyBorder="1" applyAlignment="1">
      <alignment horizontal="left" vertical="center" wrapText="1"/>
    </xf>
    <xf numFmtId="0" fontId="7" fillId="0" borderId="5" xfId="0" applyFont="1" applyBorder="1" applyAlignment="1">
      <alignment horizontal="left" vertical="center" wrapText="1"/>
    </xf>
    <xf numFmtId="0" fontId="7" fillId="0" borderId="6" xfId="0" applyFont="1" applyBorder="1" applyAlignment="1">
      <alignment horizontal="left" vertical="center" wrapText="1"/>
    </xf>
    <xf numFmtId="0" fontId="7" fillId="0" borderId="7" xfId="0" applyFont="1" applyBorder="1" applyAlignment="1">
      <alignment vertical="center"/>
    </xf>
    <xf numFmtId="0" fontId="7" fillId="0" borderId="9" xfId="0" applyFont="1" applyBorder="1" applyAlignment="1">
      <alignment vertical="center"/>
    </xf>
    <xf numFmtId="0" fontId="7" fillId="0" borderId="11" xfId="0" applyFont="1" applyBorder="1" applyAlignment="1">
      <alignment vertical="center"/>
    </xf>
    <xf numFmtId="0" fontId="7" fillId="0" borderId="7"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1" xfId="0" applyFont="1" applyBorder="1" applyAlignment="1">
      <alignment horizontal="center" vertical="center" wrapText="1"/>
    </xf>
    <xf numFmtId="0" fontId="22" fillId="7" borderId="0" xfId="0" applyFont="1" applyFill="1" applyAlignment="1">
      <alignment horizontal="center"/>
    </xf>
    <xf numFmtId="0" fontId="0" fillId="8" borderId="0" xfId="0" applyFill="1"/>
    <xf numFmtId="0" fontId="23" fillId="0" borderId="0" xfId="0" applyFont="1"/>
    <xf numFmtId="0" fontId="24" fillId="7" borderId="1" xfId="0" applyFont="1" applyFill="1" applyBorder="1" applyAlignment="1">
      <alignment horizontal="center"/>
    </xf>
    <xf numFmtId="0" fontId="24" fillId="8" borderId="1" xfId="0" applyFont="1" applyFill="1" applyBorder="1" applyAlignment="1">
      <alignment horizontal="center"/>
    </xf>
    <xf numFmtId="0" fontId="30" fillId="16" borderId="25" xfId="0" applyFont="1" applyFill="1" applyBorder="1" applyAlignment="1">
      <alignment horizontal="center"/>
    </xf>
    <xf numFmtId="0" fontId="21" fillId="10" borderId="27" xfId="0" applyFont="1" applyFill="1" applyBorder="1"/>
    <xf numFmtId="0" fontId="0" fillId="0" borderId="0" xfId="0" applyAlignment="1">
      <alignment horizontal="left" vertical="center" wrapText="1"/>
    </xf>
    <xf numFmtId="0" fontId="15" fillId="0" borderId="0" xfId="0" applyFont="1" applyAlignment="1">
      <alignment horizontal="left" vertical="center"/>
    </xf>
    <xf numFmtId="15" fontId="15" fillId="0" borderId="0" xfId="0" applyNumberFormat="1" applyFont="1" applyAlignment="1">
      <alignment horizontal="center" vertical="center"/>
    </xf>
    <xf numFmtId="0" fontId="15" fillId="0" borderId="0" xfId="0" applyFont="1" applyAlignment="1">
      <alignment horizontal="center" vertical="center"/>
    </xf>
    <xf numFmtId="0" fontId="35" fillId="18" borderId="0" xfId="0" applyFont="1" applyFill="1" applyAlignment="1">
      <alignment horizontal="center" vertical="center"/>
    </xf>
    <xf numFmtId="0" fontId="0" fillId="18" borderId="0" xfId="0" applyFill="1"/>
    <xf numFmtId="0" fontId="36" fillId="18" borderId="0" xfId="0" applyFont="1" applyFill="1" applyAlignment="1">
      <alignment horizontal="center" vertical="center"/>
    </xf>
    <xf numFmtId="0" fontId="0" fillId="0" borderId="0" xfId="0"/>
    <xf numFmtId="0" fontId="0" fillId="7" borderId="0" xfId="0" applyFill="1"/>
    <xf numFmtId="0" fontId="25" fillId="13" borderId="0" xfId="0" applyFont="1" applyFill="1"/>
  </cellXfs>
  <cellStyles count="3">
    <cellStyle name="Comma" xfId="1" builtinId="3"/>
    <cellStyle name="Hyperlink" xfId="2" builtinId="8"/>
    <cellStyle name="Normal" xfId="0" builtinId="0"/>
  </cellStyles>
  <dxfs count="176">
    <dxf>
      <fill>
        <patternFill patternType="solid">
          <fgColor indexed="64"/>
          <bgColor rgb="FFFFF2CC"/>
        </patternFill>
      </fill>
    </dxf>
    <dxf>
      <font>
        <color rgb="FF9C0006"/>
      </font>
      <fill>
        <patternFill>
          <bgColor rgb="FFFFC7CE"/>
        </patternFill>
      </fill>
    </dxf>
    <dxf>
      <fill>
        <patternFill patternType="solid">
          <fgColor indexed="64"/>
          <bgColor rgb="FFF8CBAD"/>
        </patternFill>
      </fill>
    </dxf>
    <dxf>
      <fill>
        <patternFill patternType="solid">
          <fgColor indexed="64"/>
          <bgColor rgb="FF92D050"/>
        </patternFill>
      </fill>
    </dxf>
    <dxf>
      <fill>
        <patternFill patternType="solid">
          <fgColor indexed="64"/>
          <bgColor rgb="FFFFFF00"/>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rgb="FFFF0000"/>
        </patternFill>
      </fill>
    </dxf>
    <dxf>
      <fill>
        <patternFill patternType="solid">
          <fgColor indexed="64"/>
          <bgColor rgb="FFFF0000"/>
        </patternFill>
      </fill>
    </dxf>
    <dxf>
      <fill>
        <patternFill>
          <bgColor rgb="FF92D050"/>
        </patternFill>
      </fill>
    </dxf>
    <dxf>
      <numFmt numFmtId="164" formatCode="#,##0.00_ ;[Red]\-#,##0.00\ "/>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solid">
          <bgColor rgb="FFFFC000"/>
        </patternFill>
      </fill>
    </dxf>
    <dxf>
      <alignment horizontal="cent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164" formatCode="#,##0.00_ ;[Red]\-#,##0.00\ "/>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164" formatCode="#,##0.00_ ;[Red]\-#,##0.00\ "/>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164" formatCode="#,##0.00_ ;[Red]\-#,##0.00\ "/>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numFmt numFmtId="164" formatCode="#,##0.00_ ;[Red]\-#,##0.00\ "/>
    </dxf>
    <dxf>
      <numFmt numFmtId="164" formatCode="#,##0.00_ ;[Red]\-#,##0.00\ "/>
    </dxf>
    <dxf>
      <numFmt numFmtId="164" formatCode="#,##0.00_ ;[Red]\-#,##0.00\ "/>
    </dxf>
    <dxf>
      <numFmt numFmtId="164" formatCode="#,##0.00_ ;[Red]\-#,##0.00\ "/>
    </dxf>
    <dxf>
      <numFmt numFmtId="164" formatCode="#,##0.00_ ;[Red]\-#,##0.00\ "/>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color rgb="FF9C0006"/>
      </font>
      <fill>
        <patternFill patternType="solid">
          <fgColor indexed="64"/>
          <bgColor rgb="FFFFC7CE"/>
        </patternFill>
      </fill>
    </dxf>
    <dxf>
      <font>
        <color rgb="FF9C5700"/>
      </font>
      <fill>
        <patternFill patternType="solid">
          <fgColor indexed="64"/>
          <bgColor rgb="FFFFEB9C"/>
        </patternFill>
      </fill>
    </dxf>
    <dxf>
      <font>
        <color rgb="FF006100"/>
      </font>
      <fill>
        <patternFill patternType="solid">
          <fgColor indexed="64"/>
          <bgColor rgb="FFC6EFCE"/>
        </patternFill>
      </fill>
    </dxf>
  </dxfs>
  <tableStyles count="0" defaultTableStyle="TableStyleMedium2" defaultPivotStyle="PivotStyleLight16"/>
  <colors>
    <mruColors>
      <color rgb="FF1F4E79"/>
      <color rgb="FFFD52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pivotCacheDefinition" Target="pivotCache/pivotCacheDefinition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cel Jhon Caballero" refreshedDate="46139.644109606481" createdVersion="8" refreshedVersion="8" minRefreshableVersion="3" recordCount="472" xr:uid="{6B84B8E1-F2C5-45CC-ABC2-942F72B87F80}">
  <cacheSource type="worksheet">
    <worksheetSource ref="A1:AK473" sheet="Consolidated SOA"/>
  </cacheSource>
  <cacheFields count="37">
    <cacheField name="Profit Center" numFmtId="0">
      <sharedItems containsBlank="1"/>
    </cacheField>
    <cacheField name="Client Number" numFmtId="0">
      <sharedItems containsString="0" containsBlank="1" containsNumber="1" containsInteger="1" minValue="100103260" maxValue="100120687" count="80">
        <n v="100108890"/>
        <m/>
        <n v="100103956"/>
        <n v="100103260"/>
        <n v="100108092"/>
        <n v="100111888"/>
        <n v="100113182"/>
        <n v="100113370"/>
        <n v="100114715"/>
        <n v="100114688"/>
        <n v="100111676"/>
        <n v="100108821"/>
        <n v="100112183"/>
        <n v="100114302"/>
        <n v="100114967"/>
        <n v="100113198"/>
        <n v="100113889"/>
        <n v="100111711"/>
        <n v="100114939"/>
        <n v="100111597"/>
        <n v="100117570"/>
        <n v="100108810"/>
        <n v="100112031"/>
        <n v="100111868"/>
        <n v="100112490"/>
        <n v="100106219"/>
        <n v="100108939"/>
        <n v="100108737"/>
        <n v="100114999"/>
        <n v="100114519"/>
        <n v="100120310"/>
        <n v="100108769"/>
        <n v="100115215"/>
        <n v="100120687"/>
        <n v="100115001"/>
        <n v="100108363"/>
        <n v="100117719"/>
        <n v="100108744"/>
        <n v="100113621"/>
        <n v="100113609"/>
        <n v="100111598"/>
        <n v="100114717"/>
        <n v="100114607"/>
        <n v="100119534"/>
        <n v="100114599"/>
        <n v="100114693"/>
        <n v="100111940"/>
        <n v="100118869"/>
        <n v="100108800"/>
        <n v="100108721"/>
        <n v="100108768"/>
        <n v="100108755"/>
        <n v="100118929"/>
        <n v="100114615"/>
        <n v="100108732"/>
        <n v="100119928"/>
        <n v="100113978"/>
        <n v="100111977"/>
        <n v="100113966"/>
        <n v="100108811"/>
        <n v="100108704"/>
        <n v="100117529"/>
        <n v="100114317"/>
        <n v="100115027"/>
        <n v="100108767"/>
        <n v="100114076"/>
        <n v="100115019"/>
        <n v="100115026"/>
        <n v="100117441"/>
        <n v="100117448"/>
        <n v="100114309"/>
        <n v="100111923"/>
        <n v="100114550"/>
        <n v="100108960"/>
        <n v="100108790"/>
        <n v="100111613"/>
        <n v="100113203"/>
        <n v="100115148"/>
        <n v="100111939"/>
        <n v="100113894"/>
      </sharedItems>
    </cacheField>
    <cacheField name="Altair Unique Code" numFmtId="0">
      <sharedItems containsBlank="1"/>
    </cacheField>
    <cacheField name="Name" numFmtId="0">
      <sharedItems containsBlank="1" count="80">
        <s v="259 WORTH AVENUE HOLDINGS INC"/>
        <s v="ACCOR LUXURY MEA FZ LLC"/>
        <s v="ACCOR MANAGEMENT US INC"/>
        <s v="ACCOR MANAGEMENT US INC."/>
        <s v="ACCOR MANAGEMENT, US INC"/>
        <s v="AL BURJ AL ALAMIAH FOR HOTEL"/>
        <s v="AL BURJ AL ALAMIAH FOR REAL ESTATE"/>
        <s v="ALI MAKATI HOTEL PROPERTY, INC."/>
        <s v="AZINKO DEVELOPMENT LLC"/>
        <s v="B 2 B HOTELS &amp; PROPERTIES LLC"/>
        <s v="BAB AL BAHR HOSPITALITY"/>
        <s v="BDC (EMPRESS HOTEL) INVESTMENT"/>
        <s v="Beachcomber Hotel SA"/>
        <s v="BELMULLET HOSPITALITY GROUP LTD"/>
        <s v="BREAKERS MASTER TENANT LLC"/>
        <s v="CANADIAN RESORT HOTELS"/>
        <s v="CAPE GRACE HOTEL PTY LTD"/>
        <s v="CAPITAL HOTEL GP INC"/>
        <s v="CCFH MAUI LLC"/>
        <s v="CDL HBT OCEANIC MALDIVES PVT LTD"/>
        <s v="CG MADISON KENYA LIMITED"/>
        <s v="CHÂTEAU M.T. INC"/>
        <s v="ESJ RESORT LLC"/>
        <s v="FAIRMONT HOTEL MACDONALD"/>
        <s v="FAIRMONT HOTEL THE - PALM - FZE"/>
        <s v="Fairmont Nile City"/>
        <s v="FAIRMONT PACIFIC RIM HOTEL"/>
        <s v="FAIRMONT RAMLA SERVICED RESIDENCES"/>
        <s v="Fairmont Waterfront"/>
        <s v="FLAME HOTEL OPCO SLU"/>
        <s v="FMDR OPERATING CO LLC"/>
        <s v="FRONTENAC HOTEL LP"/>
        <s v="GELEX GROUP JOINT STOCK COMPANY"/>
        <s v="GROVE WP LTD"/>
        <s v="GULF HOSPITALITY LLC"/>
        <s v="HAMILTON PROPERTIES LIMITED"/>
        <s v="HOTEL &amp; TOURISM CO. L.L.C"/>
        <s v="HOTEL MONTREUX PALACE SA"/>
        <s v="HVJ GMBH &amp; CO. KG"/>
        <s v="INJAZ FOR DEVELOPMENT &amp; INVESTMENT"/>
        <s v="INNVEST HOTELS LP"/>
        <s v="KATARA TOWERS HOTELS MANAGEMENT"/>
        <s v="KEYSTONE RESORTS PRIVATE LIMITED"/>
        <s v="KHI (SEYCHELLES) 01 LIMITED"/>
        <s v="LE CHATEAU MONTEBELLO"/>
        <s v="LHCW HOTEL OPERATING COMPANY"/>
        <s v="LOMBARD HOSPITALITY LIMITED"/>
        <s v="MANCHESTER AUSTIN LLC"/>
        <s v="MAPS HOTELS AND RESORTS HAWAII"/>
        <s v="MASON STREET OPCO LLC"/>
        <s v="MINA AL FAJER REAL ESTATE LLC"/>
        <s v="NOVA RIOTEL EMPREENDIMENTOS"/>
        <s v="OPERADORA HOTELERA DEL CORREDOR"/>
        <s v="PARC1 HOTEL MANAGEMENT"/>
        <s v="PT. CITRALAND ADIGRAHA"/>
        <s v="PT. JIMBARAN GREENHILL"/>
        <s v="QUEEN ELIZABETH HOTEL LP"/>
        <s v="RAFFLES SENTOSA SINGAPORE"/>
        <s v="RAFFLES THE PALM DUBAI - FZE"/>
        <s v="RC HOTELS (PTE) LTD"/>
        <s v="ROYAL YORK OPERATIONS LP"/>
        <s v="RP HOTELS (BARBADOS) INC."/>
        <s v="RWW HE SPÓŁKA Z OGRANICZONĄ"/>
        <s v="SAM MONTE-CARLO GRAND HOTEL"/>
        <s v="SATEL GAYRİMENKUL GELİŞTİRME"/>
        <s v="SHARIKAT ALBAWAABAT ALAIQTISADIAT"/>
        <s v="SHIBAURA HOTEL MANAGEMENT LLC"/>
        <s v="SHR FPH LLC"/>
        <s v="SHREM AIRPORT HOTELS"/>
        <s v="SOCIETE D'EXPLOITATION DU ROYAL"/>
        <s v="SONOMA HOTEL OPERATOR, LLC"/>
        <s v="ST ANDREWS BAY DEVELOPMENTS LTD."/>
        <s v="STE QATAR NATIONAL HOTELS"/>
        <s v="TRINITY STUART HOTEL LLC"/>
        <s v="WAFI PROPERTY LLC"/>
        <s v="WHITEHALL HOTEL LIMITED"/>
        <s v="WIC PRAGUE A.S."/>
        <s v="XHR PITTSBURGH MARKET TRS LLC"/>
        <s v="ZORLU YAPI YATIRIM ANONİM ŞİRKETİ"/>
        <m u="1"/>
      </sharedItems>
    </cacheField>
    <cacheField name="Accounting Doc Number" numFmtId="0">
      <sharedItems containsBlank="1" containsMixedTypes="1" containsNumber="1" containsInteger="1" minValue="2900000694" maxValue="9700091144"/>
    </cacheField>
    <cacheField name="Referenc Document No." numFmtId="0">
      <sharedItems containsBlank="1" count="395">
        <s v="M11IN26-00007434"/>
        <s v="M11IN26-00010064"/>
        <m/>
        <s v="AM11IN26-0002273"/>
        <s v="AM11IN26-0005430"/>
        <s v="M11IN26-00009591"/>
        <s v="M11IN26-00009686"/>
        <s v="AM11IN25-0028420"/>
        <s v="AM11IN25-0028416"/>
        <s v="AM11IN25-0030077"/>
        <s v="AM11CN25-0002624"/>
        <s v="AM11CN25-0002625"/>
        <s v="AM11CN25-0002628"/>
        <s v="AM11IN25-0035327"/>
        <s v="AM11IN25-0035328"/>
        <s v="AM11IN25-0036268"/>
        <s v="M11IN26-00007232"/>
        <s v="M11IN26-00007261"/>
        <s v="AM11IN26-0007586"/>
        <s v="M11IN26-00009428"/>
        <s v="AMT 1,344.44"/>
        <s v="M11IN26-00001278"/>
        <s v="M11IN26-00001481"/>
        <s v="M11IN26-00007392"/>
        <s v="M11IN26-00001318"/>
        <s v="M11IN26-00001503"/>
        <s v="M11IN26-00008842"/>
        <s v="M11IN25-00011178"/>
        <s v="M11IN25-00011179"/>
        <s v="M11IN25-00011180"/>
        <s v="M11IN25-00011663"/>
        <s v="M11IN25-00017445"/>
        <s v="M11IN25-00024539"/>
        <s v="M11IN25-00025504"/>
        <s v="M11IN25-00027256"/>
        <s v="M11IN25-00032372"/>
        <s v="M11IN26-00001335"/>
        <s v="M11IN26-00001920"/>
        <s v="M11IN26-00007397"/>
        <s v="M11IN26-00009992"/>
        <s v="M11IN25-00012997"/>
        <s v="M11IN25-00012999"/>
        <s v="M11IN25-00013001"/>
        <s v="M11IN25-00013262"/>
        <s v="M11IN25-00013326"/>
        <s v="M11IN25-00016143"/>
        <s v="M11IN25-00018245"/>
        <s v="M11CN25-00001678"/>
        <s v="M11IN25-00023923"/>
        <s v="M11IN25-00024541"/>
        <s v="M11IN25-00027708"/>
        <s v="M11IN25-00032376"/>
        <s v="M11IN26-00001478"/>
        <s v="M11IN26-00008840"/>
        <s v="M11IN26-00001256"/>
        <s v="M11IN25-00005891"/>
        <s v="M11IN25-00005893"/>
        <s v="M11IN25-00005894"/>
        <s v="M11IN26-00006212"/>
        <s v="M11IN26-00006818"/>
        <s v="M11IN25-00009825"/>
        <s v="M11IN25-00009996"/>
        <s v="M11IN26-00010145"/>
        <s v="M11IN25-00011222"/>
        <s v="M11IN25-00013457"/>
        <s v="M11IN25-00015918"/>
        <s v="M11IN25-00018234"/>
        <s v="M11CN25-00001647"/>
        <s v="M11IN25-00023991"/>
        <s v="M11IN25-00024906"/>
        <s v="M11IN25-00027802"/>
        <s v="M11IN25-00033025"/>
        <s v="M11IN26-00000943"/>
        <s v="M11IN26-00001502"/>
        <s v="M11IN25-00004773"/>
        <s v="M11IN26-00007440"/>
        <s v="M11IN25-00009813"/>
        <s v="M11IN25-00013236"/>
        <s v="M11IN25-00013456"/>
        <s v="M11IN25-00018230"/>
        <s v="M11IN25-00019177"/>
        <s v="M11IN25-00023949"/>
        <s v="M11IN25-00027498"/>
        <s v="M11IN25-00032601"/>
        <s v="M11IN26-00009994"/>
        <s v="M11IN26-00008779"/>
        <s v="M11IN26-00001648"/>
        <s v="M11IN26-00006110"/>
        <s v="M11IN26-00007441"/>
        <s v="M11IN25-00032378"/>
        <s v="M11IN26-00005741"/>
        <s v="M11IN26-00006342"/>
        <s v="M11IN26-00008495"/>
        <s v="M11IN26-00008496"/>
        <s v="M11IN26-00008967"/>
        <s v="M11IN26-00009441"/>
        <s v="AMT 2,152.49"/>
        <s v="AMT 66,631.51"/>
        <s v="M11IN26-00006817"/>
        <s v="M11IN26-00008843"/>
        <s v="M11IN26-00009833"/>
        <s v="M11IN26-00006810"/>
        <s v="M11IN26-00008787"/>
        <s v="M11IN26-00008960"/>
        <s v="M11IN26-00009244"/>
        <s v="M11IN26-00010065"/>
        <s v="M11CN26-00001076"/>
        <s v="M11IN25-00028390"/>
        <s v="M11IN25-00028391"/>
        <s v="AM11IN25-0030426"/>
        <s v="M11IN25-00030427"/>
        <s v="M11IN26-00000945"/>
        <s v="M11IN26-00001254"/>
        <s v="M11IN26-00001508"/>
        <s v="M11IN26-00001915"/>
        <s v="M11IN26-00007438"/>
        <s v="M11IN26-00007446"/>
        <s v="M11IN26-00010140"/>
        <s v="M11IN26-00010141"/>
        <s v="M11IN25-00032602"/>
        <s v="M11IN25-00033507"/>
        <s v="M11IN26-00009436"/>
        <s v="M11IN26-00010001"/>
        <s v="AMT 34,996.38"/>
        <s v="AMT 23,459.09"/>
        <s v="M11IN25-00005778"/>
        <s v="M11IN26-00006808"/>
        <s v="M11IN25-00013510"/>
        <s v="M11IN26-00010125"/>
        <s v="M11IN26-00001599"/>
        <s v="M11IN26-00001912"/>
        <s v="M11IN25-00004463"/>
        <s v="M11IN25-00004464"/>
        <s v="M11IN25-00004466"/>
        <s v="M11IN26-00006815"/>
        <s v="M11IN25-00012193"/>
        <s v="M11IN25-00013195"/>
        <s v="M11IN25-00013451"/>
        <s v="M11IN25-00016140"/>
        <s v="M11IN25-00018141"/>
        <s v="M11IN25-00023973"/>
        <s v="M11IN25-00027495"/>
        <s v="M11IN25-00032486"/>
        <s v="M11IN26-00010062"/>
        <s v="M11IN26-00010020"/>
        <s v="M11IN26-00010224"/>
        <s v="M11IN26-00008979"/>
        <s v="M11IN26-00009618"/>
        <s v="AM11IN26-0010005"/>
        <s v="M11IN26-00010024"/>
        <s v="M11IN26-00009066"/>
        <s v="M11IN26-00009997"/>
        <s v="M11IN26-00007388"/>
        <s v="AM11IN26-0002268"/>
        <s v="M11IN26-00008795"/>
        <s v="M11IN26-00008788"/>
        <s v="M11IN26-00010011"/>
        <s v="M11IN26-00006934"/>
        <s v="M11IN26-00010271"/>
        <s v="M11IN26-00008965"/>
        <s v="M11IN26-00008966"/>
        <s v="M11IN26-00008981"/>
        <s v="M11IN26-00010017"/>
        <s v="M11IN26-00001263"/>
        <s v="M11IN26-00001501"/>
        <s v="M11IN25-00004553"/>
        <s v="M11IN25-00004554"/>
        <s v="M11IN26-00007444"/>
        <s v="M11IN26-00009437"/>
        <s v="M11IN25-00009760"/>
        <s v="M11IN26-00010023"/>
        <s v="M11IN25-00013197"/>
        <s v="M11IN25-00013518"/>
        <s v="M11IN25-00016137"/>
        <s v="M11CN25-00001644"/>
        <s v="M11IN25-00019480"/>
        <s v="M11IN25-00024899"/>
        <s v="M11IN25-00027595"/>
        <s v="M11IN24-00027144"/>
        <s v="M11IN24-00027145"/>
        <s v="M11IN26-00008977"/>
        <s v="M11IN26-00010008"/>
        <s v="M11IN26-00008776"/>
        <s v="M11IN26-00010007"/>
        <s v="M11IN26-00001487"/>
        <s v="M11IN26-00001928"/>
        <s v="M11IN26-00006814"/>
        <s v="M11IN26-00008838"/>
        <s v="M11IN26-00000916"/>
        <s v="M11IN26-00001498"/>
        <s v="M11IN26-00008899"/>
        <s v="M11IN25-00012310"/>
        <s v="M11IN25-00012314"/>
        <s v="M11IN25-00014984"/>
        <s v="M11IN25-00014988"/>
        <s v="M11IN25-00014991"/>
        <s v="M11IN25-00018191"/>
        <s v="M11IN25-00023604"/>
        <s v="M11IN25-00023926"/>
        <s v="M11IN25-00024919"/>
        <s v="M11IN25-00027707"/>
        <s v="M11IN25-00032373"/>
        <s v="M11IN25-00027300"/>
        <s v="M11IN25-00028034"/>
        <s v="M11IN25-00032282"/>
        <s v="M11IN26-00001056"/>
        <s v="M11IN26-00001874"/>
        <s v="M11IN26-00008897"/>
        <s v="M11IN26-00008839"/>
        <s v="M11IN26-00010010"/>
        <s v="M11IN26-00010087"/>
        <s v="M11IN26-00008793"/>
        <s v="M11IN26-00010070"/>
        <s v="M11IN26-00008964"/>
        <s v="M11IN26-00009998"/>
        <s v="M11IN26-00009071"/>
        <s v="M11IN26-00010018"/>
        <s v="M11IN26-00008926"/>
        <s v="M11IN26-00009999"/>
        <s v="M11IN26-00010015"/>
        <s v="M11IN26-00007219"/>
        <s v="M11IN26-00008835"/>
        <s v="M11IN26-00009439"/>
        <s v="M11IN26-00010000"/>
        <s v="M11IN26-00010126"/>
        <s v="M11IN26-00010127"/>
        <s v="M11IN26-00000935"/>
        <s v="M11IN26-00001596"/>
        <s v="M11IN25-00004526"/>
        <s v="M11IN26-00007034"/>
        <s v="M11IN25-00009822"/>
        <s v="M11IN26-00010016"/>
        <s v="M11IN25-00011181"/>
        <s v="M11IN25-00023961"/>
        <s v="M11IN25-00024893"/>
        <s v="M11IN25-00027594"/>
        <s v="M11IN25-00033023"/>
        <s v="M11IN26-00001645"/>
        <s v="M11IN26-00008705"/>
        <s v="M11IN26-00008707"/>
        <s v="M11IN26-00008794"/>
        <s v="M11IN26-00010071"/>
        <s v="M11IN25-00032928"/>
        <s v="M11IN26-00001315"/>
        <s v="M11IN26-00001495"/>
        <s v="M11IN26-00008841"/>
        <s v="M11IN25-00011188"/>
        <s v="M11IN25-00011190"/>
        <s v="M11IN25-00011191"/>
        <s v="M11IN25-00013227"/>
        <s v="M11IN25-00013516"/>
        <s v="M11IN25-00016160"/>
        <s v="M11IN25-00018192"/>
        <s v="M11IN25-00023918"/>
        <s v="M11IN25-00024914"/>
        <s v="M11IN25-00028037"/>
        <s v="M11IN25-00032872"/>
        <s v="M11IN26-00010086"/>
        <s v="M11IN26-00001273"/>
        <s v="M11IN26-00001559"/>
        <s v="M11IN26-00006624"/>
        <s v="M11IN26-00006623"/>
        <s v="M11IN26-00009290"/>
        <s v="AM11IN26-0001356"/>
        <s v="M11IN26-00007009"/>
        <s v="M11IN26-00007240"/>
        <s v="M11IN26-00007241"/>
        <s v="M11IN26-00009048"/>
        <s v="M11IN26-00009049"/>
        <s v="M11IN26-00009075"/>
        <s v="M11IN26-00009076"/>
        <s v="M11IN26-00009080"/>
        <s v="M11IN26-00009081"/>
        <s v="M11IN26-00009431"/>
        <s v="M11IN26-00009432"/>
        <s v="M11IN26-00009433"/>
        <s v="M11IN26-00009434"/>
        <s v="M11IN26-00010051"/>
        <s v="M11IN26-00001251"/>
        <s v="M11IN26-00001598"/>
        <s v="M11IN25-00004490"/>
        <s v="M11IN26-00007033"/>
        <s v="M11IN25-00009898"/>
        <s v="M11IN25-00011450"/>
        <s v="M11IN25-00013471"/>
        <s v="M11IN25-00017571"/>
        <s v="M11IN25-00018622"/>
        <s v="M11IN25-00023993"/>
        <s v="M11IN25-00027311"/>
        <s v="M11IN24-00027126"/>
        <s v="M11IN24-00030496"/>
        <s v="M11IN25-00033495"/>
        <s v="M11IN26-00010014"/>
        <s v="M11IN26-00001467"/>
        <s v="M11IN26-00006625"/>
        <s v="M11IN25-00012125"/>
        <s v="M11IN25-00012126"/>
        <s v="M11IN25-00012128"/>
        <s v="M11IN25-00013129"/>
        <s v="M11IN25-00013131"/>
        <s v="M11IN25-00013324"/>
        <s v="M11IN25-00013589"/>
        <s v="M11IN25-00016162"/>
        <s v="M11IN25-00019611"/>
        <s v="M11CN25-00001680"/>
        <s v="M11IN26-00000917"/>
        <s v="M11IN26-00001497"/>
        <s v="M11IN26-00008898"/>
        <s v="M11IN25-00015097"/>
        <s v="M11IN25-00015101"/>
        <s v="M11IN25-00015926"/>
        <s v="M11IN25-00016145"/>
        <s v="M11IN25-00018255"/>
        <s v="M11IN25-00023919"/>
        <s v="M11IN25-00024544"/>
        <s v="M11IN25-00027814"/>
        <s v="M11IN25-00032379"/>
        <s v="M11IN26-00007068"/>
        <s v="M11IN26-00007443"/>
        <s v="M11IN26-00000934"/>
        <s v="M11IN26-00001919"/>
        <s v="M11IN26-00007394"/>
        <s v="M11IN26-00009996"/>
        <s v="M11IN26-00001314"/>
        <s v="M11IN26-00001819"/>
        <s v="M11IN26-00008978"/>
        <s v="M11IN26-00009438"/>
        <s v="M11IN26-00009825"/>
        <s v="M11IN26-00009993"/>
        <s v="M11IN26-00006622"/>
        <s v="M11IN26-00007255"/>
        <s v="M11IN26-00009971"/>
        <s v="M11IN25-00031525"/>
        <s v="ALLOCATION OF CN"/>
        <s v="M11IN26-00000936"/>
        <s v="M11IN26-00007071"/>
        <s v="AM11IN26-0009064"/>
        <s v="M11IN26-00010209"/>
        <s v="M11IN26-00000919"/>
        <s v="M11IN26-00008900"/>
        <s v="M11IN25-00032667"/>
        <s v="M11IN26-00006816"/>
        <s v="M11IN26-00006947"/>
        <s v="M11IN26-00001317"/>
        <s v="M11IN26-00001530"/>
        <s v="M11IN26-00006626"/>
        <s v="M11IN26-00009995"/>
        <s v="M11IN25-00012132"/>
        <s v="M11IN25-00012133"/>
        <s v="M11IN25-00012135"/>
        <s v="M11IN25-00013238"/>
        <s v="M11IN25-00013313"/>
        <s v="M11IN25-00016139"/>
        <s v="M11IN25-00019486"/>
        <s v="M11CN25-00001677"/>
        <s v="M11IN25-00023968"/>
        <s v="M11IN25-00023969"/>
        <s v="M11IN25-00027253"/>
        <s v="M11IN25-00032970"/>
        <s v="M11IN26-00006211"/>
        <s v="M11IN26-00006613"/>
        <s v="M11IN26-00007592"/>
        <s v="M11IN26-00010066"/>
        <s v="M11IN25-00012421"/>
        <s v="M11IN25-00017455"/>
        <s v="M11IN25-00017456"/>
        <s v="M11IN25-00022656"/>
        <s v="M11IN25-00025898"/>
        <s v="M11IN25-00027800"/>
        <s v="M11IN25-00033115"/>
        <s v="AMT 3,331.70"/>
        <s v="M11IN26-00006839"/>
        <s v="M11IN25-00016144"/>
        <s v="M11IN25-00018228"/>
        <s v="M11IN26-00001355"/>
        <s v="M11IN26-00001554"/>
        <s v="M11IN25-00005625"/>
        <s v="M11IN25-00005626"/>
        <s v="M11IN26-00006812"/>
        <s v="M11IN25-00009824"/>
        <s v="M11IN26-00010262"/>
        <s v="M11IN25-00011323"/>
        <s v="M11IN25-00013515"/>
        <s v="M11IN25-00025502"/>
        <s v="M11IN25-00027967"/>
        <s v="M11IN25-00033034"/>
        <s v="M11IN26-00008980"/>
        <s v="M11IN26-00006838"/>
        <s v="M11IN26-00007064"/>
        <s v="M11IN26-00009304"/>
        <s v="M11IN26-00007035"/>
        <s v="M11IN26-00010092"/>
        <s v="M11IN26-00006686"/>
        <s v="M11IN26-00010009"/>
        <s v="AM11IN26-0002272" u="1"/>
      </sharedItems>
    </cacheField>
    <cacheField name="Doc Currency" numFmtId="0">
      <sharedItems containsBlank="1" count="4">
        <s v="USD"/>
        <m/>
        <s v="AED"/>
        <e v="#N/A" u="1"/>
      </sharedItems>
    </cacheField>
    <cacheField name="Remaining Amount" numFmtId="164">
      <sharedItems containsString="0" containsBlank="1" containsNumber="1" minValue="-47589.29" maxValue="2888021.51"/>
    </cacheField>
    <cacheField name="Due Date" numFmtId="14">
      <sharedItems containsNonDate="0" containsDate="1" containsString="0" containsBlank="1" minDate="2024-12-22T00:00:00" maxDate="2026-04-30T00:00:00"/>
    </cacheField>
    <cacheField name="Aging" numFmtId="0">
      <sharedItems containsBlank="1" count="8">
        <s v="0-30"/>
        <s v="Current"/>
        <s v=""/>
        <s v="61-90"/>
        <s v="31-60"/>
        <s v="120 +"/>
        <s v="91-120"/>
        <m/>
      </sharedItems>
    </cacheField>
    <cacheField name="Original Amount" numFmtId="164">
      <sharedItems containsBlank="1" containsMixedTypes="1" containsNumber="1" minValue="-47589.29" maxValue="2888021.51"/>
    </cacheField>
    <cacheField name="Document Date" numFmtId="14">
      <sharedItems containsNonDate="0" containsDate="1" containsString="0" containsBlank="1" minDate="2024-11-22T00:00:00" maxDate="2026-03-31T00:00:00" count="96">
        <d v="2026-03-04T00:00:00"/>
        <d v="2026-03-30T00:00:00"/>
        <m/>
        <d v="2026-01-22T00:00:00"/>
        <d v="2026-02-13T00:00:00"/>
        <d v="2026-03-23T00:00:00"/>
        <d v="2026-03-24T00:00:00"/>
        <d v="2025-10-17T00:00:00"/>
        <d v="2025-10-27T00:00:00"/>
        <d v="2025-12-15T00:00:00"/>
        <d v="2025-12-17T00:00:00"/>
        <d v="2025-12-26T00:00:00"/>
        <d v="2026-02-25T00:00:00"/>
        <d v="2026-02-27T00:00:00"/>
        <d v="2026-03-05T00:00:00"/>
        <d v="2025-12-29T00:00:00"/>
        <d v="2026-01-16T00:00:00"/>
        <d v="2026-01-19T00:00:00"/>
        <d v="2026-03-19T00:00:00"/>
        <d v="2025-04-28T00:00:00"/>
        <d v="2025-05-04T00:00:00"/>
        <d v="2025-06-26T00:00:00"/>
        <d v="2025-09-19T00:00:00"/>
        <d v="2025-09-24T00:00:00"/>
        <d v="2025-10-10T00:00:00"/>
        <d v="2025-11-20T00:00:00"/>
        <d v="2026-01-15T00:00:00"/>
        <d v="2026-01-23T00:00:00"/>
        <d v="2025-05-16T00:00:00"/>
        <d v="2025-05-20T00:00:00"/>
        <d v="2025-05-21T00:00:00"/>
        <d v="2025-06-18T00:00:00"/>
        <d v="2025-07-21T00:00:00"/>
        <d v="2025-07-28T00:00:00"/>
        <d v="2025-09-10T00:00:00"/>
        <d v="2025-10-14T00:00:00"/>
        <d v="2025-02-26T00:00:00"/>
        <d v="2026-02-20T00:00:00"/>
        <d v="2026-02-26T00:00:00"/>
        <d v="2025-04-17T00:00:00"/>
        <d v="2025-09-12T00:00:00"/>
        <d v="2025-09-18T00:00:00"/>
        <d v="2025-10-13T00:00:00"/>
        <d v="2025-11-26T00:00:00"/>
        <d v="2026-01-14T00:00:00"/>
        <d v="2025-02-20T00:00:00"/>
        <d v="2025-04-16T00:00:00"/>
        <d v="2025-05-22T00:00:00"/>
        <d v="2025-07-25T00:00:00"/>
        <d v="2025-11-21T00:00:00"/>
        <d v="2026-03-17T00:00:00"/>
        <d v="2026-02-17T00:00:00"/>
        <d v="2026-03-12T00:00:00"/>
        <d v="2026-03-18T00:00:00"/>
        <d v="2026-03-11T00:00:00"/>
        <d v="2025-12-19T00:00:00"/>
        <d v="2026-03-25T00:00:00"/>
        <d v="2026-03-26T00:00:00"/>
        <d v="2025-10-20T00:00:00"/>
        <d v="2025-10-29T00:00:00"/>
        <d v="2025-05-12T00:00:00"/>
        <d v="2025-07-23T00:00:00"/>
        <d v="2026-03-27T00:00:00"/>
        <d v="2026-01-21T00:00:00"/>
        <d v="2025-02-18T00:00:00"/>
        <d v="2025-05-13T00:00:00"/>
        <d v="2025-06-19T00:00:00"/>
        <d v="2025-07-16T00:00:00"/>
        <d v="2025-02-19T00:00:00"/>
        <d v="2025-10-15T00:00:00"/>
        <d v="2024-11-22T00:00:00"/>
        <d v="2026-01-20T00:00:00"/>
        <d v="2026-01-12T00:00:00"/>
        <d v="2025-06-04T00:00:00"/>
        <d v="2025-07-17T00:00:00"/>
        <d v="2025-09-08T00:00:00"/>
        <d v="2025-10-16T00:00:00"/>
        <d v="2026-03-16T00:00:00"/>
        <d v="2025-11-24T00:00:00"/>
        <d v="2026-02-24T00:00:00"/>
        <d v="2025-07-03T00:00:00"/>
        <d v="2025-10-12T00:00:00"/>
        <d v="2024-12-18T00:00:00"/>
        <d v="2025-05-11T00:00:00"/>
        <d v="2025-05-19T00:00:00"/>
        <d v="2026-02-23T00:00:00"/>
        <d v="2025-11-11T00:00:00"/>
        <d v="2026-02-11T00:00:00"/>
        <d v="2026-03-03T00:00:00"/>
        <d v="2025-05-15T00:00:00"/>
        <d v="2025-06-29T00:00:00"/>
        <d v="2025-08-26T00:00:00"/>
        <d v="2025-09-26T00:00:00"/>
        <d v="2025-11-25T00:00:00"/>
        <d v="2026-03-02T00:00:00"/>
        <d v="2025-09-23T00:00:00"/>
      </sharedItems>
    </cacheField>
    <cacheField name="HFM Named Client" numFmtId="0">
      <sharedItems containsBlank="1"/>
    </cacheField>
    <cacheField name="Document type" numFmtId="0">
      <sharedItems containsBlank="1"/>
    </cacheField>
    <cacheField name="Document type Desc" numFmtId="0">
      <sharedItems containsBlank="1"/>
    </cacheField>
    <cacheField name="Invoice Reference" numFmtId="0">
      <sharedItems containsBlank="1"/>
    </cacheField>
    <cacheField name="Assignment Number" numFmtId="0">
      <sharedItems containsBlank="1"/>
    </cacheField>
    <cacheField name="Currency Key" numFmtId="0">
      <sharedItems/>
    </cacheField>
    <cacheField name="Current" numFmtId="4">
      <sharedItems containsSemiMixedTypes="0" containsString="0" containsNumber="1" minValue="-174771.67" maxValue="1736798.7"/>
    </cacheField>
    <cacheField name="Ovd 0-30 d." numFmtId="4">
      <sharedItems containsSemiMixedTypes="0" containsString="0" containsNumber="1" minValue="0" maxValue="436447.54"/>
    </cacheField>
    <cacheField name="Ovd 31-60 d." numFmtId="4">
      <sharedItems containsSemiMixedTypes="0" containsString="0" containsNumber="1" minValue="-7852.58" maxValue="2754375"/>
    </cacheField>
    <cacheField name="Ovd 61-90 d." numFmtId="4">
      <sharedItems containsSemiMixedTypes="0" containsString="0" containsNumber="1" minValue="0" maxValue="5012962.51"/>
    </cacheField>
    <cacheField name="Ovd 91-120 d." numFmtId="4">
      <sharedItems containsSemiMixedTypes="0" containsString="0" containsNumber="1" minValue="-131623.54" maxValue="30776.62"/>
    </cacheField>
    <cacheField name="Over 120 d." numFmtId="0">
      <sharedItems containsString="0" containsBlank="1" containsNumber="1" minValue="-86423.360000000001" maxValue="2662396.94"/>
    </cacheField>
    <cacheField name="Total overdues" numFmtId="0">
      <sharedItems containsString="0" containsBlank="1" containsNumber="1" minValue="-131623.54" maxValue="2892093.75"/>
    </cacheField>
    <cacheField name="Doubtful" numFmtId="4">
      <sharedItems containsSemiMixedTypes="0" containsString="0" containsNumber="1" containsInteger="1" minValue="0" maxValue="0"/>
    </cacheField>
    <cacheField name="Text" numFmtId="0">
      <sharedItems containsBlank="1"/>
    </cacheField>
    <cacheField name="HFM BS Entity" numFmtId="0">
      <sharedItems containsBlank="1"/>
    </cacheField>
    <cacheField name="HFM BS Entity Descr" numFmtId="0">
      <sharedItems containsBlank="1"/>
    </cacheField>
    <cacheField name="Group GL Account" numFmtId="0">
      <sharedItems containsBlank="1"/>
    </cacheField>
    <cacheField name="Total BS (Receivables)" numFmtId="4">
      <sharedItems containsSemiMixedTypes="0" containsString="0" containsNumber="1" minValue="-174771.67" maxValue="10606259"/>
    </cacheField>
    <cacheField name="Group Currency Amount" numFmtId="4">
      <sharedItems containsSemiMixedTypes="0" containsString="0" containsNumber="1" minValue="-40567.120000000003" maxValue="2464429.7599999998"/>
    </cacheField>
    <cacheField name="PO" numFmtId="4">
      <sharedItems containsBlank="1"/>
    </cacheField>
    <cacheField name="Status as of Mar 2026" numFmtId="0">
      <sharedItems containsBlank="1" containsMixedTypes="1" containsNumber="1" minValue="0" maxValue="715765.69000000006" longText="1"/>
    </cacheField>
    <cacheField name="Paid %" numFmtId="0">
      <sharedItems containsBlank="1" containsMixedTypes="1" containsNumber="1" minValue="-0.34584222054810648" maxValue="1.253417803463637"/>
    </cacheField>
    <cacheField name="Pareto" numFmtId="0">
      <sharedItems containsBlank="1" count="24">
        <s v="Paid"/>
        <s v="For Payment"/>
        <m/>
        <s v="For Cancellation"/>
        <s v="Client Pending"/>
        <s v="Cleared"/>
        <s v="CN not Shared"/>
        <s v="Payment"/>
        <s v="Pending Copy of Contract / SOW"/>
        <s v="Refuse to Pay"/>
        <s v="Pending Request"/>
        <s v="Client Unresponsive"/>
        <s v="Pending Documents"/>
        <s v="AB Linking"/>
        <s v="Disputed Invoice"/>
        <s v="CN Issuance"/>
        <s v="Refuse to Pay'" u="1"/>
        <s v="P2P / For Payment" u="1"/>
        <s v="AB/Cancellation/PO Issue" u="1"/>
        <s v="Collected/Paid" u="1"/>
        <s v="Client Unresponsive'" u="1"/>
        <s v="PO Insufficient" u="1"/>
        <s v="Pending Invoice" u="1"/>
        <s v="Client Pemding" u="1"/>
      </sharedItems>
    </cacheField>
    <cacheField name="Status as of Apr 2026"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
  <r>
    <s v="M1140101"/>
    <x v="0"/>
    <s v="(M11)(M11)100108890"/>
    <x v="0"/>
    <n v="9700018697"/>
    <x v="0"/>
    <x v="0"/>
    <n v="10109.959999999999"/>
    <d v="2026-04-03T00:00:00"/>
    <x v="0"/>
    <n v="10109.959999999999"/>
    <x v="0"/>
    <s v="ACCOR"/>
    <s v="ZM"/>
    <s v="Media Interface"/>
    <m/>
    <s v="STARSCAP_MENA"/>
    <s v="AED"/>
    <n v="37128.83"/>
    <n v="0"/>
    <n v="0"/>
    <n v="0"/>
    <n v="0"/>
    <n v="0"/>
    <n v="0"/>
    <n v="0"/>
    <s v="FAIRMONT CENTURY PLAZA -ALWAYS ON 2026"/>
    <s v="AE8860"/>
    <s v="Publicis Media Executive UAE"/>
    <s v="CA200"/>
    <n v="37128.83"/>
    <n v="8564.1299999999992"/>
    <s v="APPROVAL - PROPERTY ALWAYS ON"/>
    <e v="#N/A"/>
    <b v="1"/>
    <x v="0"/>
    <s v="Collected"/>
  </r>
  <r>
    <s v="M1140101"/>
    <x v="0"/>
    <s v="(M11)(M11)100108890"/>
    <x v="0"/>
    <n v="9700025782"/>
    <x v="1"/>
    <x v="0"/>
    <n v="7670.31"/>
    <d v="2026-04-29T00:00:00"/>
    <x v="1"/>
    <n v="7670.31"/>
    <x v="1"/>
    <s v="ACCOR"/>
    <s v="ZM"/>
    <s v="Media Interface"/>
    <m/>
    <s v="STARSCAP_MENA"/>
    <s v="AED"/>
    <n v="28169.21"/>
    <n v="0"/>
    <n v="0"/>
    <n v="0"/>
    <n v="0"/>
    <n v="0"/>
    <n v="0"/>
    <n v="0"/>
    <s v="FAIRMONT CENTURY PLAZA -ALWAYS ON 2026"/>
    <s v="AE8860"/>
    <s v="Publicis Media Executive UAE"/>
    <s v="CA200"/>
    <n v="28169.21"/>
    <n v="6628.34"/>
    <s v="APPROVAL - PROPERTY ALWAYS ON"/>
    <e v="#N/A"/>
    <b v="0"/>
    <x v="1"/>
    <s v="Client confirmed payment in Process"/>
  </r>
  <r>
    <m/>
    <x v="1"/>
    <m/>
    <x v="0"/>
    <m/>
    <x v="2"/>
    <x v="1"/>
    <n v="17780.27"/>
    <m/>
    <x v="2"/>
    <n v="17780.27"/>
    <x v="2"/>
    <m/>
    <m/>
    <m/>
    <m/>
    <m/>
    <s v="AED"/>
    <n v="65298.04"/>
    <n v="0"/>
    <n v="0"/>
    <n v="0"/>
    <n v="0"/>
    <m/>
    <m/>
    <n v="0"/>
    <m/>
    <m/>
    <m/>
    <m/>
    <n v="65298.04"/>
    <n v="15192.47"/>
    <m/>
    <n v="8564.1299999999992"/>
    <n v="0.56860553861105589"/>
    <x v="2"/>
    <m/>
  </r>
  <r>
    <s v="M1140101"/>
    <x v="2"/>
    <s v="(M11)(M11)100103956"/>
    <x v="1"/>
    <n v="9700006518"/>
    <x v="3"/>
    <x v="0"/>
    <n v="750000"/>
    <d v="2026-02-21T00:00:00"/>
    <x v="3"/>
    <n v="750000"/>
    <x v="3"/>
    <s v="ACCOR"/>
    <s v="ZM"/>
    <s v="Media Interface"/>
    <m/>
    <s v="STARSCAP_MENA"/>
    <s v="AED"/>
    <n v="0"/>
    <n v="0"/>
    <n v="2754375"/>
    <n v="0"/>
    <n v="0"/>
    <n v="0"/>
    <n v="2754375"/>
    <n v="0"/>
    <s v="fairmont-global-awareness-phase 2-2025"/>
    <s v="AE8860"/>
    <s v="Publicis Media Executive UAE"/>
    <s v="CA200"/>
    <n v="2754375"/>
    <n v="638895.99"/>
    <e v="#N/A"/>
    <s v="was shared to client yet on 5/3 Faraz(Agency) mentioned to to park this invoice - still chasing if to shared or not. On 27/03 Faraz mentioned that no issue on this invoice and should be paid by client and now chasing client asking reason being skipped."/>
    <b v="0"/>
    <x v="3"/>
    <s v="On 02/04, the client advised that the invoice reported to Faraz (Agency) had a PO that was already fully utilized and requested issuance of a new invoice. This concern was forwarded to Faraz on 09/04 and is currently pending next steps."/>
  </r>
  <r>
    <s v="M1140101"/>
    <x v="2"/>
    <s v="(M11)(M11)100103956"/>
    <x v="1"/>
    <n v="9700014226"/>
    <x v="4"/>
    <x v="0"/>
    <n v="20660.71"/>
    <d v="2026-03-15T00:00:00"/>
    <x v="4"/>
    <n v="20660.71"/>
    <x v="4"/>
    <s v="ACCOR"/>
    <s v="ZM"/>
    <s v="Media Interface"/>
    <m/>
    <s v="STARSCAP_MENA"/>
    <s v="AED"/>
    <n v="0"/>
    <n v="75876.460000000006"/>
    <n v="0"/>
    <n v="0"/>
    <n v="0"/>
    <n v="0"/>
    <n v="75876.460000000006"/>
    <n v="0"/>
    <s v="FAIRMONT WINTER 2025"/>
    <s v="AE8860"/>
    <s v="Publicis Media Executive UAE"/>
    <s v="CA200"/>
    <n v="75876.460000000006"/>
    <n v="17399.96"/>
    <e v="#N/A"/>
    <s v="Chasing Client for Payment Timeline"/>
    <b v="0"/>
    <x v="4"/>
    <s v="Client mentioned that payment has been approved and in processed on 2/4._x000a_"/>
  </r>
  <r>
    <s v="M1140101"/>
    <x v="2"/>
    <s v="(M11)(M11)100103956"/>
    <x v="1"/>
    <n v="9700024620"/>
    <x v="5"/>
    <x v="0"/>
    <n v="27221.25"/>
    <d v="2026-04-22T00:00:00"/>
    <x v="0"/>
    <n v="27221.25"/>
    <x v="5"/>
    <s v="ACCOR"/>
    <s v="ZM"/>
    <s v="Media Interface"/>
    <m/>
    <s v="STARSCAP_MENA"/>
    <s v="AED"/>
    <n v="99970.04"/>
    <n v="0"/>
    <n v="0"/>
    <n v="0"/>
    <n v="0"/>
    <n v="0"/>
    <n v="0"/>
    <n v="0"/>
    <s v="FAIRMONT WINTER 2025"/>
    <s v="AE8860"/>
    <s v="Publicis Media Executive UAE"/>
    <s v="CA200"/>
    <n v="99970.04"/>
    <n v="23557.98"/>
    <s v="POAE586_AB Do not share with the client"/>
    <e v="#N/A"/>
    <b v="1"/>
    <x v="5"/>
    <s v="Cleared - AB Linking"/>
  </r>
  <r>
    <s v="M1140101"/>
    <x v="2"/>
    <s v="(M11)(M11)100103956"/>
    <x v="1"/>
    <n v="9700024962"/>
    <x v="6"/>
    <x v="0"/>
    <n v="27221.25"/>
    <d v="2026-04-23T00:00:00"/>
    <x v="0"/>
    <n v="27221.25"/>
    <x v="6"/>
    <s v="ACCOR"/>
    <s v="ZM"/>
    <s v="Media Interface"/>
    <m/>
    <s v="STARSCAP_MENA"/>
    <s v="AED"/>
    <n v="99970.04"/>
    <n v="0"/>
    <n v="0"/>
    <n v="0"/>
    <n v="0"/>
    <n v="0"/>
    <n v="0"/>
    <n v="0"/>
    <s v="fairmont-global-awareness-phase 2-2025"/>
    <s v="AE8860"/>
    <s v="Publicis Media Executive UAE"/>
    <s v="CA200"/>
    <n v="99970.04"/>
    <n v="23474.69"/>
    <s v="POAE591_ AB Do not share with the client"/>
    <e v="#N/A"/>
    <b v="1"/>
    <x v="5"/>
    <s v="Cleared - AB Linking"/>
  </r>
  <r>
    <s v="M1140101"/>
    <x v="2"/>
    <s v="(M11)(M11)100103956"/>
    <x v="1"/>
    <n v="9700072278"/>
    <x v="7"/>
    <x v="0"/>
    <n v="51562.91"/>
    <d v="2025-11-16T00:00:00"/>
    <x v="5"/>
    <n v="51562.91"/>
    <x v="7"/>
    <s v="ACCOR"/>
    <s v="ZM"/>
    <s v="Media Interface"/>
    <m/>
    <s v="STARSCAP_MENA"/>
    <s v="AED"/>
    <n v="0"/>
    <n v="0"/>
    <n v="0"/>
    <n v="0"/>
    <n v="0"/>
    <n v="189364.79"/>
    <n v="189364.79"/>
    <n v="0"/>
    <s v="FAIRMONT SUMMER INDIA 2025"/>
    <s v="AE8860"/>
    <s v="Publicis Media Executive UAE"/>
    <s v="CA200"/>
    <n v="189364.79"/>
    <n v="44366.64"/>
    <e v="#N/A"/>
    <s v="For Cancellation - to replace PO with VAT."/>
    <b v="0"/>
    <x v="3"/>
    <s v="For Cancellation - to replace PO with VAT."/>
  </r>
  <r>
    <s v="M1140101"/>
    <x v="2"/>
    <s v="(M11)(M11)100103956"/>
    <x v="1"/>
    <n v="9700072279"/>
    <x v="8"/>
    <x v="0"/>
    <n v="16331.88"/>
    <d v="2025-11-16T00:00:00"/>
    <x v="5"/>
    <n v="16331.88"/>
    <x v="7"/>
    <s v="ACCOR"/>
    <s v="ZM"/>
    <s v="Media Interface"/>
    <m/>
    <s v="STARSCAP_MENA"/>
    <s v="AED"/>
    <n v="0"/>
    <n v="0"/>
    <n v="0"/>
    <n v="0"/>
    <n v="0"/>
    <n v="59978.83"/>
    <n v="59978.83"/>
    <n v="0"/>
    <s v="RAFFLES GLOBAL AWARENESS INDIA 2025"/>
    <s v="AE8860"/>
    <s v="Publicis Media Executive UAE"/>
    <s v="CA200"/>
    <n v="59978.83"/>
    <n v="14052.56"/>
    <e v="#N/A"/>
    <s v="For Cancellation - to replace PO with VAT."/>
    <b v="0"/>
    <x v="3"/>
    <s v="For Cancellation - to replace PO with VAT."/>
  </r>
  <r>
    <s v="M1140101"/>
    <x v="2"/>
    <s v="(M11)(M11)100103956"/>
    <x v="1"/>
    <n v="9700076085"/>
    <x v="9"/>
    <x v="0"/>
    <n v="724954.92"/>
    <d v="2025-11-26T00:00:00"/>
    <x v="5"/>
    <n v="724954.92"/>
    <x v="8"/>
    <s v="ACCOR"/>
    <s v="ZM"/>
    <s v="Media Interface"/>
    <m/>
    <s v="STARSCAP_MENA"/>
    <s v="AED"/>
    <n v="0"/>
    <n v="0"/>
    <n v="0"/>
    <n v="0"/>
    <n v="0"/>
    <n v="2662396.94"/>
    <n v="2662396.94"/>
    <n v="0"/>
    <s v="FAIRMONT GLOBAL AWARENESS 2025"/>
    <s v="AE8860"/>
    <s v="Publicis Media Executive UAE"/>
    <s v="CA200"/>
    <n v="2662396.94"/>
    <n v="624315.29"/>
    <e v="#N/A"/>
    <s v="For Cancellation - to replace PO with VAT."/>
    <b v="0"/>
    <x v="3"/>
    <s v="For Cancellation - to replace PO with VAT."/>
  </r>
  <r>
    <s v="M1140101"/>
    <x v="2"/>
    <s v="(M11)(M11)100103956"/>
    <x v="1"/>
    <n v="9700087773"/>
    <x v="10"/>
    <x v="0"/>
    <n v="-23354.87"/>
    <d v="2026-01-14T00:00:00"/>
    <x v="6"/>
    <n v="-23354.87"/>
    <x v="9"/>
    <s v="ACCOR"/>
    <s v="ZM"/>
    <s v="Media Interface"/>
    <s v="V"/>
    <s v="STARSCAP_MENA"/>
    <s v="AED"/>
    <n v="-85770.76"/>
    <n v="0"/>
    <n v="0"/>
    <n v="0"/>
    <n v="0"/>
    <n v="0"/>
    <n v="0"/>
    <n v="0"/>
    <s v="AM11IN25-0033173"/>
    <s v="AE8860"/>
    <s v="Publicis Media Executive UAE"/>
    <s v="CA200"/>
    <n v="-85770.76"/>
    <n v="-19908.68"/>
    <e v="#N/A"/>
    <s v="Paid Cancelled invoice Faraz mentioned they will raised new invoice to offset this CN."/>
    <b v="0"/>
    <x v="6"/>
    <s v="Paid Cancelled invoice Faraz mentioned they will raised new invoice to offset this CN."/>
  </r>
  <r>
    <s v="M1140101"/>
    <x v="2"/>
    <s v="(M11)(M11)100103956"/>
    <x v="1"/>
    <n v="9700087774"/>
    <x v="11"/>
    <x v="0"/>
    <n v="-47589.29"/>
    <d v="2026-01-14T00:00:00"/>
    <x v="6"/>
    <n v="-47589.29"/>
    <x v="9"/>
    <s v="ACCOR"/>
    <s v="ZM"/>
    <s v="Media Interface"/>
    <s v="V"/>
    <s v="STARSCAP_MENA"/>
    <s v="AED"/>
    <n v="-174771.67"/>
    <n v="0"/>
    <n v="0"/>
    <n v="0"/>
    <n v="0"/>
    <n v="0"/>
    <n v="0"/>
    <n v="0"/>
    <s v="AM11IN25-0033174"/>
    <s v="AE8860"/>
    <s v="Publicis Media Executive UAE"/>
    <s v="CA200"/>
    <n v="-174771.67"/>
    <n v="-40567.120000000003"/>
    <e v="#N/A"/>
    <s v="Paid Cancelled invoice Faraz mentioned they will raised new invoice to offset this CN."/>
    <b v="0"/>
    <x v="6"/>
    <s v="Paid Cancelled invoice Faraz mentioned they will raised new invoice to offset this CN."/>
  </r>
  <r>
    <s v="M1140101"/>
    <x v="2"/>
    <s v="(M11)(M11)100103956"/>
    <x v="1"/>
    <n v="9700087777"/>
    <x v="12"/>
    <x v="0"/>
    <n v="-23987.25"/>
    <d v="2026-01-14T00:00:00"/>
    <x v="6"/>
    <n v="-23987.25"/>
    <x v="9"/>
    <s v="ACCOR"/>
    <s v="ZM"/>
    <s v="Media Interface"/>
    <s v="V"/>
    <s v="STARSCAP_MENA"/>
    <s v="AED"/>
    <n v="-88093.18"/>
    <n v="0"/>
    <n v="0"/>
    <n v="0"/>
    <n v="0"/>
    <n v="0"/>
    <n v="0"/>
    <n v="0"/>
    <s v="AM11IN25-0033447"/>
    <s v="AE8860"/>
    <s v="Publicis Media Executive UAE"/>
    <s v="CA200"/>
    <n v="-88093.18"/>
    <n v="-20447.75"/>
    <e v="#N/A"/>
    <s v="Paid Cancelled invoice Faraz mentioned they will raised new invoice to offset this CN."/>
    <b v="0"/>
    <x v="6"/>
    <s v="Paid Cancelled invoice Faraz mentioned they will raised new invoice to offset this CN."/>
  </r>
  <r>
    <s v="M1140101"/>
    <x v="2"/>
    <s v="(M11)(M11)100103956"/>
    <x v="1"/>
    <n v="9700088577"/>
    <x v="13"/>
    <x v="0"/>
    <n v="787500"/>
    <d v="2026-01-16T00:00:00"/>
    <x v="6"/>
    <n v="787500"/>
    <x v="10"/>
    <s v="ACCOR"/>
    <s v="ZM"/>
    <s v="Media Interface"/>
    <m/>
    <s v="STARSCAP_MENA"/>
    <s v="AED"/>
    <n v="0"/>
    <n v="0"/>
    <n v="0"/>
    <n v="2892093.75"/>
    <n v="0"/>
    <n v="0"/>
    <n v="2892093.75"/>
    <n v="0"/>
    <s v="FAIRMONT WINTER 2025"/>
    <s v="AE8860"/>
    <s v="Publicis Media Executive UAE"/>
    <s v="CA200"/>
    <n v="2892093.75"/>
    <n v="668733.02"/>
    <e v="#N/A"/>
    <s v="For Cancellation - to replace PO with VAT."/>
    <b v="1"/>
    <x v="5"/>
    <s v="Cleared / Cancelled"/>
  </r>
  <r>
    <s v="M1140101"/>
    <x v="2"/>
    <s v="(M11)(M11)100103956"/>
    <x v="1"/>
    <n v="9700088578"/>
    <x v="14"/>
    <x v="0"/>
    <n v="509250"/>
    <d v="2026-01-16T00:00:00"/>
    <x v="6"/>
    <n v="509250"/>
    <x v="10"/>
    <s v="ACCOR"/>
    <s v="ZM"/>
    <s v="Media Interface"/>
    <m/>
    <s v="STARSCAP_MENA"/>
    <s v="AED"/>
    <n v="0"/>
    <n v="0"/>
    <n v="0"/>
    <n v="1870220.63"/>
    <n v="0"/>
    <n v="0"/>
    <n v="1870220.63"/>
    <n v="0"/>
    <s v="FAIRMONT WINTER 2025"/>
    <s v="AE8860"/>
    <s v="Publicis Media Executive UAE"/>
    <s v="CA200"/>
    <n v="1870220.63"/>
    <n v="432447.35"/>
    <e v="#N/A"/>
    <s v="For Cancellation - to replace PO with VAT."/>
    <b v="0"/>
    <x v="3"/>
    <s v="For Cancellation - to replace PO with VAT."/>
  </r>
  <r>
    <s v="M1140101"/>
    <x v="2"/>
    <s v="(M11)(M11)100103956"/>
    <x v="1"/>
    <n v="9700091144"/>
    <x v="15"/>
    <x v="0"/>
    <n v="68250"/>
    <d v="2026-01-25T00:00:00"/>
    <x v="6"/>
    <n v="68250"/>
    <x v="11"/>
    <s v="ACCOR"/>
    <s v="ZM"/>
    <s v="Media Interface"/>
    <m/>
    <s v="STARSCAP_MENA"/>
    <s v="AED"/>
    <n v="0"/>
    <n v="0"/>
    <n v="0"/>
    <n v="250648.13"/>
    <n v="0"/>
    <n v="0"/>
    <n v="250648.13"/>
    <n v="0"/>
    <s v="FAIRMONT WINTER 2025"/>
    <s v="AE8860"/>
    <s v="Publicis Media Executive UAE"/>
    <s v="CA200"/>
    <n v="250648.13"/>
    <n v="58109.83"/>
    <e v="#N/A"/>
    <s v="For invoice revision due to PO issue(Billed in Full)."/>
    <b v="0"/>
    <x v="3"/>
    <s v="For invoice revision due to PO issue(Billed in Full)."/>
  </r>
  <r>
    <m/>
    <x v="1"/>
    <m/>
    <x v="1"/>
    <m/>
    <x v="2"/>
    <x v="1"/>
    <n v="2888021.51"/>
    <m/>
    <x v="2"/>
    <n v="2888021.51"/>
    <x v="2"/>
    <m/>
    <m/>
    <m/>
    <m/>
    <m/>
    <s v="AED"/>
    <n v="-148695.53"/>
    <n v="75876.460000000006"/>
    <n v="2754375"/>
    <n v="5012962.51"/>
    <n v="0"/>
    <m/>
    <m/>
    <n v="0"/>
    <m/>
    <m/>
    <m/>
    <m/>
    <n v="10606259"/>
    <n v="2464429.7599999998"/>
    <m/>
    <n v="715765.69000000006"/>
    <n v="0.29152916523810796"/>
    <x v="2"/>
    <m/>
  </r>
  <r>
    <s v="M1140101"/>
    <x v="3"/>
    <s v="(M11)(M11)100103260"/>
    <x v="2"/>
    <n v="9700018272"/>
    <x v="16"/>
    <x v="0"/>
    <n v="76055.94"/>
    <d v="2026-03-27T00:00:00"/>
    <x v="4"/>
    <n v="76055.94"/>
    <x v="12"/>
    <s v="ACCOR"/>
    <s v="ZM"/>
    <s v="Media Interface"/>
    <m/>
    <s v="STARSCAP_MENA"/>
    <s v="AED"/>
    <n v="0"/>
    <n v="279315.44"/>
    <n v="0"/>
    <n v="0"/>
    <n v="0"/>
    <n v="0"/>
    <n v="279315.44"/>
    <n v="0"/>
    <s v="ACCOR_FAIRMONT_WINTER OCT_MAR"/>
    <s v="AE8860"/>
    <s v="Publicis Media Executive UAE"/>
    <s v="CA200"/>
    <n v="279315.44"/>
    <n v="64541.7"/>
    <s v="DXB_PO14500_ Ab Do not share with the client"/>
    <s v="AB Linking"/>
    <b v="1"/>
    <x v="5"/>
    <s v="Cleared - AB Linking"/>
  </r>
  <r>
    <s v="M1140101"/>
    <x v="3"/>
    <s v="(M11)(M11)100103260"/>
    <x v="2"/>
    <n v="9700018297"/>
    <x v="17"/>
    <x v="0"/>
    <n v="918.8"/>
    <d v="2026-03-29T00:00:00"/>
    <x v="0"/>
    <n v="918.8"/>
    <x v="13"/>
    <s v="ACCOR"/>
    <s v="ZM"/>
    <s v="Media Interface"/>
    <m/>
    <s v="STARSCAP_MENA"/>
    <s v="AED"/>
    <n v="0"/>
    <n v="3374.29"/>
    <n v="0"/>
    <n v="0"/>
    <n v="0"/>
    <n v="0"/>
    <n v="3374.29"/>
    <n v="0"/>
    <s v="Fairmont Summer Campaign 2025"/>
    <s v="AE8860"/>
    <s v="Publicis Media Executive UAE"/>
    <s v="CA200"/>
    <n v="3374.29"/>
    <n v="779.7"/>
    <s v="EMAIL APPROVAL_AB Do not share with the client"/>
    <s v="AB Linking"/>
    <b v="1"/>
    <x v="5"/>
    <s v="Cleared - AB Linking"/>
  </r>
  <r>
    <s v="M1140101"/>
    <x v="3"/>
    <s v="(M11)(M11)100103260"/>
    <x v="2"/>
    <n v="9700018964"/>
    <x v="18"/>
    <x v="0"/>
    <n v="472920"/>
    <d v="2026-04-04T00:00:00"/>
    <x v="0"/>
    <n v="472920"/>
    <x v="14"/>
    <s v="ACCOR"/>
    <s v="ZM"/>
    <s v="Media Interface"/>
    <m/>
    <s v="STARSCAP_MENA"/>
    <s v="AED"/>
    <n v="1736798.7"/>
    <n v="0"/>
    <n v="0"/>
    <n v="0"/>
    <n v="0"/>
    <n v="0"/>
    <n v="0"/>
    <n v="0"/>
    <s v="FAIRMONT KM WELLNESS 2025"/>
    <s v="AE8860"/>
    <s v="Publicis Media Executive UAE"/>
    <s v="CA200"/>
    <n v="1736798.7"/>
    <n v="404274.23"/>
    <e v="#N/A"/>
    <e v="#N/A"/>
    <b v="1"/>
    <x v="0"/>
    <s v="Collected"/>
  </r>
  <r>
    <m/>
    <x v="1"/>
    <m/>
    <x v="2"/>
    <m/>
    <x v="2"/>
    <x v="1"/>
    <n v="549894.74"/>
    <m/>
    <x v="2"/>
    <n v="549894.74"/>
    <x v="2"/>
    <m/>
    <m/>
    <m/>
    <m/>
    <m/>
    <s v="AED"/>
    <n v="1736798.7"/>
    <n v="282689.73"/>
    <n v="0"/>
    <n v="0"/>
    <n v="0"/>
    <m/>
    <m/>
    <n v="0"/>
    <m/>
    <m/>
    <m/>
    <m/>
    <n v="2019488.43"/>
    <n v="469595.63"/>
    <m/>
    <n v="469595.63"/>
    <n v="1"/>
    <x v="2"/>
    <m/>
  </r>
  <r>
    <s v="M1140101"/>
    <x v="4"/>
    <s v="(M11)(M11)100108092"/>
    <x v="3"/>
    <n v="9700024357"/>
    <x v="19"/>
    <x v="0"/>
    <n v="50000"/>
    <d v="2026-04-22T00:00:00"/>
    <x v="0"/>
    <n v="50000"/>
    <x v="5"/>
    <s v="ACCOR"/>
    <s v="ZM"/>
    <s v="Media Interface"/>
    <m/>
    <s v="STARSCAP_MENA"/>
    <s v="AED"/>
    <n v="183625"/>
    <n v="0"/>
    <n v="0"/>
    <n v="0"/>
    <n v="0"/>
    <n v="0"/>
    <n v="0"/>
    <n v="0"/>
    <s v="Raffles Global Awareness 2025 Phase - 2"/>
    <s v="AE8860"/>
    <s v="Publicis Media Executive UAE"/>
    <s v="CA200"/>
    <n v="183625"/>
    <n v="43271.31"/>
    <s v="EMAIL APPROVAL _Ab Do not share with the client"/>
    <e v="#N/A"/>
    <b v="1"/>
    <x v="5"/>
    <s v="Cleared - AB Linking"/>
  </r>
  <r>
    <m/>
    <x v="1"/>
    <m/>
    <x v="3"/>
    <m/>
    <x v="2"/>
    <x v="1"/>
    <n v="50000"/>
    <m/>
    <x v="2"/>
    <n v="50000"/>
    <x v="2"/>
    <m/>
    <m/>
    <m/>
    <m/>
    <m/>
    <s v="AED"/>
    <n v="183625"/>
    <n v="0"/>
    <n v="0"/>
    <n v="0"/>
    <n v="0"/>
    <m/>
    <m/>
    <n v="0"/>
    <m/>
    <m/>
    <m/>
    <m/>
    <n v="183625"/>
    <n v="43271.31"/>
    <m/>
    <n v="43271.31"/>
    <n v="1"/>
    <x v="2"/>
    <m/>
  </r>
  <r>
    <s v="M1140101"/>
    <x v="5"/>
    <s v="(M11)(M114)100111888"/>
    <x v="4"/>
    <s v="9000066463"/>
    <x v="20"/>
    <x v="0"/>
    <n v="-1045.05"/>
    <d v="2025-12-29T00:00:00"/>
    <x v="6"/>
    <n v="-1045.05"/>
    <x v="15"/>
    <s v="ACCOR"/>
    <s v="GC"/>
    <s v="Clearing Documents"/>
    <m/>
    <m/>
    <s v="AED"/>
    <n v="0"/>
    <n v="0"/>
    <n v="0"/>
    <n v="0"/>
    <n v="-3837.95"/>
    <n v="0"/>
    <n v="-3837.95"/>
    <n v="0"/>
    <s v="Rem amt posted on acc against pay amt 1,344.44"/>
    <s v="AE8860"/>
    <s v="Publicis Media Executive UAE"/>
    <s v="CA200"/>
    <n v="-3837.95"/>
    <n v="-886.61"/>
    <m/>
    <m/>
    <b v="0"/>
    <x v="7"/>
    <s v="Overpayment against rem bal of inv M11IN25-00013509 &amp; M11IN25-00019361."/>
  </r>
  <r>
    <m/>
    <x v="1"/>
    <m/>
    <x v="4"/>
    <m/>
    <x v="2"/>
    <x v="1"/>
    <m/>
    <m/>
    <x v="7"/>
    <m/>
    <x v="2"/>
    <m/>
    <m/>
    <m/>
    <m/>
    <m/>
    <s v="AED"/>
    <n v="0"/>
    <n v="0"/>
    <n v="0"/>
    <n v="0"/>
    <n v="-3837.95"/>
    <m/>
    <m/>
    <n v="0"/>
    <m/>
    <m/>
    <m/>
    <m/>
    <n v="-3837.95"/>
    <n v="-886.61"/>
    <m/>
    <m/>
    <m/>
    <x v="2"/>
    <m/>
  </r>
  <r>
    <s v="M1140101"/>
    <x v="6"/>
    <s v="(M11)(M11)100113182"/>
    <x v="5"/>
    <n v="9700003005"/>
    <x v="21"/>
    <x v="0"/>
    <n v="1032.74"/>
    <d v="2026-02-15T00:00:00"/>
    <x v="3"/>
    <n v="1032.74"/>
    <x v="16"/>
    <s v="ACCOR"/>
    <s v="ZM"/>
    <s v="Media Interface"/>
    <m/>
    <s v="STARSCAP_MENA"/>
    <s v="AED"/>
    <n v="0"/>
    <n v="0"/>
    <n v="3792.74"/>
    <n v="0"/>
    <n v="0"/>
    <n v="0"/>
    <n v="3792.74"/>
    <n v="0"/>
    <s v="FAIRMONT MAKKAH - ALWAYS ON 2025"/>
    <s v="AE8860"/>
    <s v="Publicis Media Executive UAE"/>
    <s v="CA200"/>
    <n v="3792.74"/>
    <n v="886.17"/>
    <s v="APPROVAL - PROPERTY ALWAYS ON"/>
    <s v="Delayed paymemnt due to Bank rejection as per client - Chasing Client for an update"/>
    <b v="0"/>
    <x v="4"/>
    <s v="Delayed paymemnt due to Bank rejection as per client - Chasing Client for an update"/>
  </r>
  <r>
    <s v="M1140101"/>
    <x v="6"/>
    <s v="(M11)(M11)100113182"/>
    <x v="5"/>
    <n v="9700003829"/>
    <x v="22"/>
    <x v="0"/>
    <n v="1082.45"/>
    <d v="2026-02-15T00:00:00"/>
    <x v="3"/>
    <n v="1082.45"/>
    <x v="16"/>
    <s v="ACCOR"/>
    <s v="ZM"/>
    <s v="Media Interface"/>
    <m/>
    <s v="STARSCAP_MENA"/>
    <s v="AED"/>
    <n v="0"/>
    <n v="0"/>
    <n v="3975.3"/>
    <n v="0"/>
    <n v="0"/>
    <n v="0"/>
    <n v="3975.3"/>
    <n v="0"/>
    <s v="FAIRMONT MAKKAH - ALWAYS ON 2025"/>
    <s v="AE8860"/>
    <s v="Publicis Media Executive UAE"/>
    <s v="CA200"/>
    <n v="3975.3"/>
    <n v="929.06"/>
    <s v="APPROVAL - PROPERTY ALWAYS ON"/>
    <s v="Delayed paymemnt due to Bank rejection as per client - Chasing Client for an update"/>
    <b v="0"/>
    <x v="4"/>
    <s v="Delayed paymemnt due to Bank rejection as per client - Chasing Client for an update"/>
  </r>
  <r>
    <s v="M1140101"/>
    <x v="6"/>
    <s v="(M11)(M11)100113182"/>
    <x v="5"/>
    <n v="9700018672"/>
    <x v="23"/>
    <x v="0"/>
    <n v="4446.51"/>
    <d v="2026-04-03T00:00:00"/>
    <x v="0"/>
    <n v="4446.51"/>
    <x v="0"/>
    <s v="ACCOR"/>
    <s v="ZM"/>
    <s v="Media Interface"/>
    <m/>
    <s v="STARSCAP_MENA"/>
    <s v="AED"/>
    <n v="16329.81"/>
    <n v="0"/>
    <n v="0"/>
    <n v="0"/>
    <n v="0"/>
    <n v="0"/>
    <n v="0"/>
    <n v="0"/>
    <s v="FAIRMONT MAKKAH ALWAYS ON 2026"/>
    <s v="AE8860"/>
    <s v="Publicis Media Executive UAE"/>
    <s v="CA200"/>
    <n v="16329.81"/>
    <n v="3766.63"/>
    <s v="APPROVAL - PROPERTY ALWAYS ON"/>
    <e v="#N/A"/>
    <b v="0"/>
    <x v="4"/>
    <s v="Chasing Client for Payment Timeline"/>
  </r>
  <r>
    <m/>
    <x v="1"/>
    <m/>
    <x v="5"/>
    <m/>
    <x v="2"/>
    <x v="1"/>
    <n v="6561.7000000000007"/>
    <m/>
    <x v="2"/>
    <n v="6561.7000000000007"/>
    <x v="2"/>
    <m/>
    <m/>
    <m/>
    <m/>
    <m/>
    <s v="AED"/>
    <n v="16329.81"/>
    <n v="0"/>
    <n v="7768.04"/>
    <n v="0"/>
    <n v="0"/>
    <m/>
    <m/>
    <n v="0"/>
    <m/>
    <m/>
    <m/>
    <m/>
    <n v="24097.85"/>
    <n v="5581.86"/>
    <m/>
    <n v="0"/>
    <n v="0"/>
    <x v="2"/>
    <m/>
  </r>
  <r>
    <s v="M1140101"/>
    <x v="7"/>
    <s v="(M11)(M11)100113370"/>
    <x v="6"/>
    <n v="9700003144"/>
    <x v="24"/>
    <x v="0"/>
    <n v="2389.63"/>
    <d v="2026-02-15T00:00:00"/>
    <x v="3"/>
    <n v="2389.63"/>
    <x v="16"/>
    <s v="ACCOR"/>
    <s v="ZM"/>
    <s v="Media Interface"/>
    <m/>
    <s v="STARSCAP_MENA"/>
    <s v="AED"/>
    <n v="0"/>
    <n v="0"/>
    <n v="8775.92"/>
    <n v="0"/>
    <n v="0"/>
    <n v="0"/>
    <n v="8775.92"/>
    <n v="0"/>
    <s v="RAFFLES MAKKAH PALACE - ALWAYS ON 2025"/>
    <s v="AE8860"/>
    <s v="Publicis Media Executive UAE"/>
    <s v="CA200"/>
    <n v="8775.92"/>
    <n v="2050.48"/>
    <s v="APPROVAL - PROPERTY ALWAYS ON"/>
    <s v="On 20/1 Client mention payment has rejected by their Bank and issue still recurring to dat - Still keep chasing client if issue has been resolved."/>
    <b v="0"/>
    <x v="1"/>
    <s v="On 20/1 Client mention payment has rejected by their Bank and issue still recurring to dat - Still keep chasing client if issue has been resolved."/>
  </r>
  <r>
    <s v="M1140101"/>
    <x v="7"/>
    <s v="(M11)(M11)100113370"/>
    <x v="6"/>
    <n v="9700003850"/>
    <x v="25"/>
    <x v="0"/>
    <n v="2453.67"/>
    <d v="2026-02-18T00:00:00"/>
    <x v="3"/>
    <n v="2453.67"/>
    <x v="17"/>
    <s v="ACCOR"/>
    <s v="ZM"/>
    <s v="Media Interface"/>
    <m/>
    <s v="STARSCAP_MENA"/>
    <s v="AED"/>
    <n v="0"/>
    <n v="0"/>
    <n v="9011.1"/>
    <n v="0"/>
    <n v="0"/>
    <n v="0"/>
    <n v="9011.1"/>
    <n v="0"/>
    <s v="RAFFLES MAKKAH PALACE - ALWAYS ON 2025"/>
    <s v="AE8860"/>
    <s v="Publicis Media Executive UAE"/>
    <s v="CA200"/>
    <n v="9011.1"/>
    <n v="2105.9699999999998"/>
    <s v="APPROVAL - PROPERTY ALWAYS ON"/>
    <s v="On 20/1 Client mention payment has rejected by their Bank and issue still recurring to dat - Still keep chasing client if issue has been resolved."/>
    <b v="0"/>
    <x v="4"/>
    <s v="On 20/1 Client mention payment has rejected by their Bank and issue still recurring to dat - Still keep chasing client if issue has been resolved."/>
  </r>
  <r>
    <s v="M1140101"/>
    <x v="7"/>
    <s v="(M11)(M11)100113370"/>
    <x v="6"/>
    <n v="9700022732"/>
    <x v="26"/>
    <x v="0"/>
    <n v="2495.7399999999998"/>
    <d v="2026-04-18T00:00:00"/>
    <x v="0"/>
    <n v="2495.7399999999998"/>
    <x v="18"/>
    <s v="ACCOR"/>
    <s v="ZM"/>
    <s v="Media Interface"/>
    <m/>
    <s v="STARSCAP_MENA"/>
    <s v="AED"/>
    <n v="9165.61"/>
    <n v="0"/>
    <n v="0"/>
    <n v="0"/>
    <n v="0"/>
    <n v="0"/>
    <n v="0"/>
    <n v="0"/>
    <s v="RAFFLES MAKKAH PALACE - ALWAYS ON 2026"/>
    <s v="AE8860"/>
    <s v="Publicis Media Executive UAE"/>
    <s v="CA200"/>
    <n v="9165.61"/>
    <n v="2174.75"/>
    <s v="APPROVAL - PROPERTY ALWAYS ON"/>
    <e v="#N/A"/>
    <b v="0"/>
    <x v="4"/>
    <s v="On 20/1 Client mention payment has rejected by their Bank and issue still recurring to dat - Still keep chasing client if issue has been resolved."/>
  </r>
  <r>
    <s v="M1140101"/>
    <x v="7"/>
    <s v="(M11)(M11)100113370"/>
    <x v="6"/>
    <n v="9700028955"/>
    <x v="27"/>
    <x v="0"/>
    <n v="1816.36"/>
    <d v="2025-05-28T00:00:00"/>
    <x v="5"/>
    <n v="1816.36"/>
    <x v="19"/>
    <s v="ACCOR"/>
    <s v="ZM"/>
    <s v="Media Interface"/>
    <m/>
    <s v="STARSCAP_MENA"/>
    <s v="AED"/>
    <n v="0"/>
    <n v="0"/>
    <n v="0"/>
    <n v="0"/>
    <n v="0"/>
    <n v="6670.58"/>
    <n v="6670.58"/>
    <n v="0"/>
    <s v="RAFFLES_ALWAYS ON_Makkah"/>
    <s v="AE8860"/>
    <s v="Publicis Media Executive UAE"/>
    <s v="CA200"/>
    <n v="6670.58"/>
    <n v="1591.2"/>
    <s v="APPROVAL_PROPERTY LEVEL_SEA_002"/>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28956"/>
    <x v="28"/>
    <x v="0"/>
    <n v="2411.34"/>
    <d v="2025-05-28T00:00:00"/>
    <x v="5"/>
    <n v="2411.34"/>
    <x v="19"/>
    <s v="ACCOR"/>
    <s v="ZM"/>
    <s v="Media Interface"/>
    <m/>
    <s v="STARSCAP_MENA"/>
    <s v="AED"/>
    <n v="0"/>
    <n v="0"/>
    <n v="0"/>
    <n v="0"/>
    <n v="0"/>
    <n v="8855.65"/>
    <n v="8855.65"/>
    <n v="0"/>
    <s v="RAFFLES_ALWAYS ON_Makkah_NON UAE"/>
    <s v="AE8860"/>
    <s v="Publicis Media Executive UAE"/>
    <s v="CA200"/>
    <n v="8855.65"/>
    <n v="2112.4299999999998"/>
    <s v="APPROVAL_PROPERTY LEVEL_SEA_001"/>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28957"/>
    <x v="29"/>
    <x v="0"/>
    <n v="543.89"/>
    <d v="2025-05-28T00:00:00"/>
    <x v="5"/>
    <n v="543.89"/>
    <x v="19"/>
    <s v="ACCOR"/>
    <s v="ZM"/>
    <s v="Media Interface"/>
    <m/>
    <s v="STARSCAP_MENA"/>
    <s v="AED"/>
    <n v="0"/>
    <n v="0"/>
    <n v="0"/>
    <n v="0"/>
    <n v="0"/>
    <n v="1997.44"/>
    <n v="1997.44"/>
    <n v="0"/>
    <s v="RAFFLES_SEARCH_Makkah_UAE"/>
    <s v="AE8860"/>
    <s v="Publicis Media Executive UAE"/>
    <s v="CA200"/>
    <n v="1997.44"/>
    <n v="476.47"/>
    <s v="APPROVAL_PROPERTY LEVEL_SEA_002"/>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29919"/>
    <x v="30"/>
    <x v="0"/>
    <n v="1906.22"/>
    <d v="2025-06-03T00:00:00"/>
    <x v="5"/>
    <n v="1906.22"/>
    <x v="20"/>
    <s v="ACCOR"/>
    <s v="ZM"/>
    <s v="Media Interface"/>
    <m/>
    <s v="STARSCAP_MENA"/>
    <s v="AED"/>
    <n v="0"/>
    <n v="0"/>
    <n v="0"/>
    <n v="0"/>
    <n v="0"/>
    <n v="7000.59"/>
    <n v="7000.59"/>
    <n v="0"/>
    <s v="RAFFLES MAKKAH PALACE - ALWAYS ON 2025"/>
    <s v="AE8860"/>
    <s v="Publicis Media Executive UAE"/>
    <s v="CA200"/>
    <n v="7000.59"/>
    <n v="1676.09"/>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44497"/>
    <x v="31"/>
    <x v="0"/>
    <n v="3021.43"/>
    <d v="2025-07-26T00:00:00"/>
    <x v="5"/>
    <n v="3021.43"/>
    <x v="21"/>
    <s v="ACCOR"/>
    <s v="ZM"/>
    <s v="Media Interface"/>
    <m/>
    <s v="STARSCAP_MENA"/>
    <s v="AED"/>
    <n v="0"/>
    <n v="0"/>
    <n v="0"/>
    <n v="0"/>
    <n v="0"/>
    <n v="11096.2"/>
    <n v="11096.2"/>
    <n v="0"/>
    <s v="RAFFLES MAKKAH PALACE - ALWAYS ON 2025"/>
    <s v="AE8860"/>
    <s v="Publicis Media Executive UAE"/>
    <s v="CA200"/>
    <n v="11096.2"/>
    <n v="2603.11"/>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63453"/>
    <x v="32"/>
    <x v="0"/>
    <n v="7989.46"/>
    <d v="2025-10-19T00:00:00"/>
    <x v="5"/>
    <n v="7989.46"/>
    <x v="22"/>
    <s v="ACCOR"/>
    <s v="ZM"/>
    <s v="Media Interface"/>
    <m/>
    <s v="STARSCAP_MENA"/>
    <s v="AED"/>
    <n v="0"/>
    <n v="0"/>
    <n v="0"/>
    <n v="0"/>
    <n v="0"/>
    <n v="29341.29"/>
    <n v="29341.29"/>
    <n v="0"/>
    <s v="RAFFLES MAKKAH PALACE - ALWAYS ON 2025"/>
    <s v="AE8860"/>
    <s v="Publicis Media Executive UAE"/>
    <s v="CA200"/>
    <n v="29341.29"/>
    <n v="6818.11"/>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65542"/>
    <x v="33"/>
    <x v="0"/>
    <n v="2507.0500000000002"/>
    <d v="2025-10-24T00:00:00"/>
    <x v="5"/>
    <n v="2507.0500000000002"/>
    <x v="23"/>
    <s v="ACCOR"/>
    <s v="ZM"/>
    <s v="Media Interface"/>
    <m/>
    <s v="STARSCAP_MENA"/>
    <s v="AED"/>
    <n v="0"/>
    <n v="0"/>
    <n v="0"/>
    <n v="0"/>
    <n v="0"/>
    <n v="9207.14"/>
    <n v="9207.14"/>
    <n v="0"/>
    <s v="RAFFLES MAKKAH PALACE - ALWAYS ON 2025"/>
    <s v="AE8860"/>
    <s v="Publicis Media Executive UAE"/>
    <s v="CA200"/>
    <n v="9207.14"/>
    <n v="2136.1999999999998"/>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69498"/>
    <x v="34"/>
    <x v="0"/>
    <n v="2532.5100000000002"/>
    <d v="2025-11-09T00:00:00"/>
    <x v="5"/>
    <n v="2532.5100000000002"/>
    <x v="24"/>
    <s v="ACCOR"/>
    <s v="ZM"/>
    <s v="Media Interface"/>
    <m/>
    <s v="STARSCAP_MENA"/>
    <s v="AED"/>
    <n v="0"/>
    <n v="0"/>
    <n v="0"/>
    <n v="0"/>
    <n v="0"/>
    <n v="9300.64"/>
    <n v="9300.64"/>
    <n v="0"/>
    <s v="RAFFLES MAKKAH PALACE - ALWAYS ON 2025"/>
    <s v="AE8860"/>
    <s v="Publicis Media Executive UAE"/>
    <s v="CA200"/>
    <n v="9300.64"/>
    <n v="2170.85"/>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s v="M1140101"/>
    <x v="7"/>
    <s v="(M11)(M11)100113370"/>
    <x v="6"/>
    <n v="9700081327"/>
    <x v="35"/>
    <x v="0"/>
    <n v="2491.38"/>
    <d v="2025-12-20T00:00:00"/>
    <x v="5"/>
    <n v="2491.38"/>
    <x v="25"/>
    <s v="ACCOR"/>
    <s v="ZM"/>
    <s v="Media Interface"/>
    <m/>
    <s v="STARSCAP_MENA"/>
    <s v="AED"/>
    <n v="0"/>
    <n v="0"/>
    <n v="0"/>
    <n v="0"/>
    <n v="9149.59"/>
    <n v="0"/>
    <n v="9149.59"/>
    <n v="0"/>
    <s v="RAFFLES MAKKAH PALACE - ALWAYS ON 2025"/>
    <s v="AE8860"/>
    <s v="Publicis Media Executive UAE"/>
    <s v="CA200"/>
    <n v="9149.59"/>
    <n v="2149.04"/>
    <s v="APPROVAL - PROPERTY ALWAYS ON"/>
    <s v="Delay due to late submission of documents (VAT Cert, IBAN, AP, etc.), which were only shared on 02/01. Client reported that payment was rejected by the bank on 20/01 and is still in progress. Continue chasing client for update."/>
    <b v="0"/>
    <x v="4"/>
    <s v="Delay due to late submission of documents (VAT Cert, IBAN, AP, etc.), which were only shared on 02/01. Client reported that payment was rejected by the bank on 20/01 and is still in progress. Continue chasing client for update."/>
  </r>
  <r>
    <m/>
    <x v="1"/>
    <m/>
    <x v="6"/>
    <m/>
    <x v="2"/>
    <x v="1"/>
    <n v="32558.679999999997"/>
    <m/>
    <x v="2"/>
    <n v="32558.679999999997"/>
    <x v="2"/>
    <m/>
    <m/>
    <m/>
    <m/>
    <m/>
    <s v="AED"/>
    <n v="9165.61"/>
    <n v="0"/>
    <n v="17787.02"/>
    <n v="0"/>
    <n v="9149.59"/>
    <m/>
    <m/>
    <n v="0"/>
    <m/>
    <m/>
    <m/>
    <m/>
    <n v="119571.75"/>
    <n v="28064.7"/>
    <m/>
    <n v="0"/>
    <n v="0"/>
    <x v="2"/>
    <m/>
  </r>
  <r>
    <s v="M1140101"/>
    <x v="8"/>
    <s v="(M11)(M11)100114715"/>
    <x v="7"/>
    <n v="9700003162"/>
    <x v="36"/>
    <x v="0"/>
    <n v="2342.4699999999998"/>
    <d v="2026-02-14T00:00:00"/>
    <x v="3"/>
    <n v="2342.4699999999998"/>
    <x v="26"/>
    <s v="ACCOR"/>
    <s v="ZM"/>
    <s v="Media Interface"/>
    <m/>
    <s v="STARSCAP_MENA"/>
    <s v="AED"/>
    <n v="0"/>
    <n v="0"/>
    <n v="8602.7199999999993"/>
    <n v="0"/>
    <n v="0"/>
    <n v="0"/>
    <n v="8602.7199999999993"/>
    <n v="0"/>
    <s v="FAIRMONT MAKATI - ALWAYS ON 2025"/>
    <s v="AE8860"/>
    <s v="Publicis Media Executive UAE"/>
    <s v="CA200"/>
    <n v="8602.7199999999993"/>
    <n v="2010.01"/>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05199"/>
    <x v="37"/>
    <x v="0"/>
    <n v="2390.75"/>
    <d v="2026-02-22T00:00:00"/>
    <x v="3"/>
    <n v="2390.75"/>
    <x v="27"/>
    <s v="ACCOR"/>
    <s v="ZM"/>
    <s v="Media Interface"/>
    <m/>
    <s v="STARSCAP_MENA"/>
    <s v="AED"/>
    <n v="0"/>
    <n v="0"/>
    <n v="8780.0300000000007"/>
    <n v="0"/>
    <n v="0"/>
    <n v="0"/>
    <n v="8780.0300000000007"/>
    <n v="0"/>
    <s v="FAIRMONT MAKATI - ALWAYS ON 2025"/>
    <s v="AE8860"/>
    <s v="Publicis Media Executive UAE"/>
    <s v="CA200"/>
    <n v="8780.0300000000007"/>
    <n v="2055.5"/>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18674"/>
    <x v="38"/>
    <x v="0"/>
    <n v="1867.01"/>
    <d v="2026-04-03T00:00:00"/>
    <x v="0"/>
    <n v="1867.01"/>
    <x v="0"/>
    <s v="ACCOR"/>
    <s v="ZM"/>
    <s v="Media Interface"/>
    <m/>
    <s v="STARSCAP_MENA"/>
    <s v="AED"/>
    <n v="6856.59"/>
    <n v="0"/>
    <n v="0"/>
    <n v="0"/>
    <n v="0"/>
    <n v="0"/>
    <n v="0"/>
    <n v="0"/>
    <s v="FAIRMONT MAKATI ALWAYS ON 2026"/>
    <s v="AE8860"/>
    <s v="Publicis Media Executive UAE"/>
    <s v="CA200"/>
    <n v="6856.59"/>
    <n v="1581.54"/>
    <s v="APPROVAL - PROPERTY LEVEL - ALWAYS ON"/>
    <e v="#N/A"/>
    <b v="0"/>
    <x v="1"/>
    <s v="Delayed due to Pending contract which ask alternatives and resharing the invoice and on 24/4 Client mentioned to expect payment by nextweek."/>
  </r>
  <r>
    <s v="M1140101"/>
    <x v="8"/>
    <s v="(M11)(M11)100114715"/>
    <x v="7"/>
    <n v="9700025711"/>
    <x v="39"/>
    <x v="0"/>
    <n v="1426.18"/>
    <d v="2026-04-29T00:00:00"/>
    <x v="1"/>
    <n v="1426.18"/>
    <x v="1"/>
    <s v="ACCOR"/>
    <s v="ZM"/>
    <s v="Media Interface"/>
    <m/>
    <s v="STARSCAP_MENA"/>
    <s v="AED"/>
    <n v="5237.6499999999996"/>
    <n v="0"/>
    <n v="0"/>
    <n v="0"/>
    <n v="0"/>
    <n v="0"/>
    <n v="0"/>
    <n v="0"/>
    <s v="FAIRMONT MAKATI ALWAYS ON 2026"/>
    <s v="AE8860"/>
    <s v="Publicis Media Executive UAE"/>
    <s v="CA200"/>
    <n v="5237.6499999999996"/>
    <n v="1232.44"/>
    <s v="APPROVAL - PROPERTY LEVEL - ALWAYS ON"/>
    <e v="#N/A"/>
    <b v="0"/>
    <x v="1"/>
    <s v="Delayed due to Pending contract which ask alternatives and resharing the invoice and on 24/4 Client mentioned to expect payment by nextweek."/>
  </r>
  <r>
    <s v="M1140101"/>
    <x v="8"/>
    <s v="(M11)(M11)100114715"/>
    <x v="7"/>
    <n v="9700033631"/>
    <x v="40"/>
    <x v="0"/>
    <n v="6213.11"/>
    <d v="2025-06-15T00:00:00"/>
    <x v="5"/>
    <n v="6213.11"/>
    <x v="28"/>
    <s v="ACCOR"/>
    <s v="ZM"/>
    <s v="Media Interface"/>
    <m/>
    <s v="STARSCAP_MENA"/>
    <s v="AED"/>
    <n v="0"/>
    <n v="0"/>
    <n v="0"/>
    <n v="0"/>
    <n v="0"/>
    <n v="22817.65"/>
    <n v="22817.65"/>
    <n v="0"/>
    <s v="FAIRMONT_ALWAYS ON_FAIRMONT Makati_NON UAE"/>
    <s v="AE8860"/>
    <s v="Publicis Media Executive UAE"/>
    <s v="CA200"/>
    <n v="22817.65"/>
    <n v="5540.49"/>
    <s v="APPROVAL_PROPERTY LEVEL_SEA_001"/>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33632"/>
    <x v="41"/>
    <x v="0"/>
    <n v="2939.58"/>
    <d v="2025-06-15T00:00:00"/>
    <x v="5"/>
    <n v="2939.58"/>
    <x v="28"/>
    <s v="ACCOR"/>
    <s v="ZM"/>
    <s v="Media Interface"/>
    <m/>
    <s v="STARSCAP_MENA"/>
    <s v="AED"/>
    <n v="0"/>
    <n v="0"/>
    <n v="0"/>
    <n v="0"/>
    <n v="0"/>
    <n v="10795.61"/>
    <n v="10795.61"/>
    <n v="0"/>
    <s v="FAIRMONT_ALWAYS ON_FAIRMONT Makati"/>
    <s v="AE8860"/>
    <s v="Publicis Media Executive UAE"/>
    <s v="CA200"/>
    <n v="10795.61"/>
    <n v="2621.35"/>
    <s v="APPROVAL_PROPERTY LEVEL_SEA_002"/>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33633"/>
    <x v="42"/>
    <x v="0"/>
    <n v="2807.12"/>
    <d v="2025-06-15T00:00:00"/>
    <x v="5"/>
    <n v="2807.12"/>
    <x v="28"/>
    <s v="ACCOR"/>
    <s v="ZM"/>
    <s v="Media Interface"/>
    <m/>
    <s v="STARSCAP_MENA"/>
    <s v="AED"/>
    <n v="0"/>
    <n v="0"/>
    <n v="0"/>
    <n v="0"/>
    <n v="0"/>
    <n v="10309.15"/>
    <n v="10309.15"/>
    <n v="0"/>
    <s v="FAIRMONT MAKATI - ALWAYS ON 2025"/>
    <s v="AE8860"/>
    <s v="Publicis Media Executive UAE"/>
    <s v="CA200"/>
    <n v="10309.15"/>
    <n v="2503.23"/>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34386"/>
    <x v="43"/>
    <x v="0"/>
    <n v="1170.43"/>
    <d v="2025-06-19T00:00:00"/>
    <x v="5"/>
    <n v="1170.43"/>
    <x v="29"/>
    <s v="ACCOR"/>
    <s v="ZM"/>
    <s v="Media Interface"/>
    <m/>
    <s v="STARSCAP_MENA"/>
    <s v="AED"/>
    <n v="0"/>
    <n v="0"/>
    <n v="0"/>
    <n v="0"/>
    <n v="0"/>
    <n v="4298.3999999999996"/>
    <n v="4298.3999999999996"/>
    <n v="0"/>
    <s v="FAIRMONT MAKATI - ALWAYS ON 2025"/>
    <s v="AE8860"/>
    <s v="Publicis Media Executive UAE"/>
    <s v="CA200"/>
    <n v="4298.3999999999996"/>
    <n v="1046.43"/>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34725"/>
    <x v="44"/>
    <x v="0"/>
    <n v="1883.32"/>
    <d v="2025-06-20T00:00:00"/>
    <x v="5"/>
    <n v="1883.32"/>
    <x v="30"/>
    <s v="ACCOR"/>
    <s v="ZM"/>
    <s v="Media Interface"/>
    <m/>
    <s v="STARSCAP_MENA"/>
    <s v="AED"/>
    <n v="0"/>
    <n v="0"/>
    <n v="0"/>
    <n v="0"/>
    <n v="0"/>
    <n v="6916.49"/>
    <n v="6916.49"/>
    <n v="0"/>
    <s v="FAIRMONT MAKATI - ALWAYS ON 2025"/>
    <s v="AE8860"/>
    <s v="Publicis Media Executive UAE"/>
    <s v="CA200"/>
    <n v="6916.49"/>
    <n v="1682.44"/>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41216"/>
    <x v="45"/>
    <x v="0"/>
    <n v="2124.85"/>
    <d v="2025-07-18T00:00:00"/>
    <x v="5"/>
    <n v="2124.85"/>
    <x v="31"/>
    <s v="ACCOR"/>
    <s v="ZM"/>
    <s v="Media Interface"/>
    <m/>
    <s v="STARSCAP_MENA"/>
    <s v="AED"/>
    <n v="0"/>
    <n v="0"/>
    <n v="0"/>
    <n v="0"/>
    <n v="0"/>
    <n v="7803.51"/>
    <n v="7803.51"/>
    <n v="0"/>
    <s v="FAIRMONT MAKATI - ALWAYS ON 2025"/>
    <s v="AE8860"/>
    <s v="Publicis Media Executive UAE"/>
    <s v="CA200"/>
    <n v="7803.51"/>
    <n v="1835.88"/>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47529"/>
    <x v="46"/>
    <x v="0"/>
    <n v="1994.22"/>
    <d v="2025-08-20T00:00:00"/>
    <x v="5"/>
    <n v="1994.22"/>
    <x v="32"/>
    <s v="ACCOR"/>
    <s v="ZM"/>
    <s v="Media Interface"/>
    <m/>
    <s v="STARSCAP_MENA"/>
    <s v="AED"/>
    <n v="0"/>
    <n v="0"/>
    <n v="0"/>
    <n v="0"/>
    <n v="0"/>
    <n v="7323.77"/>
    <n v="7323.77"/>
    <n v="0"/>
    <s v="FAIRMONT MAKATI - ALWAYS ON 2025"/>
    <s v="AE8860"/>
    <s v="Publicis Media Executive UAE"/>
    <s v="CA200"/>
    <n v="7323.77"/>
    <n v="1718.86"/>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51371"/>
    <x v="47"/>
    <x v="0"/>
    <n v="-2622.87"/>
    <d v="2025-08-27T00:00:00"/>
    <x v="5"/>
    <n v="-2622.87"/>
    <x v="33"/>
    <s v="ACCOR"/>
    <s v="ZM"/>
    <s v="Media Interface"/>
    <s v="V"/>
    <s v="STARSCAP_MENA"/>
    <s v="AED"/>
    <n v="-9632.49"/>
    <n v="0"/>
    <n v="0"/>
    <n v="0"/>
    <n v="0"/>
    <n v="0"/>
    <n v="0"/>
    <n v="0"/>
    <m/>
    <s v="AE8860"/>
    <s v="Publicis Media Executive UAE"/>
    <s v="CA200"/>
    <n v="-9632.49"/>
    <n v="-2237.1799999999998"/>
    <e v="#N/A"/>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61838"/>
    <x v="48"/>
    <x v="0"/>
    <n v="2290.65"/>
    <d v="2025-10-10T00:00:00"/>
    <x v="5"/>
    <n v="2290.65"/>
    <x v="34"/>
    <s v="ACCOR"/>
    <s v="ZM"/>
    <s v="Media Interface"/>
    <m/>
    <s v="STARSCAP_MENA"/>
    <s v="AED"/>
    <n v="0"/>
    <n v="0"/>
    <n v="0"/>
    <n v="0"/>
    <n v="0"/>
    <n v="8412.41"/>
    <n v="8412.41"/>
    <n v="0"/>
    <s v="FAIRMONT MAKATI - ALWAYS ON 2025"/>
    <s v="AE8860"/>
    <s v="Publicis Media Executive UAE"/>
    <s v="CA200"/>
    <n v="8412.41"/>
    <n v="1950.49"/>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63455"/>
    <x v="49"/>
    <x v="0"/>
    <n v="2498.5500000000002"/>
    <d v="2025-10-19T00:00:00"/>
    <x v="5"/>
    <n v="2498.5500000000002"/>
    <x v="22"/>
    <s v="ACCOR"/>
    <s v="ZM"/>
    <s v="Media Interface"/>
    <m/>
    <s v="STARSCAP_MENA"/>
    <s v="AED"/>
    <n v="0"/>
    <n v="0"/>
    <n v="0"/>
    <n v="0"/>
    <n v="0"/>
    <n v="9175.92"/>
    <n v="9175.92"/>
    <n v="0"/>
    <s v="FAIRMONT MAKATI - ALWAYS ON 2025"/>
    <s v="AE8860"/>
    <s v="Publicis Media Executive UAE"/>
    <s v="CA200"/>
    <n v="9175.92"/>
    <n v="2132.23"/>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70150"/>
    <x v="50"/>
    <x v="0"/>
    <n v="2525.19"/>
    <d v="2025-11-13T00:00:00"/>
    <x v="5"/>
    <n v="2525.19"/>
    <x v="35"/>
    <s v="ACCOR"/>
    <s v="ZM"/>
    <s v="Media Interface"/>
    <m/>
    <s v="STARSCAP_MENA"/>
    <s v="AED"/>
    <n v="0"/>
    <n v="0"/>
    <n v="0"/>
    <n v="0"/>
    <n v="0"/>
    <n v="9273.76"/>
    <n v="9273.76"/>
    <n v="0"/>
    <s v="FAIRMONT MAKATI - ALWAYS ON 2025"/>
    <s v="AE8860"/>
    <s v="Publicis Media Executive UAE"/>
    <s v="CA200"/>
    <n v="9273.76"/>
    <n v="2171.83"/>
    <s v="APPROVAL - PROPERTY ALWAYS ON"/>
    <s v="Pending Contract, WIP as per Hadi(Agency) on 12/8 - still chasing for an update internally."/>
    <b v="0"/>
    <x v="1"/>
    <s v="Delayed due to Pending contract which ask alternatives and resharing the invoice and on 24/4 Client mentioned to expect payment by nextweek."/>
  </r>
  <r>
    <s v="M1140101"/>
    <x v="8"/>
    <s v="(M11)(M11)100114715"/>
    <x v="7"/>
    <n v="9700081331"/>
    <x v="51"/>
    <x v="0"/>
    <n v="2503.88"/>
    <d v="2025-12-20T00:00:00"/>
    <x v="5"/>
    <n v="2503.88"/>
    <x v="25"/>
    <s v="ACCOR"/>
    <s v="ZM"/>
    <s v="Media Interface"/>
    <m/>
    <s v="STARSCAP_MENA"/>
    <s v="AED"/>
    <n v="0"/>
    <n v="0"/>
    <n v="0"/>
    <n v="0"/>
    <n v="9195.5"/>
    <n v="0"/>
    <n v="9195.5"/>
    <n v="0"/>
    <s v="FAIRMONT MAKATI - ALWAYS ON 2025"/>
    <s v="AE8860"/>
    <s v="Publicis Media Executive UAE"/>
    <s v="CA200"/>
    <n v="9195.5"/>
    <n v="2159.8200000000002"/>
    <s v="APPROVAL - PROPERTY ALWAYS ON"/>
    <s v="Pending Contract, WIP as per Hadi(Agency) on 12/8 - still chasing for an update internally."/>
    <b v="0"/>
    <x v="1"/>
    <s v="Delayed due to Pending contract which ask alternatives and resharing the invoice and on 24/4 Client mentioned to expect payment by nextweek."/>
  </r>
  <r>
    <m/>
    <x v="1"/>
    <m/>
    <x v="7"/>
    <m/>
    <x v="2"/>
    <x v="1"/>
    <n v="34354.439999999995"/>
    <m/>
    <x v="2"/>
    <n v="34354.439999999995"/>
    <x v="2"/>
    <m/>
    <m/>
    <m/>
    <m/>
    <m/>
    <s v="AED"/>
    <n v="2461.75"/>
    <n v="0"/>
    <n v="17382.75"/>
    <n v="0"/>
    <n v="9195.5"/>
    <m/>
    <m/>
    <n v="0"/>
    <m/>
    <m/>
    <m/>
    <m/>
    <n v="126166.67"/>
    <n v="30005.360000000001"/>
    <m/>
    <n v="0"/>
    <n v="0"/>
    <x v="2"/>
    <m/>
  </r>
  <r>
    <s v="M1140101"/>
    <x v="9"/>
    <s v="(M11)(M11)100114688"/>
    <x v="8"/>
    <n v="9700003825"/>
    <x v="52"/>
    <x v="0"/>
    <n v="289.39"/>
    <d v="2026-02-15T00:00:00"/>
    <x v="3"/>
    <n v="289.39"/>
    <x v="16"/>
    <s v="ACCOR"/>
    <s v="ZM"/>
    <s v="Media Interface"/>
    <m/>
    <s v="STARSCAP_MENA"/>
    <s v="AED"/>
    <n v="0"/>
    <n v="0"/>
    <n v="1062.78"/>
    <n v="0"/>
    <n v="0"/>
    <n v="0"/>
    <n v="1062.78"/>
    <n v="0"/>
    <s v="FAIRMONT BAKU - ALWAYS ON 2025"/>
    <s v="AE8860"/>
    <s v="Publicis Media Executive UAE"/>
    <s v="CA200"/>
    <n v="1062.78"/>
    <n v="248.38"/>
    <s v="APPROVAL - PROPERTY ALWAYS ON"/>
    <s v="Chasing Client for Payment Timeline"/>
    <b v="0"/>
    <x v="4"/>
    <s v="Chasing Client for Payment Timeline"/>
  </r>
  <r>
    <s v="M1140101"/>
    <x v="9"/>
    <s v="(M11)(M11)100114688"/>
    <x v="8"/>
    <n v="9700022724"/>
    <x v="53"/>
    <x v="0"/>
    <n v="250.16"/>
    <d v="2026-04-18T00:00:00"/>
    <x v="0"/>
    <n v="250.16"/>
    <x v="18"/>
    <s v="ACCOR"/>
    <s v="ZM"/>
    <s v="Media Interface"/>
    <m/>
    <s v="STARSCAP_MENA"/>
    <s v="AED"/>
    <n v="918.71"/>
    <n v="0"/>
    <n v="0"/>
    <n v="0"/>
    <n v="0"/>
    <n v="0"/>
    <n v="0"/>
    <n v="0"/>
    <s v="FAIRMONT BAKU - ALWAYS ON 2026"/>
    <s v="AE8860"/>
    <s v="Publicis Media Executive UAE"/>
    <s v="CA200"/>
    <n v="918.71"/>
    <n v="217.99"/>
    <s v="APPROVAL - PROPERTY ALWAYS ON"/>
    <e v="#N/A"/>
    <b v="0"/>
    <x v="4"/>
    <s v="Chasing Client for Payment Timeline"/>
  </r>
  <r>
    <m/>
    <x v="1"/>
    <m/>
    <x v="8"/>
    <m/>
    <x v="2"/>
    <x v="1"/>
    <n v="539.54999999999995"/>
    <m/>
    <x v="2"/>
    <n v="539.54999999999995"/>
    <x v="2"/>
    <m/>
    <m/>
    <m/>
    <m/>
    <m/>
    <s v="AED"/>
    <n v="918.71"/>
    <n v="0"/>
    <n v="1062.78"/>
    <n v="0"/>
    <n v="0"/>
    <m/>
    <m/>
    <n v="0"/>
    <m/>
    <m/>
    <m/>
    <m/>
    <n v="1981.49"/>
    <n v="466.37"/>
    <m/>
    <n v="0"/>
    <n v="0"/>
    <x v="2"/>
    <m/>
  </r>
  <r>
    <s v="M1140101"/>
    <x v="10"/>
    <s v="(M11)(M11)100111676"/>
    <x v="9"/>
    <n v="9700002780"/>
    <x v="54"/>
    <x v="0"/>
    <n v="578"/>
    <d v="2026-02-15T00:00:00"/>
    <x v="3"/>
    <n v="578"/>
    <x v="16"/>
    <s v="ACCOR"/>
    <s v="ZM"/>
    <s v="Media Interface"/>
    <m/>
    <s v="STARSCAP_MENA"/>
    <s v="AED"/>
    <n v="0"/>
    <n v="0"/>
    <n v="2122.71"/>
    <n v="0"/>
    <n v="0"/>
    <n v="0"/>
    <n v="2122.71"/>
    <n v="0"/>
    <s v="FAIRMONT BAB AL BAHR ALWAYS ON 2025"/>
    <s v="AE8860"/>
    <s v="Publicis Media Executive UAE"/>
    <s v="CA200"/>
    <n v="2122.71"/>
    <n v="495.97"/>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15204"/>
    <x v="55"/>
    <x v="0"/>
    <n v="1161.4100000000001"/>
    <d v="2025-03-28T00:00:00"/>
    <x v="5"/>
    <n v="1161.4100000000001"/>
    <x v="36"/>
    <s v="ACCOR"/>
    <s v="ZM"/>
    <s v="Media Interface"/>
    <m/>
    <s v="STARSCAP_MENA"/>
    <s v="AED"/>
    <n v="0"/>
    <n v="0"/>
    <n v="0"/>
    <n v="0"/>
    <n v="0"/>
    <n v="4265.28"/>
    <n v="4265.28"/>
    <n v="0"/>
    <s v="FAIRMONT_ALWAYS ON_FAIRMONT Bab Al Bahr_NON UAE"/>
    <s v="AE8860"/>
    <s v="Publicis Media Executive UAE"/>
    <s v="CA200"/>
    <n v="4265.28"/>
    <n v="1109.7"/>
    <s v="APPROVAL_PROPERTY LEVEL_SEA_001"/>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15212"/>
    <x v="56"/>
    <x v="0"/>
    <n v="590.51"/>
    <d v="2025-03-28T00:00:00"/>
    <x v="5"/>
    <n v="590.51"/>
    <x v="36"/>
    <s v="ACCOR"/>
    <s v="ZM"/>
    <s v="Media Interface"/>
    <m/>
    <s v="STARSCAP_MENA"/>
    <s v="AED"/>
    <n v="0"/>
    <n v="0"/>
    <n v="0"/>
    <n v="0"/>
    <n v="0"/>
    <n v="2168.65"/>
    <n v="2168.65"/>
    <n v="0"/>
    <s v="FAIRMONT_ALWAYS ON_FAIRMONT Bab Al Bahr"/>
    <s v="AE8860"/>
    <s v="Publicis Media Executive UAE"/>
    <s v="CA200"/>
    <n v="2168.65"/>
    <n v="564.22"/>
    <s v="APPROVAL_PROPERTY LEVEL_SEA_002"/>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15213"/>
    <x v="57"/>
    <x v="0"/>
    <n v="407.89"/>
    <d v="2025-03-28T00:00:00"/>
    <x v="5"/>
    <n v="407.89"/>
    <x v="36"/>
    <s v="ACCOR"/>
    <s v="ZM"/>
    <s v="Media Interface"/>
    <m/>
    <s v="STARSCAP_MENA"/>
    <s v="AED"/>
    <n v="0"/>
    <n v="0"/>
    <n v="0"/>
    <n v="0"/>
    <n v="0"/>
    <n v="1497.98"/>
    <n v="1497.98"/>
    <n v="0"/>
    <s v="FAIRMONT_SEARCH_FAIRMONT Bab Al Bahr_UAE"/>
    <s v="AE8860"/>
    <s v="Publicis Media Executive UAE"/>
    <s v="CA200"/>
    <n v="1497.98"/>
    <n v="389.73"/>
    <s v="APPROVAL_PROPERTY LEVEL_SEA_002"/>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16150"/>
    <x v="58"/>
    <x v="0"/>
    <n v="568.26"/>
    <d v="2026-03-22T00:00:00"/>
    <x v="4"/>
    <n v="568.26"/>
    <x v="37"/>
    <s v="ACCOR"/>
    <s v="ZM"/>
    <s v="Media Interface"/>
    <m/>
    <s v="STARSCAP_MENA"/>
    <s v="AED"/>
    <n v="0"/>
    <n v="2086.9299999999998"/>
    <n v="0"/>
    <n v="0"/>
    <n v="0"/>
    <n v="0"/>
    <n v="2086.9299999999998"/>
    <n v="0"/>
    <s v="FAIRMONT BAB AL BAHR ALWAYS ON 2025"/>
    <s v="AE8860"/>
    <s v="Publicis Media Executive UAE"/>
    <s v="CA200"/>
    <n v="2086.9299999999998"/>
    <n v="479.75"/>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17527"/>
    <x v="59"/>
    <x v="0"/>
    <n v="1503.28"/>
    <d v="2026-03-28T00:00:00"/>
    <x v="0"/>
    <n v="1503.28"/>
    <x v="38"/>
    <s v="ACCOR"/>
    <s v="ZM"/>
    <s v="Media Interface"/>
    <m/>
    <s v="STARSCAP_MENA"/>
    <s v="AED"/>
    <n v="0"/>
    <n v="5520.8"/>
    <n v="0"/>
    <n v="0"/>
    <n v="0"/>
    <n v="0"/>
    <n v="5520.8"/>
    <n v="0"/>
    <s v="FAIRMONT BAB AL BAHR ALWAYS ON 2026"/>
    <s v="AE8860"/>
    <s v="Publicis Media Executive UAE"/>
    <s v="CA200"/>
    <n v="5520.8"/>
    <n v="1277.54"/>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25561"/>
    <x v="60"/>
    <x v="0"/>
    <n v="395.61"/>
    <d v="2025-05-17T00:00:00"/>
    <x v="5"/>
    <n v="395.61"/>
    <x v="39"/>
    <s v="ACCOR"/>
    <s v="ZM"/>
    <s v="Media Interface"/>
    <m/>
    <s v="STARSCAP_MENA"/>
    <s v="AED"/>
    <n v="0"/>
    <n v="0"/>
    <n v="0"/>
    <n v="0"/>
    <n v="0"/>
    <n v="1452.88"/>
    <n v="1452.88"/>
    <n v="0"/>
    <s v="FAIRMONT BAB AL BAHR ALWAYS ON 2025"/>
    <s v="AE8860"/>
    <s v="Publicis Media Executive UAE"/>
    <s v="CA200"/>
    <n v="1452.88"/>
    <n v="348.68"/>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25901"/>
    <x v="61"/>
    <x v="0"/>
    <n v="360.51"/>
    <d v="2025-05-17T00:00:00"/>
    <x v="5"/>
    <n v="360.51"/>
    <x v="39"/>
    <s v="ACCOR"/>
    <s v="ZM"/>
    <s v="Media Interface"/>
    <m/>
    <s v="STARSCAP_MENA"/>
    <s v="AED"/>
    <n v="0"/>
    <n v="0"/>
    <n v="0"/>
    <n v="0"/>
    <n v="0"/>
    <n v="1323.97"/>
    <n v="1323.97"/>
    <n v="0"/>
    <s v="FAIRMONT BAB AL BAHR ALWAYS ON 2025"/>
    <s v="AE8860"/>
    <s v="Publicis Media Executive UAE"/>
    <s v="CA200"/>
    <n v="1323.97"/>
    <n v="316.88"/>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25999"/>
    <x v="62"/>
    <x v="0"/>
    <n v="1445.56"/>
    <d v="2026-04-29T00:00:00"/>
    <x v="1"/>
    <n v="1445.56"/>
    <x v="1"/>
    <s v="ACCOR"/>
    <s v="ZM"/>
    <s v="Media Interface"/>
    <m/>
    <s v="STARSCAP_MENA"/>
    <s v="AED"/>
    <n v="5308.82"/>
    <n v="0"/>
    <n v="0"/>
    <n v="0"/>
    <n v="0"/>
    <n v="0"/>
    <n v="0"/>
    <n v="0"/>
    <s v="FAIRMONT BAB AL BAHR ALWAYS ON 2026"/>
    <s v="AE8860"/>
    <s v="Publicis Media Executive UAE"/>
    <s v="CA200"/>
    <n v="5308.82"/>
    <n v="1247.03"/>
    <s v="APPROVEL - PROPERTY ALWAYS ON"/>
    <e v="#N/A"/>
    <b v="0"/>
    <x v="8"/>
    <s v="Pending Contract, WIP as per Hadi(Agency) on 12/8 - still chasing for an update internally. Also on 26/02 client requesting for consolidated Excel summary of all charges and still pending by Ops Team."/>
  </r>
  <r>
    <s v="M1140101"/>
    <x v="10"/>
    <s v="(M11)(M11)100111676"/>
    <x v="9"/>
    <n v="9700029158"/>
    <x v="63"/>
    <x v="0"/>
    <n v="351.71"/>
    <d v="2025-05-28T00:00:00"/>
    <x v="5"/>
    <n v="351.71"/>
    <x v="19"/>
    <s v="ACCOR"/>
    <s v="ZM"/>
    <s v="Media Interface"/>
    <m/>
    <s v="STARSCAP_MENA"/>
    <s v="AED"/>
    <n v="0"/>
    <n v="0"/>
    <n v="0"/>
    <n v="0"/>
    <n v="0"/>
    <n v="1291.6500000000001"/>
    <n v="1291.6500000000001"/>
    <n v="0"/>
    <s v="FAIRMONT BAB AL BAHR ALWAYS ON 2025"/>
    <s v="AE8860"/>
    <s v="Publicis Media Executive UAE"/>
    <s v="CA200"/>
    <n v="1291.6500000000001"/>
    <n v="309.17"/>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34850"/>
    <x v="64"/>
    <x v="0"/>
    <n v="524.83000000000004"/>
    <d v="2025-06-20T00:00:00"/>
    <x v="5"/>
    <n v="524.83000000000004"/>
    <x v="30"/>
    <s v="ACCOR"/>
    <s v="ZM"/>
    <s v="Media Interface"/>
    <m/>
    <s v="STARSCAP_MENA"/>
    <s v="AED"/>
    <n v="0"/>
    <n v="0"/>
    <n v="0"/>
    <n v="0"/>
    <n v="0"/>
    <n v="1927.44"/>
    <n v="1927.44"/>
    <n v="0"/>
    <s v="FAIRMONT BAB AL BAHR ALWAYS ON 2025"/>
    <s v="AE8860"/>
    <s v="Publicis Media Executive UAE"/>
    <s v="CA200"/>
    <n v="1927.44"/>
    <n v="468.85"/>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40580"/>
    <x v="65"/>
    <x v="0"/>
    <n v="514.41"/>
    <d v="2025-07-18T00:00:00"/>
    <x v="5"/>
    <n v="514.41"/>
    <x v="31"/>
    <s v="ACCOR"/>
    <s v="ZM"/>
    <s v="Media Interface"/>
    <m/>
    <s v="STARSCAP_MENA"/>
    <s v="AED"/>
    <n v="0"/>
    <n v="0"/>
    <n v="0"/>
    <n v="0"/>
    <n v="0"/>
    <n v="1889.17"/>
    <n v="1889.17"/>
    <n v="0"/>
    <s v="FAIRMONT BAB AL BAHR ALWAYS ON 2025"/>
    <s v="AE8860"/>
    <s v="Publicis Media Executive UAE"/>
    <s v="CA200"/>
    <n v="1889.17"/>
    <n v="446.85"/>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47504"/>
    <x v="66"/>
    <x v="0"/>
    <n v="484.98"/>
    <d v="2025-08-20T00:00:00"/>
    <x v="5"/>
    <n v="484.98"/>
    <x v="32"/>
    <s v="ACCOR"/>
    <s v="ZM"/>
    <s v="Media Interface"/>
    <m/>
    <s v="STARSCAP_MENA"/>
    <s v="AED"/>
    <n v="0"/>
    <n v="0"/>
    <n v="0"/>
    <n v="0"/>
    <n v="0"/>
    <n v="1781.09"/>
    <n v="1781.09"/>
    <n v="0"/>
    <s v="FAIRMONT BAB AL BAHR ALWAYS ON 2025"/>
    <s v="AE8860"/>
    <s v="Publicis Media Executive UAE"/>
    <s v="CA200"/>
    <n v="1781.09"/>
    <n v="418.01"/>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50581"/>
    <x v="67"/>
    <x v="0"/>
    <n v="-1039.48"/>
    <d v="2025-08-27T00:00:00"/>
    <x v="5"/>
    <n v="-1039.48"/>
    <x v="33"/>
    <s v="ACCOR"/>
    <s v="ZM"/>
    <s v="Media Interface"/>
    <s v="V"/>
    <s v="STARSCAP_MENA"/>
    <s v="AED"/>
    <n v="-3817.49"/>
    <n v="0"/>
    <n v="0"/>
    <n v="0"/>
    <n v="0"/>
    <n v="0"/>
    <n v="0"/>
    <n v="0"/>
    <m/>
    <s v="AE8860"/>
    <s v="Publicis Media Executive UAE"/>
    <s v="CA200"/>
    <n v="-3817.49"/>
    <n v="-884.21"/>
    <e v="#N/A"/>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62009"/>
    <x v="68"/>
    <x v="0"/>
    <n v="576.52"/>
    <d v="2025-10-12T00:00:00"/>
    <x v="5"/>
    <n v="576.52"/>
    <x v="40"/>
    <s v="ACCOR"/>
    <s v="ZM"/>
    <s v="Media Interface"/>
    <m/>
    <s v="STARSCAP_MENA"/>
    <s v="AED"/>
    <n v="0"/>
    <n v="0"/>
    <n v="0"/>
    <n v="0"/>
    <n v="0"/>
    <n v="2117.27"/>
    <n v="2117.27"/>
    <n v="0"/>
    <s v="FAIRMONT BAB AL BAHR ALWAYS ON 2025"/>
    <s v="AE8860"/>
    <s v="Publicis Media Executive UAE"/>
    <s v="CA200"/>
    <n v="2117.27"/>
    <n v="490.91"/>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64316"/>
    <x v="69"/>
    <x v="0"/>
    <n v="605.27"/>
    <d v="2025-10-18T00:00:00"/>
    <x v="5"/>
    <n v="605.27"/>
    <x v="41"/>
    <s v="ACCOR"/>
    <s v="ZM"/>
    <s v="Media Interface"/>
    <m/>
    <s v="STARSCAP_MENA"/>
    <s v="AED"/>
    <n v="0"/>
    <n v="0"/>
    <n v="0"/>
    <n v="0"/>
    <n v="0"/>
    <n v="2222.85"/>
    <n v="2222.85"/>
    <n v="0"/>
    <s v="FAIRMONT BAB AL BAHR ALWAYS ON 2025"/>
    <s v="AE8860"/>
    <s v="Publicis Media Executive UAE"/>
    <s v="CA200"/>
    <n v="2222.85"/>
    <n v="512.64"/>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70452"/>
    <x v="70"/>
    <x v="0"/>
    <n v="603.82000000000005"/>
    <d v="2025-11-12T00:00:00"/>
    <x v="5"/>
    <n v="603.82000000000005"/>
    <x v="42"/>
    <s v="ACCOR"/>
    <s v="ZM"/>
    <s v="Media Interface"/>
    <m/>
    <s v="STARSCAP_MENA"/>
    <s v="AED"/>
    <n v="0"/>
    <n v="0"/>
    <n v="0"/>
    <n v="0"/>
    <n v="0"/>
    <n v="2217.5300000000002"/>
    <n v="2217.5300000000002"/>
    <n v="0"/>
    <s v="FAIRMONT BAB AL BAHR ALWAYS ON 2025"/>
    <s v="AE8860"/>
    <s v="Publicis Media Executive UAE"/>
    <s v="CA200"/>
    <n v="2217.5300000000002"/>
    <n v="520.04"/>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s v="M1140101"/>
    <x v="10"/>
    <s v="(M11)(M11)100111676"/>
    <x v="9"/>
    <n v="9700083366"/>
    <x v="71"/>
    <x v="0"/>
    <n v="597.39"/>
    <d v="2025-12-26T00:00:00"/>
    <x v="5"/>
    <n v="597.39"/>
    <x v="43"/>
    <s v="ACCOR"/>
    <s v="ZM"/>
    <s v="Media Interface"/>
    <m/>
    <s v="STARSCAP_MENA"/>
    <s v="AED"/>
    <n v="0"/>
    <n v="0"/>
    <n v="0"/>
    <n v="0"/>
    <n v="2193.91"/>
    <n v="0"/>
    <n v="2193.91"/>
    <n v="0"/>
    <s v="FAIRMONT BAB AL BAHR ALWAYS ON 2025"/>
    <s v="AE8860"/>
    <s v="Publicis Media Executive UAE"/>
    <s v="CA200"/>
    <n v="2193.91"/>
    <n v="518.57000000000005"/>
    <s v="APPROVEL - PROPERTY ALWAYS ON"/>
    <s v="Pending Contract, WIP as per Hadi(Agency) on 12/8 - still chasing for an update internally. Also on 26/02 client requesting for consolidated Excel summary of all charges and still pending by Ops Team."/>
    <b v="0"/>
    <x v="8"/>
    <s v="Pending Contract, WIP as per Hadi(Agency) on 12/8 - still chasing for an update internally. Also on 26/02 client requesting for consolidated Excel summary of all charges and still pending by Ops Team."/>
  </r>
  <r>
    <m/>
    <x v="1"/>
    <m/>
    <x v="9"/>
    <m/>
    <x v="2"/>
    <x v="1"/>
    <n v="10230.48"/>
    <m/>
    <x v="2"/>
    <n v="10230.48"/>
    <x v="2"/>
    <m/>
    <m/>
    <m/>
    <m/>
    <m/>
    <s v="AED"/>
    <n v="1491.33"/>
    <n v="7607.73"/>
    <n v="2122.71"/>
    <n v="0"/>
    <n v="2193.91"/>
    <m/>
    <m/>
    <n v="0"/>
    <m/>
    <m/>
    <m/>
    <m/>
    <n v="37571.440000000002"/>
    <n v="9030.33"/>
    <m/>
    <n v="0"/>
    <n v="0"/>
    <x v="2"/>
    <m/>
  </r>
  <r>
    <s v="M1140101"/>
    <x v="11"/>
    <s v="(M11)(M11)100108821"/>
    <x v="10"/>
    <n v="9700002097"/>
    <x v="72"/>
    <x v="0"/>
    <n v="617.37"/>
    <d v="2026-02-13T00:00:00"/>
    <x v="3"/>
    <n v="617.37"/>
    <x v="44"/>
    <s v="ACCOR"/>
    <s v="ZM"/>
    <s v="Media Interface"/>
    <m/>
    <s v="STARSCAP_MENA"/>
    <s v="AED"/>
    <n v="0"/>
    <n v="0"/>
    <n v="2267.29"/>
    <n v="0"/>
    <n v="0"/>
    <n v="0"/>
    <n v="2267.29"/>
    <n v="0"/>
    <s v="FAIRMONT LA MARINA MOROCCO - ALWAYS ON 2025"/>
    <s v="AE8860"/>
    <s v="Publicis Media Executive UAE"/>
    <s v="CA200"/>
    <n v="2267.29"/>
    <n v="530.29999999999995"/>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03847"/>
    <x v="73"/>
    <x v="0"/>
    <n v="629.04"/>
    <d v="2026-02-18T00:00:00"/>
    <x v="3"/>
    <n v="629.04"/>
    <x v="17"/>
    <s v="ACCOR"/>
    <s v="ZM"/>
    <s v="Media Interface"/>
    <m/>
    <s v="STARSCAP_MENA"/>
    <s v="AED"/>
    <n v="0"/>
    <n v="0"/>
    <n v="2310.15"/>
    <n v="0"/>
    <n v="0"/>
    <n v="0"/>
    <n v="2310.15"/>
    <n v="0"/>
    <s v="FAIRMONT LA MARINA MOROCCO - ALWAYS ON 2025"/>
    <s v="AE8860"/>
    <s v="Publicis Media Executive UAE"/>
    <s v="CA200"/>
    <n v="2310.15"/>
    <n v="539.9"/>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12890"/>
    <x v="74"/>
    <x v="0"/>
    <n v="227.29"/>
    <d v="2025-03-22T00:00:00"/>
    <x v="5"/>
    <n v="227.29"/>
    <x v="45"/>
    <s v="ACCOR"/>
    <s v="ZM"/>
    <s v="Media Interface"/>
    <m/>
    <s v="STARSCAP_MENA"/>
    <s v="AED"/>
    <n v="0"/>
    <n v="0"/>
    <n v="0"/>
    <n v="0"/>
    <n v="0"/>
    <n v="834.72"/>
    <n v="834.72"/>
    <n v="0"/>
    <s v="FAIRMONT_ALWAYS ON_ LA MARINA RABAT SALE HOTEL"/>
    <s v="AE8860"/>
    <s v="Publicis Media Executive UAE"/>
    <s v="CA200"/>
    <n v="834.72"/>
    <n v="217.56"/>
    <s v="APPROVAL_PROPERTY LEVEL_SEA_002"/>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19172"/>
    <x v="75"/>
    <x v="0"/>
    <n v="1527.54"/>
    <d v="2026-04-03T00:00:00"/>
    <x v="0"/>
    <n v="1527.54"/>
    <x v="0"/>
    <s v="ACCOR"/>
    <s v="ZM"/>
    <s v="Media Interface"/>
    <m/>
    <s v="STARSCAP_MENA"/>
    <s v="AED"/>
    <n v="5609.89"/>
    <n v="0"/>
    <n v="0"/>
    <n v="0"/>
    <n v="0"/>
    <n v="0"/>
    <n v="0"/>
    <n v="0"/>
    <s v="FAIRMONT LA MARINA MOROCCO ALWAYS ON 2026"/>
    <s v="AE8860"/>
    <s v="Publicis Media Executive UAE"/>
    <s v="CA200"/>
    <n v="5609.89"/>
    <n v="1305.81"/>
    <s v="APPROVAL - PROPERTY ALWAYS ON"/>
    <e v="#N/A"/>
    <b v="0"/>
    <x v="8"/>
    <s v="Pending Contract, WIP as per Hadi(Agency) on 12/8. As of 7/11 Client request to amend the invoice to indicate Tax is borned by Bal Al Bahr Hospitality and service rendered in Morocco."/>
  </r>
  <r>
    <s v="M1140101"/>
    <x v="11"/>
    <s v="(M11)(M11)100108821"/>
    <x v="10"/>
    <n v="9700025518"/>
    <x v="76"/>
    <x v="0"/>
    <n v="490.43"/>
    <d v="2025-05-16T00:00:00"/>
    <x v="5"/>
    <n v="490.43"/>
    <x v="46"/>
    <s v="ACCOR"/>
    <s v="ZM"/>
    <s v="Media Interface"/>
    <m/>
    <s v="STARSCAP_MENA"/>
    <s v="AED"/>
    <n v="0"/>
    <n v="0"/>
    <n v="0"/>
    <n v="0"/>
    <n v="0"/>
    <n v="1801.1"/>
    <n v="1801.1"/>
    <n v="0"/>
    <s v="FAIRMONT LA MARINA MOROCCO - ALWAYS ON 2025"/>
    <s v="AE8860"/>
    <s v="Publicis Media Executive UAE"/>
    <s v="CA200"/>
    <n v="1801.1"/>
    <n v="432.25"/>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34357"/>
    <x v="77"/>
    <x v="0"/>
    <n v="421.09"/>
    <d v="2025-06-19T00:00:00"/>
    <x v="5"/>
    <n v="421.09"/>
    <x v="29"/>
    <s v="ACCOR"/>
    <s v="ZM"/>
    <s v="Media Interface"/>
    <m/>
    <s v="STARSCAP_MENA"/>
    <s v="AED"/>
    <n v="0"/>
    <n v="0"/>
    <n v="0"/>
    <n v="0"/>
    <n v="0"/>
    <n v="1546.45"/>
    <n v="1546.45"/>
    <n v="0"/>
    <s v="FAIRMONT LA MARINA MOROCCO - ALWAYS ON 2025"/>
    <s v="AE8860"/>
    <s v="Publicis Media Executive UAE"/>
    <s v="CA200"/>
    <n v="1546.45"/>
    <n v="376.48"/>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34849"/>
    <x v="78"/>
    <x v="0"/>
    <n v="524.20000000000005"/>
    <d v="2025-06-21T00:00:00"/>
    <x v="5"/>
    <n v="524.20000000000005"/>
    <x v="47"/>
    <s v="ACCOR"/>
    <s v="ZM"/>
    <s v="Media Interface"/>
    <m/>
    <s v="STARSCAP_MENA"/>
    <s v="AED"/>
    <n v="0"/>
    <n v="0"/>
    <n v="0"/>
    <n v="0"/>
    <n v="0"/>
    <n v="1925.12"/>
    <n v="1925.12"/>
    <n v="0"/>
    <s v="FAIRMONT LA MARINA MOROCCO - ALWAYS ON 2025"/>
    <s v="AE8860"/>
    <s v="Publicis Media Executive UAE"/>
    <s v="CA200"/>
    <n v="1925.12"/>
    <n v="468.29"/>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47502"/>
    <x v="79"/>
    <x v="0"/>
    <n v="518.71"/>
    <d v="2025-08-20T00:00:00"/>
    <x v="5"/>
    <n v="518.71"/>
    <x v="32"/>
    <s v="ACCOR"/>
    <s v="ZM"/>
    <s v="Media Interface"/>
    <m/>
    <s v="STARSCAP_MENA"/>
    <s v="AED"/>
    <n v="0"/>
    <n v="0"/>
    <n v="0"/>
    <n v="0"/>
    <n v="0"/>
    <n v="1904.96"/>
    <n v="1904.96"/>
    <n v="0"/>
    <s v="FAIRMONT LA MARINA MOROCCO - ALWAYS ON 2025"/>
    <s v="AE8860"/>
    <s v="Publicis Media Executive UAE"/>
    <s v="CA200"/>
    <n v="1904.96"/>
    <n v="447.09"/>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49926"/>
    <x v="80"/>
    <x v="0"/>
    <n v="510.31"/>
    <d v="2025-08-24T00:00:00"/>
    <x v="5"/>
    <n v="510.31"/>
    <x v="48"/>
    <s v="ACCOR"/>
    <s v="ZM"/>
    <s v="Media Interface"/>
    <m/>
    <s v="STARSCAP_MENA"/>
    <s v="AED"/>
    <n v="0"/>
    <n v="0"/>
    <n v="0"/>
    <n v="0"/>
    <n v="0"/>
    <n v="1874.11"/>
    <n v="1874.11"/>
    <n v="0"/>
    <s v="FAIRMONT LA MARINA MOROCCO - ALWAYS ON 2025"/>
    <s v="AE8860"/>
    <s v="Publicis Media Executive UAE"/>
    <s v="CA200"/>
    <n v="1874.11"/>
    <n v="435.2"/>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61941"/>
    <x v="81"/>
    <x v="0"/>
    <n v="589.52"/>
    <d v="2025-10-12T00:00:00"/>
    <x v="5"/>
    <n v="589.52"/>
    <x v="40"/>
    <s v="ACCOR"/>
    <s v="ZM"/>
    <s v="Media Interface"/>
    <m/>
    <s v="STARSCAP_MENA"/>
    <s v="AED"/>
    <n v="0"/>
    <n v="0"/>
    <n v="0"/>
    <n v="0"/>
    <n v="0"/>
    <n v="2165.0100000000002"/>
    <n v="2165.0100000000002"/>
    <n v="0"/>
    <s v="FAIRMONT LA MARINA MOROCCO - ALWAYS ON 2025"/>
    <s v="AE8860"/>
    <s v="Publicis Media Executive UAE"/>
    <s v="CA200"/>
    <n v="2165.0100000000002"/>
    <n v="501.98"/>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69859"/>
    <x v="82"/>
    <x v="0"/>
    <n v="1222.76"/>
    <d v="2025-11-12T00:00:00"/>
    <x v="5"/>
    <n v="1222.76"/>
    <x v="42"/>
    <s v="ACCOR"/>
    <s v="ZM"/>
    <s v="Media Interface"/>
    <m/>
    <s v="STARSCAP_MENA"/>
    <s v="AED"/>
    <n v="0"/>
    <n v="0"/>
    <n v="0"/>
    <n v="0"/>
    <n v="0"/>
    <n v="4490.59"/>
    <n v="4490.59"/>
    <n v="0"/>
    <s v="FAIRMONT LA MARINA MOROCCO - ALWAYS ON 2025"/>
    <s v="AE8860"/>
    <s v="Publicis Media Executive UAE"/>
    <s v="CA200"/>
    <n v="4490.59"/>
    <n v="1051.6600000000001"/>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s v="M1140101"/>
    <x v="11"/>
    <s v="(M11)(M11)100108821"/>
    <x v="10"/>
    <n v="9700081967"/>
    <x v="83"/>
    <x v="0"/>
    <n v="610.63"/>
    <d v="2025-12-21T00:00:00"/>
    <x v="5"/>
    <n v="610.63"/>
    <x v="49"/>
    <s v="ACCOR"/>
    <s v="ZM"/>
    <s v="Media Interface"/>
    <m/>
    <s v="STARSCAP_MENA"/>
    <s v="AED"/>
    <n v="0"/>
    <n v="0"/>
    <n v="0"/>
    <n v="0"/>
    <n v="2242.54"/>
    <n v="0"/>
    <n v="2242.54"/>
    <n v="0"/>
    <s v="FAIRMONT LA MARINA MOROCCO - ALWAYS ON 2025"/>
    <s v="AE8860"/>
    <s v="Publicis Media Executive UAE"/>
    <s v="CA200"/>
    <n v="2242.54"/>
    <n v="527.17999999999995"/>
    <s v="APPROVAL - PROPERTY ALWAYS ON"/>
    <s v="Pending Contract, WIP as per Hadi(Agency) on 12/8. As of 7/11 Client request to amend the invoice to indicate Tax is borned by Bal Al Bahr Hospitality and service rendered in Morocco."/>
    <b v="0"/>
    <x v="8"/>
    <s v="Pending Contract, WIP as per Hadi(Agency) on 12/8. As of 7/11 Client request to amend the invoice to indicate Tax is borned by Bal Al Bahr Hospitality and service rendered in Morocco."/>
  </r>
  <r>
    <m/>
    <x v="1"/>
    <m/>
    <x v="10"/>
    <m/>
    <x v="2"/>
    <x v="1"/>
    <n v="7888.89"/>
    <m/>
    <x v="2"/>
    <n v="7888.89"/>
    <x v="2"/>
    <m/>
    <m/>
    <m/>
    <m/>
    <m/>
    <s v="AED"/>
    <n v="5609.89"/>
    <n v="0"/>
    <n v="4577.4399999999996"/>
    <n v="0"/>
    <n v="2242.54"/>
    <m/>
    <m/>
    <n v="0"/>
    <m/>
    <m/>
    <m/>
    <m/>
    <n v="28971.93"/>
    <n v="6833.7"/>
    <m/>
    <n v="0"/>
    <n v="0"/>
    <x v="2"/>
    <m/>
  </r>
  <r>
    <s v="M1140101"/>
    <x v="12"/>
    <s v="(M11)(M11)100112183"/>
    <x v="11"/>
    <n v="9700025712"/>
    <x v="84"/>
    <x v="0"/>
    <n v="10797.54"/>
    <d v="2026-04-29T00:00:00"/>
    <x v="1"/>
    <n v="10797.54"/>
    <x v="1"/>
    <s v="ACCOR"/>
    <s v="ZM"/>
    <s v="Media Interface"/>
    <m/>
    <s v="STARSCAP_MENA"/>
    <s v="AED"/>
    <n v="39653.97"/>
    <n v="0"/>
    <n v="0"/>
    <n v="0"/>
    <n v="0"/>
    <n v="0"/>
    <n v="0"/>
    <n v="0"/>
    <s v="FAIRMONT EMPRESS ALWAYS ON 2026"/>
    <s v="AE8860"/>
    <s v="Publicis Media Executive UAE"/>
    <s v="CA200"/>
    <n v="39653.97"/>
    <n v="9330.75"/>
    <s v="APPROVAL - PROPERTY ALWAYS ON"/>
    <e v="#N/A"/>
    <b v="1"/>
    <x v="0"/>
    <s v="Collected"/>
  </r>
  <r>
    <m/>
    <x v="1"/>
    <m/>
    <x v="11"/>
    <m/>
    <x v="2"/>
    <x v="1"/>
    <n v="10797.54"/>
    <m/>
    <x v="2"/>
    <n v="10797.54"/>
    <x v="2"/>
    <m/>
    <m/>
    <m/>
    <m/>
    <m/>
    <s v="AED"/>
    <n v="39653.97"/>
    <n v="0"/>
    <n v="0"/>
    <n v="0"/>
    <n v="0"/>
    <m/>
    <m/>
    <n v="0"/>
    <m/>
    <m/>
    <m/>
    <m/>
    <n v="39653.97"/>
    <n v="9330.75"/>
    <m/>
    <n v="9330.75"/>
    <n v="1"/>
    <x v="2"/>
    <m/>
  </r>
  <r>
    <s v="M1140101"/>
    <x v="13"/>
    <s v="(M11)(M11)100114302"/>
    <x v="12"/>
    <n v="9700022630"/>
    <x v="85"/>
    <x v="0"/>
    <n v="1353.49"/>
    <d v="2026-04-16T00:00:00"/>
    <x v="0"/>
    <n v="1353.49"/>
    <x v="50"/>
    <s v="ACCOR"/>
    <s v="ZM"/>
    <s v="Media Interface"/>
    <m/>
    <s v="STARSCAP_MENA"/>
    <s v="AED"/>
    <n v="4970.6899999999996"/>
    <n v="0"/>
    <n v="0"/>
    <n v="0"/>
    <n v="0"/>
    <n v="0"/>
    <n v="0"/>
    <n v="0"/>
    <s v="Fairmont Royal Palm Marrakech - Always Onn 2026"/>
    <s v="AE8860"/>
    <s v="Publicis Media Executive UAE"/>
    <s v="CA200"/>
    <n v="4970.6899999999996"/>
    <n v="1179.4100000000001"/>
    <s v="APPROVAL - PROPERTY ALWAYS ON"/>
    <e v="#N/A"/>
    <b v="1"/>
    <x v="0"/>
    <s v="Collected"/>
  </r>
  <r>
    <m/>
    <x v="1"/>
    <m/>
    <x v="12"/>
    <m/>
    <x v="2"/>
    <x v="1"/>
    <n v="1353.49"/>
    <m/>
    <x v="2"/>
    <n v="1353.49"/>
    <x v="2"/>
    <m/>
    <m/>
    <m/>
    <m/>
    <m/>
    <s v="AED"/>
    <n v="4970.6899999999996"/>
    <n v="0"/>
    <n v="0"/>
    <n v="0"/>
    <n v="0"/>
    <m/>
    <m/>
    <n v="0"/>
    <m/>
    <m/>
    <m/>
    <m/>
    <n v="4970.6899999999996"/>
    <n v="1179.4100000000001"/>
    <m/>
    <n v="1179.4100000000001"/>
    <n v="1"/>
    <x v="2"/>
    <m/>
  </r>
  <r>
    <s v="M1140101"/>
    <x v="14"/>
    <s v="(M11)(M11)100114967"/>
    <x v="13"/>
    <n v="9700004042"/>
    <x v="86"/>
    <x v="0"/>
    <n v="1037.3900000000001"/>
    <d v="2026-02-18T00:00:00"/>
    <x v="3"/>
    <n v="1037.3900000000001"/>
    <x v="17"/>
    <s v="ACCOR"/>
    <s v="ZM"/>
    <s v="Media Interface"/>
    <m/>
    <s v="STARSCAP_MENA"/>
    <s v="AED"/>
    <n v="0"/>
    <n v="0"/>
    <n v="3809.81"/>
    <n v="0"/>
    <n v="0"/>
    <n v="0"/>
    <n v="3809.81"/>
    <n v="0"/>
    <s v="FAIRMONT CARTON HOUSE - ALWAYS ON 2025"/>
    <s v="AE8860"/>
    <s v="Publicis Media Executive UAE"/>
    <s v="CA200"/>
    <n v="3809.81"/>
    <n v="892.46"/>
    <s v="APPROVAL - PROPERTY ALWAYS ON"/>
    <s v="Client refuses payment, citing Oct account closure. Sent to Faraz (Agency); pending response._x000a_"/>
    <b v="0"/>
    <x v="9"/>
    <s v="Client refuses payment, citing Oct account closure. Sent to Faraz (Agency); pending response._x000a_"/>
  </r>
  <r>
    <s v="M1140101"/>
    <x v="14"/>
    <s v="(M11)(M11)100114967"/>
    <x v="13"/>
    <n v="9700015792"/>
    <x v="87"/>
    <x v="0"/>
    <n v="997.57"/>
    <d v="2026-03-22T00:00:00"/>
    <x v="4"/>
    <n v="997.57"/>
    <x v="37"/>
    <s v="ACCOR"/>
    <s v="ZM"/>
    <s v="Media Interface"/>
    <m/>
    <s v="STARSCAP_MENA"/>
    <s v="AED"/>
    <n v="0"/>
    <n v="3663.58"/>
    <n v="0"/>
    <n v="0"/>
    <n v="0"/>
    <n v="0"/>
    <n v="3663.58"/>
    <n v="0"/>
    <s v="FAIRMONT CARTON HOUSE - ALWAYS ON 2025"/>
    <s v="AE8860"/>
    <s v="Publicis Media Executive UAE"/>
    <s v="CA200"/>
    <n v="3663.58"/>
    <n v="843.54"/>
    <s v="APPROVAL - PROPERTY ALWAYS ON"/>
    <s v="Client refuses payment, citing Oct account closure. Sent to Faraz (Agency); pending response._x000a_"/>
    <b v="0"/>
    <x v="9"/>
    <s v="Client refuses payment, citing Oct account closure. Sent to Faraz (Agency); pending response._x000a_"/>
  </r>
  <r>
    <s v="M1140101"/>
    <x v="14"/>
    <s v="(M11)(M11)100114967"/>
    <x v="13"/>
    <n v="9700019171"/>
    <x v="88"/>
    <x v="0"/>
    <n v="1035.8900000000001"/>
    <d v="2026-04-04T00:00:00"/>
    <x v="0"/>
    <n v="1035.8900000000001"/>
    <x v="14"/>
    <s v="ACCOR"/>
    <s v="ZM"/>
    <s v="Media Interface"/>
    <m/>
    <s v="STARSCAP_MENA"/>
    <s v="AED"/>
    <n v="3804.31"/>
    <n v="0"/>
    <n v="0"/>
    <n v="0"/>
    <n v="0"/>
    <n v="0"/>
    <n v="0"/>
    <n v="0"/>
    <s v="FAIRMONT CARTON HOUSE ALWAYS ON 2026"/>
    <s v="AE8860"/>
    <s v="Publicis Media Executive UAE"/>
    <s v="CA200"/>
    <n v="3804.31"/>
    <n v="885.53"/>
    <s v="APPROVAL - PROPERTY LEVEL - ALWAYS ON"/>
    <e v="#N/A"/>
    <b v="0"/>
    <x v="9"/>
    <s v="Client refuses payment, citing Oct account closure. Sent to Faraz (Agency); pending response._x000a_"/>
  </r>
  <r>
    <s v="M1140101"/>
    <x v="14"/>
    <s v="(M11)(M11)100114967"/>
    <x v="13"/>
    <n v="9700081341"/>
    <x v="89"/>
    <x v="0"/>
    <n v="1041.82"/>
    <d v="2025-12-20T00:00:00"/>
    <x v="5"/>
    <n v="1041.82"/>
    <x v="25"/>
    <s v="ACCOR"/>
    <s v="ZM"/>
    <s v="Media Interface"/>
    <m/>
    <s v="STARSCAP_MENA"/>
    <s v="AED"/>
    <n v="0"/>
    <n v="0"/>
    <n v="0"/>
    <n v="0"/>
    <n v="3826.08"/>
    <n v="0"/>
    <n v="3826.08"/>
    <n v="0"/>
    <s v="FAIRMONT CARTON HOUSE - ALWAYS ON 2025"/>
    <s v="AE8860"/>
    <s v="Publicis Media Executive UAE"/>
    <s v="CA200"/>
    <n v="3826.08"/>
    <n v="898.66"/>
    <s v="APPROVAL - PROPERTY ALWAYS ON"/>
    <s v="Client refuses payment, citing Oct account closure. Sent to Faraz (Agency); pending response._x000a_"/>
    <b v="0"/>
    <x v="9"/>
    <s v="Client refuses payment, citing Oct account closure. Sent to Faraz (Agency); pending response._x000a_"/>
  </r>
  <r>
    <m/>
    <x v="1"/>
    <m/>
    <x v="13"/>
    <m/>
    <x v="2"/>
    <x v="1"/>
    <n v="4112.67"/>
    <m/>
    <x v="2"/>
    <n v="4112.67"/>
    <x v="2"/>
    <m/>
    <m/>
    <m/>
    <m/>
    <m/>
    <s v="AED"/>
    <n v="3804.31"/>
    <n v="3663.58"/>
    <n v="3809.81"/>
    <n v="0"/>
    <n v="3826.08"/>
    <m/>
    <m/>
    <n v="0"/>
    <m/>
    <m/>
    <m/>
    <m/>
    <n v="15103.78"/>
    <n v="3520.19"/>
    <m/>
    <n v="0"/>
    <n v="0"/>
    <x v="2"/>
    <m/>
  </r>
  <r>
    <s v="M1140101"/>
    <x v="15"/>
    <s v="(M11)(M11)100113198"/>
    <x v="14"/>
    <n v="9700015232"/>
    <x v="90"/>
    <x v="0"/>
    <n v="37193.35"/>
    <d v="2026-03-19T00:00:00"/>
    <x v="4"/>
    <n v="37193.35"/>
    <x v="51"/>
    <s v="ACCOR"/>
    <s v="ZM"/>
    <s v="Media Interface"/>
    <m/>
    <s v="STARSCAP_MENA"/>
    <s v="AED"/>
    <n v="0"/>
    <n v="136592.57999999999"/>
    <n v="0"/>
    <n v="0"/>
    <n v="0"/>
    <n v="0"/>
    <n v="136592.57999999999"/>
    <n v="0"/>
    <s v="Fairmont Breakers Long Beach AO 2025"/>
    <s v="AE8860"/>
    <s v="Publicis Media Executive UAE"/>
    <s v="CA200"/>
    <n v="136592.57999999999"/>
    <n v="31373.56"/>
    <s v="APPROVAL - PROPERTY - FAIRMONT LONG BEACH"/>
    <s v="Client is requesting for Sept 2025 billing and will not process payment if this will not be provided."/>
    <b v="1"/>
    <x v="0"/>
    <s v="Collected"/>
  </r>
  <r>
    <s v="M1140101"/>
    <x v="15"/>
    <s v="(M11)(M11)100113198"/>
    <x v="14"/>
    <n v="9700016738"/>
    <x v="91"/>
    <x v="0"/>
    <n v="81648.73"/>
    <d v="2026-03-22T00:00:00"/>
    <x v="4"/>
    <n v="81648.73"/>
    <x v="37"/>
    <s v="ACCOR"/>
    <s v="ZM"/>
    <s v="Media Interface"/>
    <m/>
    <s v="STARSCAP_MENA"/>
    <s v="AED"/>
    <n v="0"/>
    <n v="299854.96000000002"/>
    <n v="0"/>
    <n v="0"/>
    <n v="0"/>
    <n v="0"/>
    <n v="299854.96000000002"/>
    <n v="0"/>
    <s v="FAIRMONT LONG BEACH TACTICAL 2025"/>
    <s v="AE8860"/>
    <s v="Publicis Media Executive UAE"/>
    <s v="CA200"/>
    <n v="299854.96000000002"/>
    <n v="69470.539999999994"/>
    <s v="APPROVAL - PROPERTY - FAIRMONT LONG BEACH"/>
    <s v="Client is requesting for Sept 2025 billing and will not process payment if this will not be provided."/>
    <b v="0"/>
    <x v="10"/>
    <s v="Client is requesting the September 2025 billing and has advised that payment will not be processed unless this is provided."/>
  </r>
  <r>
    <s v="M1140101"/>
    <x v="15"/>
    <s v="(M11)(M11)100113198"/>
    <x v="14"/>
    <n v="9700021622"/>
    <x v="92"/>
    <x v="0"/>
    <n v="33278.230000000003"/>
    <d v="2026-04-11T00:00:00"/>
    <x v="0"/>
    <n v="33278.230000000003"/>
    <x v="52"/>
    <s v="ACCOR"/>
    <s v="ZM"/>
    <s v="Media Interface"/>
    <m/>
    <s v="STARSCAP_MENA"/>
    <s v="AED"/>
    <n v="122214.3"/>
    <n v="0"/>
    <n v="0"/>
    <n v="0"/>
    <n v="0"/>
    <n v="0"/>
    <n v="0"/>
    <n v="0"/>
    <s v="Fairmont Breakers Long Beach AO 2025"/>
    <s v="AE8860"/>
    <s v="Publicis Media Executive UAE"/>
    <s v="CA200"/>
    <n v="122214.3"/>
    <n v="28735.200000000001"/>
    <s v="APPROVAL - PROPERTY - FAIRMONT LONG BEACH"/>
    <e v="#N/A"/>
    <b v="0"/>
    <x v="10"/>
    <s v="Client is requesting the September 2025 billing and has advised that payment will not be processed unless this is provided."/>
  </r>
  <r>
    <s v="M1140101"/>
    <x v="15"/>
    <s v="(M11)(M11)100113198"/>
    <x v="14"/>
    <n v="9700021623"/>
    <x v="93"/>
    <x v="0"/>
    <n v="7252.95"/>
    <d v="2026-04-11T00:00:00"/>
    <x v="0"/>
    <n v="7252.95"/>
    <x v="52"/>
    <s v="ACCOR"/>
    <s v="ZM"/>
    <s v="Media Interface"/>
    <m/>
    <s v="STARSCAP_MENA"/>
    <s v="AED"/>
    <n v="26636.46"/>
    <n v="0"/>
    <n v="0"/>
    <n v="0"/>
    <n v="0"/>
    <n v="0"/>
    <n v="0"/>
    <n v="0"/>
    <s v="Fairmont Breakers Long Beach AO 2025"/>
    <s v="AE8860"/>
    <s v="Publicis Media Executive UAE"/>
    <s v="CA200"/>
    <n v="26636.46"/>
    <n v="6262.8"/>
    <s v="APPROVAL - PROPERTY - FAIRMONT LONG BEACH"/>
    <e v="#N/A"/>
    <b v="0"/>
    <x v="10"/>
    <s v="Client is requesting the September 2025 billing and has advised that payment will not be processed unless this is provided."/>
  </r>
  <r>
    <s v="M1140101"/>
    <x v="15"/>
    <s v="(M11)(M11)100113198"/>
    <x v="14"/>
    <n v="9700023065"/>
    <x v="94"/>
    <x v="0"/>
    <n v="7570.79"/>
    <d v="2026-04-17T00:00:00"/>
    <x v="0"/>
    <n v="7570.79"/>
    <x v="53"/>
    <s v="ACCOR"/>
    <s v="ZM"/>
    <s v="Media Interface"/>
    <m/>
    <s v="STARSCAP_MENA"/>
    <s v="AED"/>
    <n v="27803.73"/>
    <n v="0"/>
    <n v="0"/>
    <n v="0"/>
    <n v="0"/>
    <n v="0"/>
    <n v="0"/>
    <n v="0"/>
    <s v="Fairmont Breakers Long Beach AO 2026"/>
    <s v="AE8860"/>
    <s v="Publicis Media Executive UAE"/>
    <s v="CA200"/>
    <n v="27803.73"/>
    <n v="6595.91"/>
    <s v="APPROVAL - PROPERTY - FAIRMONT LONG BEACH"/>
    <e v="#N/A"/>
    <b v="0"/>
    <x v="10"/>
    <s v="Client is requesting the September 2025 billing and has advised that payment will not be processed unless this is provided."/>
  </r>
  <r>
    <s v="M1140101"/>
    <x v="15"/>
    <s v="(M11)(M11)100113198"/>
    <x v="14"/>
    <n v="9700024358"/>
    <x v="95"/>
    <x v="0"/>
    <n v="8392.2999999999993"/>
    <d v="2026-04-22T00:00:00"/>
    <x v="0"/>
    <n v="8392.2999999999993"/>
    <x v="5"/>
    <s v="ACCOR"/>
    <s v="ZM"/>
    <s v="Media Interface"/>
    <m/>
    <s v="STARSCAP_MENA"/>
    <s v="AED"/>
    <n v="30820.720000000001"/>
    <n v="0"/>
    <n v="0"/>
    <n v="0"/>
    <n v="0"/>
    <n v="0"/>
    <n v="0"/>
    <n v="0"/>
    <s v="FAIRMONT LONG BEACH TACTICAL 2025"/>
    <s v="AE8860"/>
    <s v="Publicis Media Executive UAE"/>
    <s v="CA200"/>
    <n v="30820.720000000001"/>
    <n v="7262.92"/>
    <s v="APPROVAL - PROPERTY - FAIRMONT LONG BEACH"/>
    <e v="#N/A"/>
    <b v="0"/>
    <x v="10"/>
    <s v="Client is requesting the September 2025 billing and has advised that payment will not be processed unless this is provided."/>
  </r>
  <r>
    <m/>
    <x v="1"/>
    <m/>
    <x v="14"/>
    <m/>
    <x v="2"/>
    <x v="1"/>
    <n v="175336.35"/>
    <m/>
    <x v="2"/>
    <n v="175336.35"/>
    <x v="2"/>
    <m/>
    <m/>
    <m/>
    <m/>
    <m/>
    <s v="AED"/>
    <n v="207475.21"/>
    <n v="436447.54"/>
    <n v="0"/>
    <n v="0"/>
    <n v="0"/>
    <m/>
    <m/>
    <n v="0"/>
    <m/>
    <m/>
    <m/>
    <m/>
    <n v="643922.75"/>
    <n v="149700.93"/>
    <m/>
    <n v="31373.56"/>
    <n v="0.21212572293195334"/>
    <x v="2"/>
    <m/>
  </r>
  <r>
    <s v="M1140101"/>
    <x v="16"/>
    <s v="(M11)(M11)100113889"/>
    <x v="15"/>
    <n v="2900000796"/>
    <x v="96"/>
    <x v="0"/>
    <n v="-2152.4899999999998"/>
    <d v="2026-03-11T00:00:00"/>
    <x v="4"/>
    <n v="-2152.4899999999998"/>
    <x v="54"/>
    <s v="ACCOR"/>
    <s v="CP"/>
    <s v="FI-AR payment"/>
    <m/>
    <m/>
    <s v="AED"/>
    <n v="-7905.02"/>
    <n v="0"/>
    <n v="0"/>
    <n v="0"/>
    <n v="0"/>
    <n v="0"/>
    <n v="0"/>
    <n v="0"/>
    <s v="Posted as on account against pay amt 2,152.49"/>
    <s v="AE8860"/>
    <s v="Publicis Media Executive UAE"/>
    <s v="CA200"/>
    <n v="-7905.02"/>
    <n v="-1858.64"/>
    <e v="#N/A"/>
    <e v="#N/A"/>
    <b v="0"/>
    <x v="7"/>
    <s v="Errorneous payment - Overpayment"/>
  </r>
  <r>
    <s v="M1140101"/>
    <x v="16"/>
    <s v="(M11)(M11)100113889"/>
    <x v="15"/>
    <n v="9000066063"/>
    <x v="97"/>
    <x v="0"/>
    <n v="-35840.31"/>
    <d v="2025-12-19T00:00:00"/>
    <x v="5"/>
    <n v="-35840.31"/>
    <x v="55"/>
    <s v="ACCOR"/>
    <s v="GC"/>
    <s v="Clearing Documents"/>
    <m/>
    <m/>
    <s v="AED"/>
    <n v="0"/>
    <n v="0"/>
    <n v="0"/>
    <n v="0"/>
    <n v="-131623.54"/>
    <n v="0"/>
    <n v="-131623.54"/>
    <n v="0"/>
    <s v="Rem amt posted as on acc against pay amt 66,631.51"/>
    <s v="AE8860"/>
    <s v="Publicis Media Executive UAE"/>
    <s v="CA200"/>
    <n v="-131623.54"/>
    <n v="-30583.08"/>
    <e v="#N/A"/>
    <s v="Duplicate Payment agains inv M11IN25-00023709 and M11IN25-00032374, shared w/ Clt awaiting utilization."/>
    <b v="0"/>
    <x v="7"/>
    <s v="Duplicate Payment agains inv M11IN25-00023709 and M11IN25-00032374, shared w/ Clt awaiting utilization."/>
  </r>
  <r>
    <s v="M1140101"/>
    <x v="16"/>
    <s v="(M11)(M11)100113889"/>
    <x v="15"/>
    <n v="9700017531"/>
    <x v="98"/>
    <x v="0"/>
    <n v="34915.910000000003"/>
    <d v="2026-03-28T00:00:00"/>
    <x v="0"/>
    <n v="34915.910000000003"/>
    <x v="38"/>
    <s v="ACCOR"/>
    <s v="ZM"/>
    <s v="Media Interface"/>
    <m/>
    <s v="STARSCAP_MENA"/>
    <s v="AED"/>
    <n v="0"/>
    <n v="128228.68"/>
    <n v="0"/>
    <n v="0"/>
    <n v="0"/>
    <n v="0"/>
    <n v="128228.68"/>
    <n v="0"/>
    <s v="FAIRMONT CHATEAU LAKE LOUISE ALWAYS ON 2026"/>
    <s v="AE8860"/>
    <s v="Publicis Media Executive UAE"/>
    <s v="CA200"/>
    <n v="128228.68"/>
    <n v="29672.74"/>
    <s v="APPROVAL - PROPERTY ALWAYS ON"/>
    <s v="Chasing Client for Payment Timeline"/>
    <b v="0"/>
    <x v="4"/>
    <s v="Chasing Client for Payment Timeline"/>
  </r>
  <r>
    <s v="M1140101"/>
    <x v="16"/>
    <s v="(M11)(M11)100113889"/>
    <x v="15"/>
    <n v="9700022733"/>
    <x v="99"/>
    <x v="0"/>
    <n v="8319.2999999999993"/>
    <d v="2026-04-18T00:00:00"/>
    <x v="0"/>
    <n v="8319.2999999999993"/>
    <x v="18"/>
    <s v="ACCOR"/>
    <s v="ZM"/>
    <s v="Media Interface"/>
    <m/>
    <s v="STARSCAP_MENA"/>
    <s v="AED"/>
    <n v="30552.63"/>
    <n v="0"/>
    <n v="0"/>
    <n v="0"/>
    <n v="0"/>
    <n v="0"/>
    <n v="0"/>
    <n v="0"/>
    <s v="FAIRMONT JASPER PARK LODGE - ALWAYS ON 2026"/>
    <s v="AE8860"/>
    <s v="Publicis Media Executive UAE"/>
    <s v="CA200"/>
    <n v="30552.63"/>
    <n v="7249.3"/>
    <s v="APPROVAL - PROPERTY ALWAYS ON"/>
    <e v="#N/A"/>
    <b v="1"/>
    <x v="0"/>
    <s v="Collected"/>
  </r>
  <r>
    <s v="M1140101"/>
    <x v="16"/>
    <s v="(M11)(M11)100113889"/>
    <x v="15"/>
    <n v="9700025375"/>
    <x v="100"/>
    <x v="0"/>
    <n v="6899.16"/>
    <d v="2026-04-24T00:00:00"/>
    <x v="0"/>
    <n v="6899.16"/>
    <x v="56"/>
    <s v="ACCOR"/>
    <s v="ZM"/>
    <s v="Media Interface"/>
    <m/>
    <s v="STARSCAP_MENA"/>
    <s v="AED"/>
    <n v="25337.17"/>
    <n v="0"/>
    <n v="0"/>
    <n v="0"/>
    <n v="0"/>
    <n v="0"/>
    <n v="0"/>
    <n v="0"/>
    <s v="FAIRMONT BANFF SPRINGS TACTICAL 2025"/>
    <s v="AE8860"/>
    <s v="Publicis Media Executive UAE"/>
    <s v="CA200"/>
    <n v="25337.17"/>
    <n v="5961.94"/>
    <s v="EMAIL APPROVAL - PROPERTY LEVEL"/>
    <e v="#N/A"/>
    <b v="1"/>
    <x v="0"/>
    <s v="Collected"/>
  </r>
  <r>
    <m/>
    <x v="1"/>
    <m/>
    <x v="15"/>
    <m/>
    <x v="2"/>
    <x v="1"/>
    <n v="12141.570000000007"/>
    <m/>
    <x v="2"/>
    <n v="12141.570000000007"/>
    <x v="2"/>
    <m/>
    <m/>
    <m/>
    <m/>
    <m/>
    <s v="AED"/>
    <n v="47984.78"/>
    <n v="128228.68"/>
    <n v="0"/>
    <n v="0"/>
    <n v="-131623.54"/>
    <m/>
    <m/>
    <n v="0"/>
    <m/>
    <m/>
    <m/>
    <m/>
    <n v="44589.919999999998"/>
    <n v="10442.26"/>
    <m/>
    <n v="13211.24"/>
    <n v="1.253417803463637"/>
    <x v="2"/>
    <m/>
  </r>
  <r>
    <s v="M1140101"/>
    <x v="17"/>
    <s v="(M11)(M11)100111711"/>
    <x v="16"/>
    <n v="9700017528"/>
    <x v="101"/>
    <x v="0"/>
    <n v="551.9"/>
    <d v="2026-03-28T00:00:00"/>
    <x v="0"/>
    <n v="551.9"/>
    <x v="38"/>
    <s v="ACCOR"/>
    <s v="ZM"/>
    <s v="Media Interface"/>
    <m/>
    <s v="STARSCAP_MENA"/>
    <s v="AED"/>
    <n v="0"/>
    <n v="2026.85"/>
    <n v="0"/>
    <n v="0"/>
    <n v="0"/>
    <n v="0"/>
    <n v="2026.85"/>
    <n v="0"/>
    <s v="FAIRMONT CAPE GRACE ALWAYS ON 2026"/>
    <s v="AE8860"/>
    <s v="Publicis Media Executive UAE"/>
    <s v="CA200"/>
    <n v="2026.85"/>
    <n v="469.02"/>
    <s v="APPROVAL - PROPERTY ALWAYS ON"/>
    <s v="P2P. Client mentioned to be paid EOM."/>
    <b v="1"/>
    <x v="0"/>
    <s v="Collected"/>
  </r>
  <r>
    <m/>
    <x v="1"/>
    <m/>
    <x v="16"/>
    <m/>
    <x v="2"/>
    <x v="1"/>
    <n v="551.9"/>
    <m/>
    <x v="2"/>
    <n v="551.9"/>
    <x v="2"/>
    <m/>
    <m/>
    <m/>
    <m/>
    <m/>
    <s v="AED"/>
    <n v="0"/>
    <n v="2026.85"/>
    <n v="0"/>
    <n v="0"/>
    <n v="0"/>
    <m/>
    <m/>
    <n v="0"/>
    <m/>
    <m/>
    <m/>
    <m/>
    <n v="2026.85"/>
    <n v="469.02"/>
    <m/>
    <n v="469.02"/>
    <n v="1"/>
    <x v="2"/>
    <m/>
  </r>
  <r>
    <s v="M1140101"/>
    <x v="18"/>
    <s v="(M11)(M11)100114939"/>
    <x v="17"/>
    <n v="9700022646"/>
    <x v="102"/>
    <x v="0"/>
    <n v="5676.07"/>
    <d v="2026-04-16T00:00:00"/>
    <x v="0"/>
    <n v="5676.07"/>
    <x v="50"/>
    <s v="ACCOR"/>
    <s v="ZM"/>
    <s v="Media Interface"/>
    <m/>
    <s v="STARSCAP_MENA"/>
    <s v="AED"/>
    <n v="20845.37"/>
    <n v="0"/>
    <n v="0"/>
    <n v="0"/>
    <n v="0"/>
    <n v="0"/>
    <n v="0"/>
    <n v="0"/>
    <s v="Fairmont Chateau Laurier - ALWAYS ON 2026"/>
    <s v="AE8860"/>
    <s v="Publicis Media Executive UAE"/>
    <s v="CA200"/>
    <n v="20845.37"/>
    <n v="4946.04"/>
    <s v="APPROVAL - PROPERTY ALWAYS ON"/>
    <e v="#N/A"/>
    <b v="1"/>
    <x v="0"/>
    <s v="Collected"/>
  </r>
  <r>
    <m/>
    <x v="1"/>
    <m/>
    <x v="17"/>
    <m/>
    <x v="2"/>
    <x v="1"/>
    <n v="5676.07"/>
    <m/>
    <x v="2"/>
    <n v="5676.07"/>
    <x v="2"/>
    <m/>
    <m/>
    <m/>
    <m/>
    <m/>
    <s v="AED"/>
    <n v="20845.37"/>
    <n v="0"/>
    <n v="0"/>
    <n v="0"/>
    <n v="0"/>
    <m/>
    <m/>
    <n v="0"/>
    <m/>
    <m/>
    <m/>
    <m/>
    <n v="20845.37"/>
    <n v="4946.04"/>
    <m/>
    <n v="4946.04"/>
    <n v="1"/>
    <x v="2"/>
    <m/>
  </r>
  <r>
    <s v="M1140101"/>
    <x v="19"/>
    <s v="(M11)(M11)100111597"/>
    <x v="18"/>
    <n v="9700023040"/>
    <x v="103"/>
    <x v="0"/>
    <n v="12567.09"/>
    <d v="2026-04-17T00:00:00"/>
    <x v="0"/>
    <n v="12567.09"/>
    <x v="53"/>
    <s v="ACCOR"/>
    <s v="ZM"/>
    <s v="Media Interface"/>
    <m/>
    <s v="STARSCAP_MENA"/>
    <s v="AED"/>
    <n v="46152.639999999999"/>
    <n v="0"/>
    <n v="0"/>
    <n v="0"/>
    <n v="0"/>
    <n v="0"/>
    <n v="0"/>
    <n v="0"/>
    <s v="Fairmont Kea Lani Tactical 2025"/>
    <s v="AE8860"/>
    <s v="Publicis Media Executive UAE"/>
    <s v="CA200"/>
    <n v="46152.639999999999"/>
    <n v="10948.85"/>
    <s v="APPROVAL - PROPERTY - FAIRMONT KEA LANI"/>
    <e v="#N/A"/>
    <b v="1"/>
    <x v="0"/>
    <s v="Collected"/>
  </r>
  <r>
    <s v="M1140101"/>
    <x v="19"/>
    <s v="(M11)(M11)100111597"/>
    <x v="18"/>
    <n v="9700023800"/>
    <x v="104"/>
    <x v="0"/>
    <n v="3083.12"/>
    <d v="2026-04-22T00:00:00"/>
    <x v="0"/>
    <n v="3083.12"/>
    <x v="5"/>
    <s v="ACCOR"/>
    <s v="ZM"/>
    <s v="Media Interface"/>
    <m/>
    <s v="STARSCAP_MENA"/>
    <s v="AED"/>
    <n v="11322.76"/>
    <n v="0"/>
    <n v="0"/>
    <n v="0"/>
    <n v="0"/>
    <n v="0"/>
    <n v="0"/>
    <n v="0"/>
    <s v="Fairmont Kea Lani Tactical 2025"/>
    <s v="AE8860"/>
    <s v="Publicis Media Executive UAE"/>
    <s v="CA200"/>
    <n v="11322.76"/>
    <n v="2673.77"/>
    <s v="APPROVAL - PROPERTY - FAIRMONT KEA LANI"/>
    <e v="#N/A"/>
    <b v="1"/>
    <x v="0"/>
    <s v="Collected"/>
  </r>
  <r>
    <s v="M1140101"/>
    <x v="19"/>
    <s v="(M11)(M11)100111597"/>
    <x v="18"/>
    <n v="9700025788"/>
    <x v="105"/>
    <x v="0"/>
    <n v="34621.589999999997"/>
    <d v="2026-04-29T00:00:00"/>
    <x v="1"/>
    <n v="34621.589999999997"/>
    <x v="1"/>
    <s v="ACCOR"/>
    <s v="ZM"/>
    <s v="Media Interface"/>
    <m/>
    <s v="STARSCAP_MENA"/>
    <s v="AED"/>
    <n v="127147.79"/>
    <n v="0"/>
    <n v="0"/>
    <n v="0"/>
    <n v="0"/>
    <n v="0"/>
    <n v="0"/>
    <n v="0"/>
    <s v="FAIRMONT KEA LANI ALWAYS ON 2026"/>
    <s v="AE8860"/>
    <s v="Publicis Media Executive UAE"/>
    <s v="CA200"/>
    <n v="127147.79"/>
    <n v="29918.42"/>
    <s v="APPROVAL - PROPERTY - FAIRMONT KEA LANI"/>
    <e v="#N/A"/>
    <b v="1"/>
    <x v="0"/>
    <s v="Collected"/>
  </r>
  <r>
    <m/>
    <x v="1"/>
    <m/>
    <x v="18"/>
    <m/>
    <x v="2"/>
    <x v="1"/>
    <n v="50271.799999999996"/>
    <m/>
    <x v="2"/>
    <n v="50271.799999999996"/>
    <x v="2"/>
    <m/>
    <m/>
    <m/>
    <m/>
    <m/>
    <s v="AED"/>
    <n v="184623.19"/>
    <n v="0"/>
    <n v="0"/>
    <n v="0"/>
    <n v="0"/>
    <m/>
    <m/>
    <n v="0"/>
    <m/>
    <m/>
    <m/>
    <m/>
    <n v="184623.19"/>
    <n v="43541.04"/>
    <m/>
    <n v="43541.04"/>
    <n v="1"/>
    <x v="2"/>
    <m/>
  </r>
  <r>
    <s v="M1140101"/>
    <x v="20"/>
    <s v="(M11)(M11)100117570"/>
    <x v="19"/>
    <n v="9700025790"/>
    <x v="106"/>
    <x v="0"/>
    <n v="-454.78"/>
    <d v="2026-04-25T00:00:00"/>
    <x v="0"/>
    <n v="-454.78"/>
    <x v="57"/>
    <s v="ACCOR"/>
    <s v="ZM"/>
    <s v="Media Interface"/>
    <s v="V"/>
    <s v="STARSCAP_MENA"/>
    <s v="AED"/>
    <n v="-1670.18"/>
    <n v="0"/>
    <n v="0"/>
    <n v="0"/>
    <n v="0"/>
    <n v="0"/>
    <n v="0"/>
    <n v="0"/>
    <m/>
    <s v="AE8860"/>
    <s v="Publicis Media Executive UAE"/>
    <s v="CA200"/>
    <n v="-1670.18"/>
    <n v="-393"/>
    <e v="#N/A"/>
    <e v="#N/A"/>
    <b v="0"/>
    <x v="10"/>
    <s v="Delay due to late POC sharing (20/01), new POC not handling old invoices, and pending approved PO requested on 05/02; escalated to Faraz and Toseef(Agency)."/>
  </r>
  <r>
    <s v="M1140101"/>
    <x v="20"/>
    <s v="(M11)(M11)100117570"/>
    <x v="19"/>
    <n v="9700072253"/>
    <x v="107"/>
    <x v="0"/>
    <n v="1117.4100000000001"/>
    <d v="2025-11-19T00:00:00"/>
    <x v="5"/>
    <n v="1117.4100000000001"/>
    <x v="58"/>
    <s v="ACCOR"/>
    <s v="ZM"/>
    <s v="Media Interface"/>
    <m/>
    <s v="STARSCAP_MENA"/>
    <s v="AED"/>
    <n v="0"/>
    <n v="0"/>
    <n v="0"/>
    <n v="0"/>
    <n v="0"/>
    <n v="4103.6899999999996"/>
    <n v="4103.6899999999996"/>
    <n v="0"/>
    <s v="RAFFLES MALDIVES MERADHOO RESORT - ALWAYS ON 20"/>
    <s v="AE8860"/>
    <s v="Publicis Media Executive UAE"/>
    <s v="CA200"/>
    <n v="4103.6899999999996"/>
    <n v="961.46"/>
    <s v="APPROVAL - PROPERTY ALWAYS ON"/>
    <s v="Delay due to late POC sharing (20/01), new POC not handling old invoices, and pending approved PO requested on 05/02; escalated to Faraz and Toseef(Agency)."/>
    <b v="0"/>
    <x v="10"/>
    <s v="Delay due to late POC sharing (20/01), new POC not handling old invoices, and pending approved PO requested on 05/02; escalated to Faraz and Toseef(Agency)."/>
  </r>
  <r>
    <s v="M1140101"/>
    <x v="20"/>
    <s v="(M11)(M11)100117570"/>
    <x v="19"/>
    <n v="9700072254"/>
    <x v="108"/>
    <x v="0"/>
    <n v="12485.08"/>
    <d v="2025-11-19T00:00:00"/>
    <x v="5"/>
    <n v="12485.08"/>
    <x v="58"/>
    <s v="ACCOR"/>
    <s v="ZM"/>
    <s v="Media Interface"/>
    <m/>
    <s v="STARSCAP_MENA"/>
    <s v="AED"/>
    <n v="0"/>
    <n v="0"/>
    <n v="0"/>
    <n v="0"/>
    <n v="0"/>
    <n v="45851.46"/>
    <n v="45851.46"/>
    <n v="0"/>
    <s v="RAFFLES MALDIVES TACTICAL 2025"/>
    <s v="AE8860"/>
    <s v="Publicis Media Executive UAE"/>
    <s v="CA200"/>
    <n v="45851.46"/>
    <n v="10742.63"/>
    <s v="APPROVAL_PROPERTY LEVEL_SEA_002"/>
    <s v="Delay due to late POC sharing (20/01), new POC not handling old invoices, and pending approved PO requested on 05/02; escalated to Faraz and Toseef(Agency)."/>
    <b v="0"/>
    <x v="10"/>
    <s v="Delay due to late POC sharing (20/01), new POC not handling old invoices, and pending approved PO requested on 05/02; escalated to Faraz and Toseef(Agency)."/>
  </r>
  <r>
    <s v="M1140101"/>
    <x v="20"/>
    <s v="(M11)(M11)100117570"/>
    <x v="19"/>
    <n v="9700076481"/>
    <x v="109"/>
    <x v="0"/>
    <n v="56.18"/>
    <d v="2025-11-28T00:00:00"/>
    <x v="5"/>
    <n v="56.18"/>
    <x v="59"/>
    <s v="ACCOR"/>
    <s v="ZM"/>
    <s v="Media Interface"/>
    <m/>
    <s v="STARSCAP_MENA"/>
    <s v="AED"/>
    <n v="0"/>
    <n v="0"/>
    <n v="0"/>
    <n v="0"/>
    <n v="0"/>
    <n v="206.32"/>
    <n v="206.32"/>
    <n v="0"/>
    <s v="RAFFLES MALDIVES MERADHOO RESORT - ALWAYS ON 20"/>
    <s v="AE8860"/>
    <s v="Publicis Media Executive UAE"/>
    <s v="CA200"/>
    <n v="206.32"/>
    <n v="48.38"/>
    <e v="#N/A"/>
    <s v="Delay due to late POC sharing (20/01), new POC not handling old invoices, and pending approved PO requested on 05/02; escalated to Faraz and Toseef(Agency)."/>
    <b v="0"/>
    <x v="10"/>
    <s v="Delay due to late POC sharing (20/01), new POC not handling old invoices, and pending approved PO requested on 05/02; escalated to Faraz and Toseef(Agency)."/>
  </r>
  <r>
    <s v="M1140101"/>
    <x v="20"/>
    <s v="(M11)(M11)100117570"/>
    <x v="19"/>
    <n v="9700076482"/>
    <x v="110"/>
    <x v="0"/>
    <n v="355.49"/>
    <d v="2025-11-28T00:00:00"/>
    <x v="5"/>
    <n v="355.49"/>
    <x v="59"/>
    <s v="ACCOR"/>
    <s v="ZM"/>
    <s v="Media Interface"/>
    <m/>
    <s v="STARSCAP_MENA"/>
    <s v="AED"/>
    <n v="0"/>
    <n v="0"/>
    <n v="0"/>
    <n v="0"/>
    <n v="0"/>
    <n v="1305.54"/>
    <n v="1305.54"/>
    <n v="0"/>
    <s v="RAFFLES MALDIVES MERADHOO RESORT - ALWAYS ON 20"/>
    <s v="AE8860"/>
    <s v="Publicis Media Executive UAE"/>
    <s v="CA200"/>
    <n v="1305.54"/>
    <n v="306.14"/>
    <s v="APPROVAL - PROPERTY ALWAYS ON"/>
    <s v="Delay due to late POC sharing (20/01), new POC not handling old invoices, and pending approved PO requested on 05/02; escalated to Faraz and Toseef(Agency)."/>
    <b v="0"/>
    <x v="10"/>
    <s v="Delay due to late POC sharing (20/01), new POC not handling old invoices, and pending approved PO requested on 05/02; escalated to Faraz and Toseef(Agency)."/>
  </r>
  <r>
    <m/>
    <x v="1"/>
    <m/>
    <x v="19"/>
    <m/>
    <x v="2"/>
    <x v="1"/>
    <n v="13559.38"/>
    <m/>
    <x v="2"/>
    <n v="13559.38"/>
    <x v="2"/>
    <m/>
    <m/>
    <m/>
    <m/>
    <m/>
    <s v="AED"/>
    <n v="-1670.18"/>
    <n v="0"/>
    <n v="0"/>
    <n v="0"/>
    <n v="0"/>
    <m/>
    <m/>
    <n v="0"/>
    <m/>
    <m/>
    <m/>
    <m/>
    <n v="49796.83"/>
    <n v="11665.61"/>
    <m/>
    <n v="0"/>
    <n v="0"/>
    <x v="2"/>
    <m/>
  </r>
  <r>
    <s v="M1140101"/>
    <x v="21"/>
    <s v="(M11)(M11)100108810"/>
    <x v="20"/>
    <n v="9700002096"/>
    <x v="111"/>
    <x v="0"/>
    <n v="466.75"/>
    <d v="2026-02-13T00:00:00"/>
    <x v="3"/>
    <n v="466.75"/>
    <x v="44"/>
    <s v="ACCOR"/>
    <s v="ZM"/>
    <s v="Media Interface"/>
    <m/>
    <s v="STARSCAP_MENA"/>
    <s v="AED"/>
    <n v="0"/>
    <n v="0"/>
    <n v="1714.14"/>
    <n v="0"/>
    <n v="0"/>
    <n v="0"/>
    <n v="1714.14"/>
    <n v="0"/>
    <s v="FAIRMONT MARA SAFARI CLUB KENYA - ALWAYS ON 202"/>
    <s v="AE8860"/>
    <s v="Publicis Media Executive UAE"/>
    <s v="CA200"/>
    <n v="1714.14"/>
    <n v="400.92"/>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s v="M1140101"/>
    <x v="21"/>
    <s v="(M11)(M11)100108810"/>
    <x v="20"/>
    <n v="9700002778"/>
    <x v="112"/>
    <x v="0"/>
    <n v="715.66"/>
    <d v="2026-02-15T00:00:00"/>
    <x v="3"/>
    <n v="715.66"/>
    <x v="16"/>
    <s v="ACCOR"/>
    <s v="ZM"/>
    <s v="Media Interface"/>
    <m/>
    <s v="STARSCAP_MENA"/>
    <s v="AED"/>
    <n v="0"/>
    <n v="0"/>
    <n v="2628.26"/>
    <n v="0"/>
    <n v="0"/>
    <n v="0"/>
    <n v="2628.26"/>
    <n v="0"/>
    <s v="FAIRMONT NORFOLK - ALWAYS ON 2025"/>
    <s v="AE8860"/>
    <s v="Publicis Media Executive UAE"/>
    <s v="CA200"/>
    <n v="2628.26"/>
    <n v="614.09"/>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s v="M1140101"/>
    <x v="21"/>
    <s v="(M11)(M11)100108810"/>
    <x v="20"/>
    <n v="9700003845"/>
    <x v="113"/>
    <x v="0"/>
    <n v="447.91"/>
    <d v="2026-02-18T00:00:00"/>
    <x v="3"/>
    <n v="447.91"/>
    <x v="17"/>
    <s v="ACCOR"/>
    <s v="ZM"/>
    <s v="Media Interface"/>
    <m/>
    <s v="STARSCAP_MENA"/>
    <s v="AED"/>
    <n v="0"/>
    <n v="0"/>
    <n v="1644.95"/>
    <n v="0"/>
    <n v="0"/>
    <n v="0"/>
    <n v="1644.95"/>
    <n v="0"/>
    <s v="FAIRMONT MARA SAFARI CLUB KENYA - ALWAYS ON 202"/>
    <s v="AE8860"/>
    <s v="Publicis Media Executive UAE"/>
    <s v="CA200"/>
    <n v="1644.95"/>
    <n v="384.44"/>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s v="M1140101"/>
    <x v="21"/>
    <s v="(M11)(M11)100108810"/>
    <x v="20"/>
    <n v="9700005192"/>
    <x v="114"/>
    <x v="0"/>
    <n v="736.29"/>
    <d v="2026-02-22T00:00:00"/>
    <x v="3"/>
    <n v="736.29"/>
    <x v="27"/>
    <s v="ACCOR"/>
    <s v="ZM"/>
    <s v="Media Interface"/>
    <m/>
    <s v="STARSCAP_MENA"/>
    <s v="AED"/>
    <n v="0"/>
    <n v="0"/>
    <n v="2704.03"/>
    <n v="0"/>
    <n v="0"/>
    <n v="0"/>
    <n v="2704.03"/>
    <n v="0"/>
    <s v="FAIRMONT NORFOLK - ALWAYS ON 2025"/>
    <s v="AE8860"/>
    <s v="Publicis Media Executive UAE"/>
    <s v="CA200"/>
    <n v="2704.03"/>
    <n v="633.04"/>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s v="M1140101"/>
    <x v="21"/>
    <s v="(M11)(M11)100108810"/>
    <x v="20"/>
    <n v="9700018693"/>
    <x v="115"/>
    <x v="0"/>
    <n v="617.37"/>
    <d v="2026-04-03T00:00:00"/>
    <x v="0"/>
    <n v="617.37"/>
    <x v="0"/>
    <s v="ACCOR"/>
    <s v="ZM"/>
    <s v="Media Interface"/>
    <m/>
    <s v="STARSCAP_MENA"/>
    <s v="AED"/>
    <n v="2267.29"/>
    <n v="0"/>
    <n v="0"/>
    <n v="0"/>
    <n v="0"/>
    <n v="0"/>
    <n v="0"/>
    <n v="0"/>
    <s v="FAIRMONT NORFOLK ALWAYS ON 2026"/>
    <s v="AE8860"/>
    <s v="Publicis Media Executive UAE"/>
    <s v="CA200"/>
    <n v="2267.29"/>
    <n v="522.97"/>
    <s v="APPROVAL - PROPERTY ALWAYS ON"/>
    <e v="#N/A"/>
    <b v="0"/>
    <x v="11"/>
    <s v="Unresponsive—no reply since 12 Jan; client advised they will revert once payment is processed. Keep Chasing client in email follow ups."/>
  </r>
  <r>
    <s v="M1140101"/>
    <x v="21"/>
    <s v="(M11)(M11)100108810"/>
    <x v="20"/>
    <n v="9700019170"/>
    <x v="116"/>
    <x v="0"/>
    <n v="481.17"/>
    <d v="2026-04-03T00:00:00"/>
    <x v="0"/>
    <n v="481.17"/>
    <x v="0"/>
    <s v="ACCOR"/>
    <s v="ZM"/>
    <s v="Media Interface"/>
    <m/>
    <s v="STARSCAP_MENA"/>
    <s v="AED"/>
    <n v="1767.1"/>
    <n v="0"/>
    <n v="0"/>
    <n v="0"/>
    <n v="0"/>
    <n v="0"/>
    <n v="0"/>
    <n v="0"/>
    <s v="FAIRMONT MARA SAFARI CLUB KENYA - ALWAYS ON 202"/>
    <s v="AE8860"/>
    <s v="Publicis Media Executive UAE"/>
    <s v="CA200"/>
    <n v="1767.1"/>
    <n v="411.33"/>
    <s v="APPROVAL - PROPERTY ALWAYS ON"/>
    <e v="#N/A"/>
    <b v="0"/>
    <x v="11"/>
    <s v="Unresponsive—no reply since 12 Jan; client advised they will revert once payment is processed. Keep Chasing client in email follow ups."/>
  </r>
  <r>
    <s v="M1140101"/>
    <x v="21"/>
    <s v="(M11)(M11)100108810"/>
    <x v="20"/>
    <n v="9700025997"/>
    <x v="117"/>
    <x v="0"/>
    <n v="479.84"/>
    <d v="2026-04-29T00:00:00"/>
    <x v="1"/>
    <n v="479.84"/>
    <x v="1"/>
    <s v="ACCOR"/>
    <s v="ZM"/>
    <s v="Media Interface"/>
    <m/>
    <s v="STARSCAP_MENA"/>
    <s v="AED"/>
    <n v="1762.21"/>
    <n v="0"/>
    <n v="0"/>
    <n v="0"/>
    <n v="0"/>
    <n v="0"/>
    <n v="0"/>
    <n v="0"/>
    <s v="FAIRMONT MARA SAFARI CLUB KENYA - ALWAYS ON 202"/>
    <s v="AE8860"/>
    <s v="Publicis Media Executive UAE"/>
    <s v="CA200"/>
    <n v="1762.21"/>
    <n v="413.94"/>
    <s v="APPROVAL - PROPERTY ALWAYS ON"/>
    <e v="#N/A"/>
    <b v="0"/>
    <x v="11"/>
    <s v="Unresponsive—no reply since 12 Jan; client advised they will revert once payment is processed. Keep Chasing client in email follow ups."/>
  </r>
  <r>
    <s v="M1140101"/>
    <x v="21"/>
    <s v="(M11)(M11)100108810"/>
    <x v="20"/>
    <n v="9700025998"/>
    <x v="118"/>
    <x v="0"/>
    <n v="488.24"/>
    <d v="2026-04-29T00:00:00"/>
    <x v="1"/>
    <n v="488.24"/>
    <x v="1"/>
    <s v="ACCOR"/>
    <s v="ZM"/>
    <s v="Media Interface"/>
    <m/>
    <s v="STARSCAP_MENA"/>
    <s v="AED"/>
    <n v="1793.06"/>
    <n v="0"/>
    <n v="0"/>
    <n v="0"/>
    <n v="0"/>
    <n v="0"/>
    <n v="0"/>
    <n v="0"/>
    <s v="FAIRMONT NORFOLK ALWAYS ON 2026"/>
    <s v="AE8860"/>
    <s v="Publicis Media Executive UAE"/>
    <s v="CA200"/>
    <n v="1793.06"/>
    <n v="421.19"/>
    <s v="APPROVAL - PROPERTY ALWAYS ON"/>
    <e v="#N/A"/>
    <b v="0"/>
    <x v="11"/>
    <s v="Unresponsive—no reply since 12 Jan; client advised they will revert once payment is processed. Keep Chasing client in email follow ups."/>
  </r>
  <r>
    <s v="M1140101"/>
    <x v="21"/>
    <s v="(M11)(M11)100108810"/>
    <x v="20"/>
    <n v="9700081965"/>
    <x v="119"/>
    <x v="0"/>
    <n v="802.77"/>
    <d v="2025-12-21T00:00:00"/>
    <x v="5"/>
    <n v="802.77"/>
    <x v="49"/>
    <s v="ACCOR"/>
    <s v="ZM"/>
    <s v="Media Interface"/>
    <m/>
    <s v="STARSCAP_MENA"/>
    <s v="AED"/>
    <n v="0"/>
    <n v="0"/>
    <n v="0"/>
    <n v="0"/>
    <n v="2948.17"/>
    <n v="0"/>
    <n v="2948.17"/>
    <n v="0"/>
    <s v="FAIRMONT NORFOLK - ALWAYS ON 2025"/>
    <s v="AE8860"/>
    <s v="Publicis Media Executive UAE"/>
    <s v="CA200"/>
    <n v="2948.17"/>
    <n v="693.06"/>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s v="M1140101"/>
    <x v="21"/>
    <s v="(M11)(M11)100108810"/>
    <x v="20"/>
    <n v="9700084455"/>
    <x v="120"/>
    <x v="0"/>
    <n v="471.1"/>
    <d v="2025-12-26T00:00:00"/>
    <x v="5"/>
    <n v="471.1"/>
    <x v="43"/>
    <s v="ACCOR"/>
    <s v="ZM"/>
    <s v="Media Interface"/>
    <m/>
    <s v="STARSCAP_MENA"/>
    <s v="AED"/>
    <n v="0"/>
    <n v="0"/>
    <n v="0"/>
    <n v="0"/>
    <n v="1730.11"/>
    <n v="0"/>
    <n v="1730.11"/>
    <n v="0"/>
    <s v="FAIRMONT MARA SAFARI CLUB KENYA - ALWAYS ON 202"/>
    <s v="AE8860"/>
    <s v="Publicis Media Executive UAE"/>
    <s v="CA200"/>
    <n v="1730.11"/>
    <n v="407.84"/>
    <s v="APPROVAL - PROPERTY ALWAYS ON"/>
    <s v="Unresponsive—no reply since 12 Jan; client advised they will revert once payment is processed. Keep Chasing client in email follow ups."/>
    <b v="0"/>
    <x v="11"/>
    <s v="Unresponsive—no reply since 12 Jan; client advised they will revert once payment is processed. Keep Chasing client in email follow ups."/>
  </r>
  <r>
    <m/>
    <x v="1"/>
    <m/>
    <x v="20"/>
    <m/>
    <x v="2"/>
    <x v="1"/>
    <n v="5707.1"/>
    <m/>
    <x v="2"/>
    <n v="5707.1"/>
    <x v="2"/>
    <m/>
    <m/>
    <m/>
    <m/>
    <m/>
    <s v="AED"/>
    <n v="7589.66"/>
    <n v="0"/>
    <n v="8691.3799999999992"/>
    <n v="0"/>
    <n v="4678.28"/>
    <m/>
    <m/>
    <n v="0"/>
    <m/>
    <m/>
    <m/>
    <m/>
    <n v="20959.32"/>
    <n v="4902.82"/>
    <m/>
    <n v="0"/>
    <n v="0"/>
    <x v="2"/>
    <m/>
  </r>
  <r>
    <s v="M1140101"/>
    <x v="22"/>
    <s v="(M11)(M11)100112031"/>
    <x v="21"/>
    <n v="9700024348"/>
    <x v="121"/>
    <x v="0"/>
    <n v="2187.36"/>
    <d v="2026-04-22T00:00:00"/>
    <x v="0"/>
    <n v="2187.36"/>
    <x v="5"/>
    <s v="ACCOR"/>
    <s v="ZM"/>
    <s v="Media Interface"/>
    <m/>
    <s v="STARSCAP_MENA"/>
    <s v="AED"/>
    <n v="8033.08"/>
    <n v="0"/>
    <n v="0"/>
    <n v="0"/>
    <n v="0"/>
    <n v="0"/>
    <n v="0"/>
    <n v="0"/>
    <s v="FAIRMONT TREMBLANT - ALWAYS ON 2025"/>
    <s v="AE8860"/>
    <s v="Publicis Media Executive UAE"/>
    <s v="CA200"/>
    <n v="8033.08"/>
    <n v="1893"/>
    <s v="APPROVAL - PROPERTY ALWAYS ON"/>
    <e v="#N/A"/>
    <b v="1"/>
    <x v="0"/>
    <s v="Collected"/>
  </r>
  <r>
    <s v="M1140101"/>
    <x v="22"/>
    <s v="(M11)(M11)100112031"/>
    <x v="21"/>
    <n v="9700025710"/>
    <x v="122"/>
    <x v="0"/>
    <n v="1479.47"/>
    <d v="2026-04-24T00:00:00"/>
    <x v="0"/>
    <n v="1479.47"/>
    <x v="56"/>
    <s v="ACCOR"/>
    <s v="ZM"/>
    <s v="Media Interface"/>
    <m/>
    <s v="STARSCAP_MENA"/>
    <s v="AED"/>
    <n v="5433.35"/>
    <n v="0"/>
    <n v="0"/>
    <n v="0"/>
    <n v="0"/>
    <n v="0"/>
    <n v="0"/>
    <n v="0"/>
    <s v="FAIRMONT TREMBLANT - ALWAYS ON 2025"/>
    <s v="AE8860"/>
    <s v="Publicis Media Executive UAE"/>
    <s v="CA200"/>
    <n v="5433.35"/>
    <n v="1278.49"/>
    <s v="APPROVAL - PROPERTY ALWAYS ON"/>
    <e v="#N/A"/>
    <b v="0"/>
    <x v="4"/>
    <s v="Chasing Client for Payment Timeline"/>
  </r>
  <r>
    <m/>
    <x v="1"/>
    <m/>
    <x v="21"/>
    <m/>
    <x v="2"/>
    <x v="1"/>
    <n v="3666.83"/>
    <m/>
    <x v="2"/>
    <n v="3666.83"/>
    <x v="2"/>
    <m/>
    <m/>
    <m/>
    <m/>
    <m/>
    <s v="AED"/>
    <n v="13466.43"/>
    <n v="0"/>
    <n v="0"/>
    <n v="0"/>
    <n v="0"/>
    <m/>
    <m/>
    <n v="0"/>
    <m/>
    <m/>
    <m/>
    <m/>
    <n v="13466.43"/>
    <n v="3171.49"/>
    <m/>
    <n v="1893"/>
    <n v="0.59652615474401605"/>
    <x v="2"/>
    <m/>
  </r>
  <r>
    <s v="M1140101"/>
    <x v="23"/>
    <s v="(M11)(M11)100111868"/>
    <x v="22"/>
    <n v="9000011004"/>
    <x v="123"/>
    <x v="1"/>
    <m/>
    <d v="2025-03-28T00:00:00"/>
    <x v="5"/>
    <e v="#N/A"/>
    <x v="60"/>
    <s v="ACCOR"/>
    <s v="GC"/>
    <s v="Clearing Documents"/>
    <s v="9700014974"/>
    <s v="STARSCAP_MENA"/>
    <s v="AED"/>
    <n v="0"/>
    <n v="0"/>
    <n v="0"/>
    <n v="0"/>
    <n v="0"/>
    <n v="-86423.360000000001"/>
    <n v="-86423.360000000001"/>
    <n v="0"/>
    <s v="Partial Allocation USD 34,996.38"/>
    <s v="AE8860"/>
    <s v="Publicis Media Executive UAE"/>
    <s v="CA200"/>
    <n v="-86423.360000000001"/>
    <n v="-21189.06"/>
    <e v="#N/A"/>
    <s v="Cleared - Payment partially applied due to FX."/>
    <b v="1"/>
    <x v="0"/>
    <s v="Cleared - Payment partially applied due to FX."/>
  </r>
  <r>
    <s v="M1140101"/>
    <x v="23"/>
    <s v="(M11)(M11)100111868"/>
    <x v="22"/>
    <n v="9000022109"/>
    <x v="124"/>
    <x v="1"/>
    <m/>
    <d v="2025-06-20T00:00:00"/>
    <x v="5"/>
    <e v="#N/A"/>
    <x v="61"/>
    <s v="ACCOR"/>
    <s v="GC"/>
    <s v="Clearing Documents"/>
    <s v="9700034911"/>
    <s v="STARSCAP_MENA"/>
    <s v="AED"/>
    <n v="0"/>
    <n v="0"/>
    <n v="0"/>
    <n v="0"/>
    <n v="0"/>
    <n v="-21498.04"/>
    <n v="-21498.04"/>
    <n v="0"/>
    <s v="Partial Allocation USD 23,459.09"/>
    <s v="AE8860"/>
    <s v="Publicis Media Executive UAE"/>
    <s v="CA200"/>
    <n v="-21498.04"/>
    <n v="-5003.67"/>
    <e v="#N/A"/>
    <s v="Cleared - Payment partially applied due to FX."/>
    <b v="1"/>
    <x v="0"/>
    <s v="Cleared - Payment partially applied due to FX."/>
  </r>
  <r>
    <s v="M1140101"/>
    <x v="23"/>
    <s v="(M11)(M11)100111868"/>
    <x v="22"/>
    <n v="9700014974"/>
    <x v="125"/>
    <x v="0"/>
    <n v="737.08"/>
    <d v="2025-03-28T00:00:00"/>
    <x v="5"/>
    <n v="24269.65"/>
    <x v="36"/>
    <s v="ACCOR"/>
    <s v="ZM"/>
    <s v="Media Interface"/>
    <m/>
    <s v="STARSCAP_MENA"/>
    <s v="AED"/>
    <n v="0"/>
    <n v="0"/>
    <n v="0"/>
    <n v="0"/>
    <n v="0"/>
    <n v="89130.29"/>
    <n v="89130.29"/>
    <n v="0"/>
    <s v="FAIRMONT_ALWAYS ON_FAIRMONT San Juan_NON UAE"/>
    <s v="AE8860"/>
    <s v="Publicis Media Executive UAE"/>
    <s v="CA200"/>
    <n v="89130.29"/>
    <n v="23191.26"/>
    <s v="APPROVAL_PROPERTY LEVEL_SEA_001"/>
    <s v="Collected - Balance due to FX difference. On 13/01, client requested rebilling to another invoice; forwarded to Faraz (Agency). Rebilled invoice has been shared and Payment in Process as per Client on 18/03."/>
    <b v="1"/>
    <x v="0"/>
    <s v="Collected - Balance due to FX difference. On 13/01, client requested rebilling to another invoice; forwarded to Faraz (Agency). Rebilled invoice has been shared and Payment in Process as per Client on 18/03."/>
  </r>
  <r>
    <s v="M1140101"/>
    <x v="23"/>
    <s v="(M11)(M11)100111868"/>
    <x v="22"/>
    <n v="9700017529"/>
    <x v="126"/>
    <x v="0"/>
    <n v="5694.21"/>
    <d v="2026-03-28T00:00:00"/>
    <x v="0"/>
    <n v="5694.21"/>
    <x v="38"/>
    <s v="ACCOR"/>
    <s v="ZM"/>
    <s v="Media Interface"/>
    <m/>
    <s v="STARSCAP_MENA"/>
    <s v="AED"/>
    <n v="0"/>
    <n v="20911.990000000002"/>
    <n v="0"/>
    <n v="0"/>
    <n v="0"/>
    <n v="0"/>
    <n v="20911.990000000002"/>
    <n v="0"/>
    <s v="FAIRMONT EL SAN JUAN - ALWAYS ON 2026"/>
    <s v="AE8860"/>
    <s v="Publicis Media Executive UAE"/>
    <s v="CA200"/>
    <n v="20911.990000000002"/>
    <n v="4839.13"/>
    <s v="APPROVAL - PROPERTY ALWAYS ON"/>
    <s v="Chasing Client for Payment Timeline"/>
    <b v="1"/>
    <x v="0"/>
    <s v="Collected"/>
  </r>
  <r>
    <s v="M1140101"/>
    <x v="23"/>
    <s v="(M11)(M11)100111868"/>
    <x v="22"/>
    <n v="9700034911"/>
    <x v="127"/>
    <x v="0"/>
    <n v="498.18"/>
    <d v="2025-06-20T00:00:00"/>
    <x v="5"/>
    <n v="6351.97"/>
    <x v="30"/>
    <s v="ACCOR"/>
    <s v="ZM"/>
    <s v="Media Interface"/>
    <m/>
    <s v="STARSCAP_MENA"/>
    <s v="AED"/>
    <n v="0"/>
    <n v="0"/>
    <n v="0"/>
    <n v="0"/>
    <n v="0"/>
    <n v="23327.61"/>
    <n v="23327.61"/>
    <n v="0"/>
    <s v="FAIRMONT EL SAN JUAN - ALWAYS ON 2025"/>
    <s v="AE8860"/>
    <s v="Publicis Media Executive UAE"/>
    <s v="CA200"/>
    <n v="23327.61"/>
    <n v="5674.44"/>
    <s v="APPROVAL - PROPERTY ALWAYS ON"/>
    <s v="Collected - Balance due to FX difference. On 13/01, client requested rebilling to another invoice; forwarded to Faraz (Agency). Rebilled invoice has been shared and Payment in Process as per Client on 18/03."/>
    <b v="1"/>
    <x v="0"/>
    <s v="Collected - Balance due to FX difference. On 13/01, client requested rebilling to another invoice; forwarded to Faraz (Agency). Rebilled invoice has been shared and Payment in Process as per Client on 18/03."/>
  </r>
  <r>
    <m/>
    <x v="1"/>
    <m/>
    <x v="22"/>
    <m/>
    <x v="2"/>
    <x v="1"/>
    <n v="6929.47"/>
    <m/>
    <x v="2"/>
    <e v="#N/A"/>
    <x v="2"/>
    <m/>
    <m/>
    <m/>
    <m/>
    <m/>
    <s v="AED"/>
    <n v="0"/>
    <n v="20911.990000000002"/>
    <n v="0"/>
    <n v="0"/>
    <n v="0"/>
    <m/>
    <m/>
    <n v="0"/>
    <m/>
    <m/>
    <m/>
    <m/>
    <n v="25448.49"/>
    <n v="7512.1"/>
    <m/>
    <n v="7512.0999999999949"/>
    <n v="1"/>
    <x v="2"/>
    <m/>
  </r>
  <r>
    <s v="M1140101"/>
    <x v="24"/>
    <s v="(M11)(M11)100112490"/>
    <x v="23"/>
    <n v="9700025982"/>
    <x v="128"/>
    <x v="0"/>
    <n v="1159.19"/>
    <d v="2026-04-26T00:00:00"/>
    <x v="0"/>
    <n v="1159.19"/>
    <x v="62"/>
    <s v="ACCOR"/>
    <s v="ZM"/>
    <s v="Media Interface"/>
    <m/>
    <s v="STARSCAP_MENA"/>
    <s v="AED"/>
    <n v="4257.13"/>
    <n v="0"/>
    <n v="0"/>
    <n v="0"/>
    <n v="0"/>
    <n v="0"/>
    <n v="0"/>
    <n v="0"/>
    <s v="FAIRMONT HOTEL MACDONALD ALWAYS ON 2026"/>
    <s v="AE8860"/>
    <s v="Publicis Media Executive UAE"/>
    <s v="CA200"/>
    <n v="4257.13"/>
    <n v="999.99"/>
    <s v="APPROVAL - PROPERTY ALWAYS ON"/>
    <e v="#N/A"/>
    <b v="0"/>
    <x v="4"/>
    <s v="Chasing Client for Payment Timeline"/>
  </r>
  <r>
    <m/>
    <x v="1"/>
    <m/>
    <x v="23"/>
    <m/>
    <x v="2"/>
    <x v="1"/>
    <n v="1159.19"/>
    <m/>
    <x v="2"/>
    <n v="1159.19"/>
    <x v="2"/>
    <m/>
    <m/>
    <m/>
    <m/>
    <m/>
    <s v="AED"/>
    <n v="4257.13"/>
    <n v="0"/>
    <n v="0"/>
    <n v="0"/>
    <n v="0"/>
    <m/>
    <m/>
    <n v="0"/>
    <m/>
    <m/>
    <m/>
    <m/>
    <n v="4257.13"/>
    <n v="999.99"/>
    <m/>
    <n v="0"/>
    <n v="0"/>
    <x v="2"/>
    <m/>
  </r>
  <r>
    <s v="M1140101"/>
    <x v="25"/>
    <s v="(M11)(M11)100106219"/>
    <x v="24"/>
    <n v="9700003986"/>
    <x v="129"/>
    <x v="0"/>
    <n v="3380.81"/>
    <d v="2026-02-18T00:00:00"/>
    <x v="3"/>
    <n v="3380.81"/>
    <x v="17"/>
    <s v="ACCOR"/>
    <s v="ZM"/>
    <s v="Media Interface"/>
    <m/>
    <s v="STARSCAP_MENA"/>
    <s v="AED"/>
    <n v="0"/>
    <n v="0"/>
    <n v="12416.02"/>
    <n v="0"/>
    <n v="0"/>
    <n v="0"/>
    <n v="12416.02"/>
    <n v="0"/>
    <s v="FAIRMONT THE PALM DUBAI - ALWAYS ON 2025"/>
    <s v="AE8860"/>
    <s v="Publicis Media Executive UAE"/>
    <s v="CA200"/>
    <n v="12416.02"/>
    <n v="2908.47"/>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05189"/>
    <x v="130"/>
    <x v="0"/>
    <n v="3436.49"/>
    <d v="2026-02-20T00:00:00"/>
    <x v="3"/>
    <n v="3436.49"/>
    <x v="63"/>
    <s v="ACCOR"/>
    <s v="ZM"/>
    <s v="Media Interface"/>
    <m/>
    <s v="STARSCAP_MENA"/>
    <s v="AED"/>
    <n v="0"/>
    <n v="0"/>
    <n v="12620.51"/>
    <n v="0"/>
    <n v="0"/>
    <n v="0"/>
    <n v="12620.51"/>
    <n v="0"/>
    <s v="FAIRMONT THE PALM DUBAI - ALWAYS ON 2025"/>
    <s v="AE8860"/>
    <s v="Publicis Media Executive UAE"/>
    <s v="CA200"/>
    <n v="12620.51"/>
    <n v="2954.6"/>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12288"/>
    <x v="131"/>
    <x v="0"/>
    <n v="538.71"/>
    <d v="2025-03-20T00:00:00"/>
    <x v="5"/>
    <n v="538.71"/>
    <x v="64"/>
    <s v="ACCOR"/>
    <s v="ZM"/>
    <s v="Media Interface"/>
    <m/>
    <s v="STARSCAP_MENA"/>
    <s v="AED"/>
    <n v="0"/>
    <n v="0"/>
    <n v="0"/>
    <n v="0"/>
    <n v="0"/>
    <n v="1978.41"/>
    <n v="1978.41"/>
    <n v="0"/>
    <s v="FAIRMONT_ALWAYS ON_FAIRMONT Palm Dubai_NON UAE"/>
    <s v="AE8860"/>
    <s v="Publicis Media Executive UAE"/>
    <s v="CA200"/>
    <n v="1978.41"/>
    <n v="514.13"/>
    <s v="APPROVAL_PROPERTY LEVEL_SEA_002"/>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12289"/>
    <x v="132"/>
    <x v="0"/>
    <n v="85.71"/>
    <d v="2025-03-20T00:00:00"/>
    <x v="5"/>
    <n v="85.71"/>
    <x v="64"/>
    <s v="ACCOR"/>
    <s v="ZM"/>
    <s v="Media Interface"/>
    <m/>
    <s v="STARSCAP_MENA"/>
    <s v="AED"/>
    <n v="0"/>
    <n v="0"/>
    <n v="0"/>
    <n v="0"/>
    <n v="0"/>
    <n v="314.77"/>
    <n v="314.77"/>
    <n v="0"/>
    <s v="FAIRMONT_ALWAYS ON_FAIRMONT Palm Dubai_UAE"/>
    <s v="AE8860"/>
    <s v="Publicis Media Executive UAE"/>
    <s v="CA200"/>
    <n v="314.77"/>
    <n v="81.8"/>
    <s v="APPROVAL_PROPERTY LEVEL_SEA_002"/>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12290"/>
    <x v="133"/>
    <x v="0"/>
    <n v="353.86"/>
    <d v="2025-03-20T00:00:00"/>
    <x v="5"/>
    <n v="353.86"/>
    <x v="64"/>
    <s v="ACCOR"/>
    <s v="ZM"/>
    <s v="Media Interface"/>
    <m/>
    <s v="STARSCAP_MENA"/>
    <s v="AED"/>
    <n v="0"/>
    <n v="0"/>
    <n v="0"/>
    <n v="0"/>
    <n v="0"/>
    <n v="1299.55"/>
    <n v="1299.55"/>
    <n v="0"/>
    <s v="FAIRMONT_ALWAYS ON_The Palm Dubai"/>
    <s v="AE8860"/>
    <s v="Publicis Media Executive UAE"/>
    <s v="CA200"/>
    <n v="1299.55"/>
    <n v="337.72"/>
    <s v="APPROVAL_PROPERTY LEVEL_SEA_002"/>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17524"/>
    <x v="134"/>
    <x v="0"/>
    <n v="2748.27"/>
    <d v="2026-03-28T00:00:00"/>
    <x v="0"/>
    <n v="2748.27"/>
    <x v="38"/>
    <s v="ACCOR"/>
    <s v="ZM"/>
    <s v="Media Interface"/>
    <m/>
    <s v="STARSCAP_MENA"/>
    <s v="AED"/>
    <n v="0"/>
    <n v="10093.02"/>
    <n v="0"/>
    <n v="0"/>
    <n v="0"/>
    <n v="0"/>
    <n v="10093.02"/>
    <n v="0"/>
    <s v="FAIRMONT THE PALM DUBAI ALWAYS ON 2026"/>
    <s v="AE8860"/>
    <s v="Publicis Media Executive UAE"/>
    <s v="CA200"/>
    <n v="10093.02"/>
    <n v="2335.5700000000002"/>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31822"/>
    <x v="135"/>
    <x v="0"/>
    <n v="347.15"/>
    <d v="2025-06-12T00:00:00"/>
    <x v="5"/>
    <n v="347.15"/>
    <x v="65"/>
    <s v="ACCOR"/>
    <s v="ZM"/>
    <s v="Media Interface"/>
    <m/>
    <s v="STARSCAP_MENA"/>
    <s v="AED"/>
    <n v="0"/>
    <n v="0"/>
    <n v="0"/>
    <n v="0"/>
    <n v="0"/>
    <n v="1274.9100000000001"/>
    <n v="1274.9100000000001"/>
    <n v="0"/>
    <s v="FAIRMONT THE PALM DUBAI - ALWAYS ON 2025"/>
    <s v="AE8860"/>
    <s v="Publicis Media Executive UAE"/>
    <s v="CA200"/>
    <n v="1274.9100000000001"/>
    <n v="307.29000000000002"/>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34309"/>
    <x v="136"/>
    <x v="0"/>
    <n v="141.46"/>
    <d v="2025-06-19T00:00:00"/>
    <x v="5"/>
    <n v="141.46"/>
    <x v="29"/>
    <s v="ACCOR"/>
    <s v="ZM"/>
    <s v="Media Interface"/>
    <m/>
    <s v="STARSCAP_MENA"/>
    <s v="AED"/>
    <n v="0"/>
    <n v="0"/>
    <n v="0"/>
    <n v="0"/>
    <n v="0"/>
    <n v="519.51"/>
    <n v="519.51"/>
    <n v="0"/>
    <s v="FAIRMONT THE PALM DUBAI - ALWAYS ON 2025"/>
    <s v="AE8860"/>
    <s v="Publicis Media Executive UAE"/>
    <s v="CA200"/>
    <n v="519.51"/>
    <n v="126.47"/>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34840"/>
    <x v="137"/>
    <x v="0"/>
    <n v="2392.3000000000002"/>
    <d v="2025-06-20T00:00:00"/>
    <x v="5"/>
    <n v="2392.3000000000002"/>
    <x v="30"/>
    <s v="ACCOR"/>
    <s v="ZM"/>
    <s v="Media Interface"/>
    <m/>
    <s v="STARSCAP_MENA"/>
    <s v="AED"/>
    <n v="0"/>
    <n v="0"/>
    <n v="0"/>
    <n v="0"/>
    <n v="0"/>
    <n v="8785.7199999999993"/>
    <n v="8785.7199999999993"/>
    <n v="0"/>
    <s v="FAIRMONT THE PALM DUBAI - ALWAYS ON 2025"/>
    <s v="AE8860"/>
    <s v="Publicis Media Executive UAE"/>
    <s v="CA200"/>
    <n v="8785.7199999999993"/>
    <n v="2137.13"/>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41211"/>
    <x v="138"/>
    <x v="0"/>
    <n v="2407.81"/>
    <d v="2025-07-19T00:00:00"/>
    <x v="5"/>
    <n v="2407.81"/>
    <x v="66"/>
    <s v="ACCOR"/>
    <s v="ZM"/>
    <s v="Media Interface"/>
    <m/>
    <s v="STARSCAP_MENA"/>
    <s v="AED"/>
    <n v="0"/>
    <n v="0"/>
    <n v="0"/>
    <n v="0"/>
    <n v="0"/>
    <n v="8842.68"/>
    <n v="8842.68"/>
    <n v="0"/>
    <s v="FAIRMONT THE PALM DUBAI - ALWAYS ON 2025"/>
    <s v="AE8860"/>
    <s v="Publicis Media Executive UAE"/>
    <s v="CA200"/>
    <n v="8842.68"/>
    <n v="2080.36"/>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47391"/>
    <x v="139"/>
    <x v="0"/>
    <n v="2283.63"/>
    <d v="2025-08-15T00:00:00"/>
    <x v="5"/>
    <n v="2283.63"/>
    <x v="67"/>
    <s v="ACCOR"/>
    <s v="ZM"/>
    <s v="Media Interface"/>
    <m/>
    <s v="STARSCAP_MENA"/>
    <s v="AED"/>
    <n v="0"/>
    <n v="0"/>
    <n v="0"/>
    <n v="0"/>
    <n v="0"/>
    <n v="8386.6299999999992"/>
    <n v="8386.6299999999992"/>
    <n v="0"/>
    <s v="FAIRMONT THE PALM DUBAI - ALWAYS ON 2025"/>
    <s v="AE8860"/>
    <s v="Publicis Media Executive UAE"/>
    <s v="CA200"/>
    <n v="8386.6299999999992"/>
    <n v="1954.66"/>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61991"/>
    <x v="140"/>
    <x v="0"/>
    <n v="3228.62"/>
    <d v="2025-10-10T00:00:00"/>
    <x v="5"/>
    <n v="3228.62"/>
    <x v="34"/>
    <s v="ACCOR"/>
    <s v="ZM"/>
    <s v="Media Interface"/>
    <m/>
    <s v="STARSCAP_MENA"/>
    <s v="AED"/>
    <n v="0"/>
    <n v="0"/>
    <n v="0"/>
    <n v="0"/>
    <n v="0"/>
    <n v="11857.11"/>
    <n v="11857.11"/>
    <n v="0"/>
    <s v="FAIRMONT THE PALM DUBAI - ALWAYS ON 2025"/>
    <s v="AE8860"/>
    <s v="Publicis Media Executive UAE"/>
    <s v="CA200"/>
    <n v="11857.11"/>
    <n v="2749.17"/>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69856"/>
    <x v="141"/>
    <x v="0"/>
    <n v="7020.88"/>
    <d v="2025-11-12T00:00:00"/>
    <x v="5"/>
    <n v="7020.88"/>
    <x v="42"/>
    <s v="ACCOR"/>
    <s v="ZM"/>
    <s v="Media Interface"/>
    <m/>
    <s v="STARSCAP_MENA"/>
    <s v="AED"/>
    <n v="0"/>
    <n v="0"/>
    <n v="0"/>
    <n v="0"/>
    <n v="0"/>
    <n v="25784.18"/>
    <n v="25784.18"/>
    <n v="0"/>
    <s v="FAIRMONT THE PALM DUBAI - ALWAYS ON 2025"/>
    <s v="AE8860"/>
    <s v="Publicis Media Executive UAE"/>
    <s v="CA200"/>
    <n v="25784.18"/>
    <n v="6038.43"/>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s v="M1140101"/>
    <x v="25"/>
    <s v="(M11)(M11)100106219"/>
    <x v="24"/>
    <n v="9700081700"/>
    <x v="142"/>
    <x v="0"/>
    <n v="3518.65"/>
    <d v="2025-12-21T00:00:00"/>
    <x v="5"/>
    <n v="3518.65"/>
    <x v="49"/>
    <s v="ACCOR"/>
    <s v="ZM"/>
    <s v="Media Interface"/>
    <m/>
    <s v="STARSCAP_MENA"/>
    <s v="AED"/>
    <n v="0"/>
    <n v="0"/>
    <n v="0"/>
    <n v="0"/>
    <n v="12922.24"/>
    <n v="0"/>
    <n v="12922.24"/>
    <n v="0"/>
    <s v="FAIRMONT THE PALM DUBAI - ALWAYS ON 2025"/>
    <s v="AE8860"/>
    <s v="Publicis Media Executive UAE"/>
    <s v="CA200"/>
    <n v="12922.24"/>
    <n v="3035.94"/>
    <s v="APPROVAL - PROPERTY ALWAYS ON"/>
    <s v="Pending Contract, WIP as per Hadi(Agency) on 12/8 - still chasing for an update internally. Ask client any supporting docs so they can proceed paying the outstanding, reshared invoices copy on 06/03 as client request."/>
    <b v="0"/>
    <x v="8"/>
    <s v="Pending Contract, WIP as per Hadi(Agency) on 12/8 - still chasing for an update internally. Ask client any supporting docs so they can proceed paying the outstanding, reshared invoices copy on 06/03 as client request."/>
  </r>
  <r>
    <m/>
    <x v="1"/>
    <m/>
    <x v="24"/>
    <m/>
    <x v="2"/>
    <x v="1"/>
    <n v="31884.35"/>
    <m/>
    <x v="2"/>
    <n v="31884.35"/>
    <x v="2"/>
    <m/>
    <m/>
    <m/>
    <m/>
    <m/>
    <s v="AED"/>
    <n v="0"/>
    <n v="10093.02"/>
    <n v="25036.53"/>
    <n v="0"/>
    <n v="12922.24"/>
    <m/>
    <m/>
    <n v="0"/>
    <m/>
    <m/>
    <m/>
    <m/>
    <n v="117095.26"/>
    <n v="27561.74"/>
    <m/>
    <n v="0"/>
    <n v="0"/>
    <x v="2"/>
    <m/>
  </r>
  <r>
    <s v="M1140101"/>
    <x v="26"/>
    <s v="(M11)(M11)100108939"/>
    <x v="25"/>
    <n v="9700025778"/>
    <x v="143"/>
    <x v="0"/>
    <n v="1154.42"/>
    <d v="2026-04-29T00:00:00"/>
    <x v="1"/>
    <n v="1154.42"/>
    <x v="1"/>
    <s v="ACCOR"/>
    <s v="ZM"/>
    <s v="Media Interface"/>
    <m/>
    <s v="STARSCAP_MENA"/>
    <s v="AED"/>
    <n v="4239.6099999999997"/>
    <n v="0"/>
    <n v="0"/>
    <n v="0"/>
    <n v="0"/>
    <n v="0"/>
    <n v="0"/>
    <n v="0"/>
    <s v="FAIRMONT NILE CITY ALWAYS ON 2026"/>
    <s v="AE8860"/>
    <s v="Publicis Media Executive UAE"/>
    <s v="CA200"/>
    <n v="4239.6099999999997"/>
    <n v="997.6"/>
    <s v="APPROVAL - PROPERTY ALWAYS ON"/>
    <e v="#N/A"/>
    <b v="1"/>
    <x v="0"/>
    <s v="Collected"/>
  </r>
  <r>
    <m/>
    <x v="1"/>
    <m/>
    <x v="25"/>
    <m/>
    <x v="2"/>
    <x v="1"/>
    <n v="1154.42"/>
    <m/>
    <x v="2"/>
    <n v="1154.42"/>
    <x v="2"/>
    <m/>
    <m/>
    <m/>
    <m/>
    <m/>
    <s v="AED"/>
    <n v="4239.6099999999997"/>
    <n v="0"/>
    <n v="0"/>
    <n v="0"/>
    <n v="0"/>
    <m/>
    <m/>
    <n v="0"/>
    <m/>
    <m/>
    <m/>
    <m/>
    <n v="4239.6099999999997"/>
    <n v="997.6"/>
    <m/>
    <n v="997.6"/>
    <n v="1"/>
    <x v="2"/>
    <m/>
  </r>
  <r>
    <s v="M1140101"/>
    <x v="27"/>
    <s v="(M11)(M11)100108737"/>
    <x v="26"/>
    <n v="9700025746"/>
    <x v="144"/>
    <x v="0"/>
    <n v="4910.21"/>
    <d v="2026-04-29T00:00:00"/>
    <x v="1"/>
    <n v="4910.21"/>
    <x v="1"/>
    <s v="ACCOR"/>
    <s v="ZM"/>
    <s v="Media Interface"/>
    <m/>
    <s v="STARSCAP_MENA"/>
    <s v="AED"/>
    <n v="18032.75"/>
    <n v="0"/>
    <n v="0"/>
    <n v="0"/>
    <n v="0"/>
    <n v="0"/>
    <n v="0"/>
    <n v="0"/>
    <s v="FAIRMONT PACIFIC RIM ALWAYS ON 2026"/>
    <s v="AE8860"/>
    <s v="Publicis Media Executive UAE"/>
    <s v="CA200"/>
    <n v="18032.75"/>
    <n v="4243.18"/>
    <s v="APPROVAL - PROPERTY ALWAYS ON"/>
    <e v="#N/A"/>
    <b v="1"/>
    <x v="0"/>
    <s v="Collected"/>
  </r>
  <r>
    <m/>
    <x v="1"/>
    <m/>
    <x v="26"/>
    <m/>
    <x v="2"/>
    <x v="1"/>
    <n v="4910.21"/>
    <m/>
    <x v="2"/>
    <n v="4910.21"/>
    <x v="2"/>
    <m/>
    <m/>
    <m/>
    <m/>
    <m/>
    <s v="AED"/>
    <n v="18032.75"/>
    <n v="0"/>
    <n v="0"/>
    <n v="0"/>
    <n v="0"/>
    <m/>
    <m/>
    <n v="0"/>
    <m/>
    <m/>
    <m/>
    <m/>
    <n v="18032.75"/>
    <n v="4243.18"/>
    <m/>
    <n v="4243.18"/>
    <n v="1"/>
    <x v="2"/>
    <m/>
  </r>
  <r>
    <s v="M1140101"/>
    <x v="28"/>
    <s v="(M11)(M11)100114999"/>
    <x v="27"/>
    <n v="9700026166"/>
    <x v="145"/>
    <x v="0"/>
    <n v="611.34"/>
    <d v="2026-04-29T00:00:00"/>
    <x v="1"/>
    <n v="611.34"/>
    <x v="1"/>
    <s v="ACCOR"/>
    <s v="ZM"/>
    <s v="Media Interface"/>
    <m/>
    <s v="STARSCAP_MENA"/>
    <s v="AED"/>
    <n v="2245.15"/>
    <n v="0"/>
    <n v="0"/>
    <n v="0"/>
    <n v="0"/>
    <n v="0"/>
    <n v="0"/>
    <n v="0"/>
    <s v="FAIRMONT RAMLA RIYADH - ALWAYS ON 2026"/>
    <s v="AE8860"/>
    <s v="Publicis Media Executive UAE"/>
    <s v="CA200"/>
    <n v="2245.15"/>
    <n v="527.38"/>
    <s v="APPROVAL - PROPERTY ALWAYS ON"/>
    <e v="#N/A"/>
    <b v="1"/>
    <x v="0"/>
    <s v="Collected"/>
  </r>
  <r>
    <m/>
    <x v="1"/>
    <m/>
    <x v="27"/>
    <m/>
    <x v="2"/>
    <x v="1"/>
    <n v="611.34"/>
    <m/>
    <x v="2"/>
    <n v="611.34"/>
    <x v="2"/>
    <m/>
    <m/>
    <m/>
    <m/>
    <m/>
    <s v="AED"/>
    <n v="2245.15"/>
    <n v="0"/>
    <n v="0"/>
    <n v="0"/>
    <n v="0"/>
    <m/>
    <m/>
    <n v="0"/>
    <m/>
    <m/>
    <m/>
    <m/>
    <n v="2245.15"/>
    <n v="527.38"/>
    <m/>
    <n v="527.38"/>
    <n v="1"/>
    <x v="2"/>
    <m/>
  </r>
  <r>
    <s v="M1140101"/>
    <x v="29"/>
    <s v="(M11)(M11)100114519"/>
    <x v="28"/>
    <n v="9700023090"/>
    <x v="146"/>
    <x v="0"/>
    <n v="7364.01"/>
    <d v="2026-04-18T00:00:00"/>
    <x v="0"/>
    <n v="7364.01"/>
    <x v="18"/>
    <s v="ACCOR"/>
    <s v="ZM"/>
    <s v="Media Interface"/>
    <m/>
    <s v="STARSCAP_MENA"/>
    <s v="AED"/>
    <n v="27044.33"/>
    <n v="0"/>
    <n v="0"/>
    <n v="0"/>
    <n v="0"/>
    <n v="0"/>
    <n v="0"/>
    <n v="0"/>
    <s v="FAIRMONT WATERFRONT - ALWAYS ON 2026"/>
    <s v="AE8860"/>
    <s v="Publicis Media Executive UAE"/>
    <s v="CA200"/>
    <n v="27044.33"/>
    <n v="6415.76"/>
    <s v="APPROVAL - PROPERTY ALWAYS ON"/>
    <e v="#N/A"/>
    <b v="1"/>
    <x v="0"/>
    <s v="Collected"/>
  </r>
  <r>
    <m/>
    <x v="1"/>
    <m/>
    <x v="28"/>
    <m/>
    <x v="2"/>
    <x v="1"/>
    <n v="7364.01"/>
    <m/>
    <x v="2"/>
    <n v="7364.01"/>
    <x v="2"/>
    <m/>
    <m/>
    <m/>
    <m/>
    <m/>
    <s v="AED"/>
    <n v="27044.33"/>
    <n v="0"/>
    <n v="0"/>
    <n v="0"/>
    <n v="0"/>
    <m/>
    <m/>
    <n v="0"/>
    <m/>
    <m/>
    <m/>
    <m/>
    <n v="27044.33"/>
    <n v="6415.76"/>
    <m/>
    <n v="6415.76"/>
    <n v="1"/>
    <x v="2"/>
    <m/>
  </r>
  <r>
    <s v="M1140101"/>
    <x v="30"/>
    <s v="(M11)(M11)100120310"/>
    <x v="29"/>
    <n v="9700024658"/>
    <x v="147"/>
    <x v="0"/>
    <n v="63806.17"/>
    <d v="2026-04-25T00:00:00"/>
    <x v="0"/>
    <n v="63806.17"/>
    <x v="57"/>
    <s v="ACCOR"/>
    <s v="ZM"/>
    <s v="Media Interface"/>
    <m/>
    <s v="STARSCAP_MENA"/>
    <s v="AED"/>
    <n v="234328.16"/>
    <n v="0"/>
    <n v="0"/>
    <n v="0"/>
    <n v="0"/>
    <n v="0"/>
    <n v="0"/>
    <n v="0"/>
    <s v="Fairmont La Hacienda 2025"/>
    <s v="AE8860"/>
    <s v="Publicis Media Executive UAE"/>
    <s v="CA200"/>
    <n v="234328.16"/>
    <n v="55219.53"/>
    <s v="APPROVAL - PROPERTY + SIGNED PLAN"/>
    <e v="#N/A"/>
    <b v="1"/>
    <x v="5"/>
    <s v="Cleared - AB Linking"/>
  </r>
  <r>
    <s v="M1140101"/>
    <x v="30"/>
    <s v="(M11)(M11)100120310"/>
    <x v="29"/>
    <n v="9700025720"/>
    <x v="148"/>
    <x v="0"/>
    <n v="90000"/>
    <d v="2026-04-26T00:00:00"/>
    <x v="0"/>
    <n v="90000"/>
    <x v="62"/>
    <s v="ACCOR"/>
    <s v="ZM"/>
    <s v="Media Interface"/>
    <m/>
    <s v="STARSCAP_MENA"/>
    <s v="AED"/>
    <n v="330525"/>
    <n v="0"/>
    <n v="0"/>
    <n v="0"/>
    <n v="0"/>
    <n v="0"/>
    <n v="0"/>
    <n v="0"/>
    <s v="Fairmont La Hacienda Costa Del Sol - Paid Searc"/>
    <s v="AE8860"/>
    <s v="Publicis Media Executive UAE"/>
    <s v="CA200"/>
    <n v="330525"/>
    <n v="77773.94"/>
    <e v="#N/A"/>
    <e v="#N/A"/>
    <b v="1"/>
    <x v="0"/>
    <s v="Collected"/>
  </r>
  <r>
    <s v="M1140101"/>
    <x v="30"/>
    <s v="(M11)(M11)100120310"/>
    <x v="29"/>
    <n v="9700025739"/>
    <x v="149"/>
    <x v="0"/>
    <n v="2892.52"/>
    <d v="2026-04-29T00:00:00"/>
    <x v="1"/>
    <n v="2892.52"/>
    <x v="1"/>
    <s v="ACCOR"/>
    <s v="ZM"/>
    <s v="Media Interface"/>
    <m/>
    <s v="STARSCAP_MENA"/>
    <s v="AED"/>
    <n v="10622.78"/>
    <n v="0"/>
    <n v="0"/>
    <n v="0"/>
    <n v="0"/>
    <n v="0"/>
    <n v="0"/>
    <n v="0"/>
    <s v="FAIRMONT LA HACIENDA COSTA DEL SOL ALWAYS ON 20"/>
    <s v="AE8860"/>
    <s v="Publicis Media Executive UAE"/>
    <s v="CA200"/>
    <n v="10622.78"/>
    <n v="2499.59"/>
    <s v="APPROVAL - PROPERTY ALWAYS ON"/>
    <e v="#N/A"/>
    <b v="0"/>
    <x v="10"/>
    <s v="Client requesting for Clarification on the details of this invoice."/>
  </r>
  <r>
    <m/>
    <x v="1"/>
    <m/>
    <x v="29"/>
    <m/>
    <x v="2"/>
    <x v="1"/>
    <n v="156698.68999999997"/>
    <m/>
    <x v="2"/>
    <n v="156698.68999999997"/>
    <x v="2"/>
    <m/>
    <m/>
    <m/>
    <m/>
    <m/>
    <s v="AED"/>
    <n v="575475.93999999994"/>
    <n v="0"/>
    <n v="0"/>
    <n v="0"/>
    <n v="0"/>
    <m/>
    <m/>
    <n v="0"/>
    <m/>
    <m/>
    <m/>
    <m/>
    <n v="575475.93999999994"/>
    <n v="135493.06"/>
    <m/>
    <n v="132993.47"/>
    <n v="0.9815408795057573"/>
    <x v="2"/>
    <m/>
  </r>
  <r>
    <s v="M1140101"/>
    <x v="31"/>
    <s v="(M11)(M11)100108769"/>
    <x v="30"/>
    <n v="9700023242"/>
    <x v="150"/>
    <x v="0"/>
    <n v="3744.96"/>
    <d v="2026-04-18T00:00:00"/>
    <x v="0"/>
    <n v="3744.96"/>
    <x v="18"/>
    <s v="ACCOR"/>
    <s v="ZM"/>
    <s v="Media Interface"/>
    <m/>
    <s v="STARSCAP_MENA"/>
    <s v="AED"/>
    <n v="13753.37"/>
    <n v="0"/>
    <n v="0"/>
    <n v="0"/>
    <n v="0"/>
    <n v="0"/>
    <n v="0"/>
    <n v="0"/>
    <s v="Fairmont Grand Del Mar Tactical"/>
    <s v="AE8860"/>
    <s v="Publicis Media Executive UAE"/>
    <s v="CA200"/>
    <n v="13753.37"/>
    <n v="3262.73"/>
    <s v="EMAIL APPROVAL - GRAND DEL MAR TACTICAL 2025"/>
    <e v="#N/A"/>
    <b v="1"/>
    <x v="0"/>
    <s v="Collected"/>
  </r>
  <r>
    <s v="M1140101"/>
    <x v="31"/>
    <s v="(M11)(M11)100108769"/>
    <x v="30"/>
    <n v="9700025714"/>
    <x v="151"/>
    <x v="0"/>
    <n v="4250.62"/>
    <d v="2026-04-29T00:00:00"/>
    <x v="1"/>
    <n v="4250.62"/>
    <x v="1"/>
    <s v="ACCOR"/>
    <s v="ZM"/>
    <s v="Media Interface"/>
    <m/>
    <s v="STARSCAP_MENA"/>
    <s v="AED"/>
    <n v="15610.4"/>
    <n v="0"/>
    <n v="0"/>
    <n v="0"/>
    <n v="0"/>
    <n v="0"/>
    <n v="0"/>
    <n v="0"/>
    <s v="FAIRMONT GRAND DEL MAR -ALWAYS ON 2026"/>
    <s v="AE8860"/>
    <s v="Publicis Media Executive UAE"/>
    <s v="CA200"/>
    <n v="15610.4"/>
    <n v="3673.19"/>
    <s v="APPROVAL - PROPERTY ALWAYS ON"/>
    <e v="#N/A"/>
    <b v="1"/>
    <x v="0"/>
    <s v="Collected"/>
  </r>
  <r>
    <m/>
    <x v="1"/>
    <m/>
    <x v="30"/>
    <m/>
    <x v="2"/>
    <x v="1"/>
    <n v="7995.58"/>
    <m/>
    <x v="2"/>
    <n v="7995.58"/>
    <x v="2"/>
    <m/>
    <m/>
    <m/>
    <m/>
    <m/>
    <s v="AED"/>
    <n v="29363.77"/>
    <n v="0"/>
    <n v="0"/>
    <n v="0"/>
    <n v="0"/>
    <m/>
    <m/>
    <n v="0"/>
    <m/>
    <m/>
    <m/>
    <m/>
    <n v="29363.77"/>
    <n v="6935.92"/>
    <m/>
    <n v="6935.92"/>
    <n v="1"/>
    <x v="2"/>
    <m/>
  </r>
  <r>
    <s v="M1140101"/>
    <x v="32"/>
    <s v="(M11)(M11)100115215"/>
    <x v="31"/>
    <n v="9700018675"/>
    <x v="152"/>
    <x v="0"/>
    <n v="10472.69"/>
    <d v="2026-04-03T00:00:00"/>
    <x v="0"/>
    <n v="10472.69"/>
    <x v="0"/>
    <s v="ACCOR"/>
    <s v="ZM"/>
    <s v="Media Interface"/>
    <m/>
    <s v="STARSCAP_MENA"/>
    <s v="AED"/>
    <n v="38460.949999999997"/>
    <n v="0"/>
    <n v="0"/>
    <n v="0"/>
    <n v="0"/>
    <n v="0"/>
    <n v="0"/>
    <n v="0"/>
    <s v="FAIRMONT LE CHATEAU FRONTENAC ALWAYS ON 2026"/>
    <s v="AE8860"/>
    <s v="Publicis Media Executive UAE"/>
    <s v="CA200"/>
    <n v="38460.949999999997"/>
    <n v="8871.4"/>
    <s v="EMAIL APPROVAL - PROPERTY LEVEL"/>
    <e v="#N/A"/>
    <b v="1"/>
    <x v="0"/>
    <s v="Collected"/>
  </r>
  <r>
    <m/>
    <x v="1"/>
    <m/>
    <x v="31"/>
    <m/>
    <x v="2"/>
    <x v="1"/>
    <n v="10472.69"/>
    <m/>
    <x v="2"/>
    <n v="10472.69"/>
    <x v="2"/>
    <m/>
    <m/>
    <m/>
    <m/>
    <m/>
    <s v="AED"/>
    <n v="38460.949999999997"/>
    <n v="0"/>
    <n v="0"/>
    <n v="0"/>
    <n v="0"/>
    <m/>
    <m/>
    <n v="0"/>
    <m/>
    <m/>
    <m/>
    <m/>
    <n v="38460.949999999997"/>
    <n v="8871.4"/>
    <m/>
    <n v="8871.4"/>
    <n v="1"/>
    <x v="2"/>
    <m/>
  </r>
  <r>
    <s v="M1140101"/>
    <x v="33"/>
    <s v="(M11)(M11)100120687"/>
    <x v="32"/>
    <n v="9700006502"/>
    <x v="153"/>
    <x v="0"/>
    <n v="60000"/>
    <d v="2026-02-21T00:00:00"/>
    <x v="3"/>
    <n v="60000"/>
    <x v="3"/>
    <s v="ACCOR"/>
    <s v="ZM"/>
    <s v="Media Interface"/>
    <m/>
    <s v="STARSCAP_MENA"/>
    <s v="AED"/>
    <n v="0"/>
    <n v="0"/>
    <n v="220350"/>
    <n v="0"/>
    <n v="0"/>
    <n v="0"/>
    <n v="220350"/>
    <n v="0"/>
    <s v="FAIRMONT HANOI"/>
    <s v="AE8860"/>
    <s v="Publicis Media Executive UAE"/>
    <s v="CA200"/>
    <n v="220350"/>
    <n v="51111.68"/>
    <e v="#N/A"/>
    <s v="Delay due to late invoice sharing (incl. tax and address) on 02/10; on 10/03 client proposed 50% payment as campaign has not started and contract remains pending."/>
    <b v="0"/>
    <x v="4"/>
    <s v="Delay due to late invoice sharing (including tax and address) on 02/10. On 10/03, the client proposed a 50% payment as the campaign had not started and the contract was still pending. On 07/04, the client requested the contract and advised it was not available to date, asking for any required details or documents to proceed with payment. On 13/04, the client forwarded the PO form; signed and returned to the client on the same day. Currently chasing the client for an update."/>
  </r>
  <r>
    <s v="M1140101"/>
    <x v="33"/>
    <s v="(M11)(M11)100120687"/>
    <x v="32"/>
    <n v="9700022672"/>
    <x v="154"/>
    <x v="0"/>
    <n v="125.35"/>
    <d v="2026-04-16T00:00:00"/>
    <x v="0"/>
    <n v="125.35"/>
    <x v="50"/>
    <s v="ACCOR"/>
    <s v="ZM"/>
    <s v="Media Interface"/>
    <m/>
    <s v="STARSCAP_MENA"/>
    <s v="AED"/>
    <n v="460.35"/>
    <n v="0"/>
    <n v="0"/>
    <n v="0"/>
    <n v="0"/>
    <n v="0"/>
    <n v="0"/>
    <n v="0"/>
    <s v="FAIRMONT HANOI ALWAYS ON 2025"/>
    <s v="AE8860"/>
    <s v="Publicis Media Executive UAE"/>
    <s v="CA200"/>
    <n v="460.35"/>
    <n v="109.23"/>
    <s v="APPROVAL - PROPERTY ALWAYS ON"/>
    <e v="#N/A"/>
    <b v="0"/>
    <x v="8"/>
    <s v="Client request contract on 7/04 inform still in progress and loop Ops Team for support. Copy of Contract shared on 22/4 and still Pending in Agency side for signature."/>
  </r>
  <r>
    <m/>
    <x v="1"/>
    <m/>
    <x v="32"/>
    <m/>
    <x v="2"/>
    <x v="1"/>
    <n v="60125.35"/>
    <m/>
    <x v="2"/>
    <n v="60125.35"/>
    <x v="2"/>
    <m/>
    <m/>
    <m/>
    <m/>
    <m/>
    <s v="AED"/>
    <n v="460.35"/>
    <n v="0"/>
    <n v="220350"/>
    <n v="0"/>
    <n v="0"/>
    <m/>
    <m/>
    <n v="0"/>
    <m/>
    <m/>
    <m/>
    <m/>
    <n v="220810.35"/>
    <n v="51220.91"/>
    <m/>
    <n v="0"/>
    <n v="0"/>
    <x v="2"/>
    <m/>
  </r>
  <r>
    <s v="M1140101"/>
    <x v="34"/>
    <s v="(M11)(M11)100115001"/>
    <x v="33"/>
    <n v="9700022648"/>
    <x v="155"/>
    <x v="0"/>
    <n v="1348.6"/>
    <d v="2026-04-16T00:00:00"/>
    <x v="0"/>
    <n v="1348.6"/>
    <x v="50"/>
    <s v="ACCOR"/>
    <s v="ZM"/>
    <s v="Media Interface"/>
    <m/>
    <s v="STARSCAP_MENA"/>
    <s v="AED"/>
    <n v="4952.7299999999996"/>
    <n v="0"/>
    <n v="0"/>
    <n v="0"/>
    <n v="0"/>
    <n v="0"/>
    <n v="0"/>
    <n v="0"/>
    <s v="FAIRMONT WINDSOR PARK - ALWAYS ON 2026"/>
    <s v="AE8860"/>
    <s v="Publicis Media Executive UAE"/>
    <s v="CA200"/>
    <n v="4952.7299999999996"/>
    <n v="1175.1500000000001"/>
    <s v="APPROVAL - PROPERTY ALWAYS ON"/>
    <e v="#N/A"/>
    <b v="1"/>
    <x v="0"/>
    <s v="Collected"/>
  </r>
  <r>
    <s v="M1140101"/>
    <x v="34"/>
    <s v="(M11)(M11)100115001"/>
    <x v="33"/>
    <n v="9700025732"/>
    <x v="156"/>
    <x v="0"/>
    <n v="1320.18"/>
    <d v="2026-04-29T00:00:00"/>
    <x v="1"/>
    <n v="1320.18"/>
    <x v="1"/>
    <s v="ACCOR"/>
    <s v="ZM"/>
    <s v="Media Interface"/>
    <m/>
    <s v="STARSCAP_MENA"/>
    <s v="AED"/>
    <n v="4848.3599999999997"/>
    <n v="0"/>
    <n v="0"/>
    <n v="0"/>
    <n v="0"/>
    <n v="0"/>
    <n v="0"/>
    <n v="0"/>
    <s v="FAIRMONT WINDSOR PARK - ALWAYS ON 2026"/>
    <s v="AE8860"/>
    <s v="Publicis Media Executive UAE"/>
    <s v="CA200"/>
    <n v="4848.3599999999997"/>
    <n v="1140.8399999999999"/>
    <s v="APPROVAL - PROPERTY ALWAYS ON"/>
    <e v="#N/A"/>
    <b v="0"/>
    <x v="4"/>
    <s v="Chasing Client for Payment Timeline"/>
  </r>
  <r>
    <m/>
    <x v="1"/>
    <m/>
    <x v="33"/>
    <m/>
    <x v="2"/>
    <x v="1"/>
    <n v="2668.7799999999997"/>
    <m/>
    <x v="2"/>
    <n v="2668.7799999999997"/>
    <x v="2"/>
    <m/>
    <m/>
    <m/>
    <m/>
    <m/>
    <s v="AED"/>
    <n v="9801.09"/>
    <n v="0"/>
    <n v="0"/>
    <n v="0"/>
    <n v="0"/>
    <m/>
    <m/>
    <n v="0"/>
    <m/>
    <m/>
    <m/>
    <m/>
    <n v="9801.09"/>
    <n v="2315.9899999999998"/>
    <m/>
    <n v="1175.1500000000001"/>
    <n v="0.50532453030972957"/>
    <x v="2"/>
    <m/>
  </r>
  <r>
    <s v="M1140101"/>
    <x v="35"/>
    <s v="(M11)(M11)100108363"/>
    <x v="34"/>
    <n v="9700017638"/>
    <x v="157"/>
    <x v="0"/>
    <n v="800.22"/>
    <d v="2026-03-28T00:00:00"/>
    <x v="0"/>
    <n v="800.22"/>
    <x v="38"/>
    <s v="ACCOR"/>
    <s v="ZM"/>
    <s v="Media Interface"/>
    <m/>
    <s v="STARSCAP_MENA"/>
    <s v="AED"/>
    <n v="0"/>
    <n v="2938.81"/>
    <n v="0"/>
    <n v="0"/>
    <n v="0"/>
    <n v="0"/>
    <n v="2938.81"/>
    <n v="0"/>
    <s v="FAIRMONT DUBAI ALWAYS ON CAMPAIGN 2026"/>
    <s v="AE8860"/>
    <s v="Publicis Media Executive UAE"/>
    <s v="CA200"/>
    <n v="2938.81"/>
    <n v="680.05"/>
    <s v="APPROVAL - PROPERTY ALWAYS ON"/>
    <s v="Chasing Client for Payment Timeline"/>
    <b v="1"/>
    <x v="0"/>
    <s v="Collected"/>
  </r>
  <r>
    <s v="M1140101"/>
    <x v="35"/>
    <s v="(M11)(M11)100108363"/>
    <x v="34"/>
    <n v="9700026231"/>
    <x v="158"/>
    <x v="2"/>
    <n v="38451.89"/>
    <d v="2026-04-29T00:00:00"/>
    <x v="1"/>
    <n v="38451.89"/>
    <x v="1"/>
    <s v="ACCOR"/>
    <s v="ZM"/>
    <s v="Media Interface"/>
    <m/>
    <s v="STARSCAP_MENA"/>
    <s v="AED"/>
    <n v="38451.89"/>
    <n v="0"/>
    <n v="0"/>
    <n v="0"/>
    <n v="0"/>
    <n v="0"/>
    <n v="0"/>
    <n v="0"/>
    <s v="Fairmont Dubai winter support campaign"/>
    <s v="AE8860"/>
    <s v="Publicis Media Executive UAE"/>
    <s v="CA200"/>
    <n v="38451.89"/>
    <n v="9031.06"/>
    <s v="76360199911418TLKSPR"/>
    <e v="#N/A"/>
    <b v="0"/>
    <x v="4"/>
    <s v="Chasing Client for Payment Timeline"/>
  </r>
  <r>
    <m/>
    <x v="1"/>
    <m/>
    <x v="34"/>
    <m/>
    <x v="2"/>
    <x v="1"/>
    <n v="39252.11"/>
    <m/>
    <x v="2"/>
    <n v="39252.11"/>
    <x v="2"/>
    <m/>
    <m/>
    <m/>
    <m/>
    <m/>
    <s v="AED"/>
    <n v="38451.89"/>
    <n v="2938.81"/>
    <n v="0"/>
    <n v="0"/>
    <n v="0"/>
    <m/>
    <m/>
    <n v="0"/>
    <m/>
    <m/>
    <m/>
    <m/>
    <n v="41390.699999999997"/>
    <n v="9711.11"/>
    <m/>
    <n v="680.05"/>
    <n v="2.0386674754554596E-2"/>
    <x v="2"/>
    <m/>
  </r>
  <r>
    <s v="M1140101"/>
    <x v="36"/>
    <s v="(M11)(M11)100117719"/>
    <x v="35"/>
    <n v="9700023066"/>
    <x v="159"/>
    <x v="0"/>
    <n v="8127.08"/>
    <d v="2026-04-17T00:00:00"/>
    <x v="0"/>
    <n v="8127.08"/>
    <x v="53"/>
    <s v="ACCOR"/>
    <s v="ZM"/>
    <s v="Media Interface"/>
    <m/>
    <s v="STARSCAP_MENA"/>
    <s v="AED"/>
    <n v="29846.7"/>
    <n v="0"/>
    <n v="0"/>
    <n v="0"/>
    <n v="0"/>
    <n v="0"/>
    <n v="0"/>
    <n v="0"/>
    <s v="FAIRMONT HAMILTON PRINCESS TACTICAL 2025"/>
    <s v="AE8860"/>
    <s v="Publicis Media Executive UAE"/>
    <s v="CA200"/>
    <n v="29846.7"/>
    <n v="7080.57"/>
    <s v="HAMILTON PRINCESS TACTICAL 2025 - EMAIL APPROVAL"/>
    <e v="#N/A"/>
    <b v="0"/>
    <x v="4"/>
    <s v="Chasing Client for Payment Timeline"/>
  </r>
  <r>
    <s v="M1140101"/>
    <x v="36"/>
    <s v="(M11)(M11)100117719"/>
    <x v="35"/>
    <n v="9700023067"/>
    <x v="160"/>
    <x v="0"/>
    <n v="6995.9"/>
    <d v="2026-04-17T00:00:00"/>
    <x v="0"/>
    <n v="6995.9"/>
    <x v="53"/>
    <s v="ACCOR"/>
    <s v="ZM"/>
    <s v="Media Interface"/>
    <m/>
    <s v="STARSCAP_MENA"/>
    <s v="AED"/>
    <n v="25692.44"/>
    <n v="0"/>
    <n v="0"/>
    <n v="0"/>
    <n v="0"/>
    <n v="0"/>
    <n v="0"/>
    <n v="0"/>
    <s v="FAIRMONT HAMILTON PRINCESS WEDDING TACTICAL 202"/>
    <s v="AE8860"/>
    <s v="Publicis Media Executive UAE"/>
    <s v="CA200"/>
    <n v="25692.44"/>
    <n v="6095.05"/>
    <s v="EMAIL APPROVAL - HAMILTON WEDDING TACTICAL 2025"/>
    <e v="#N/A"/>
    <b v="0"/>
    <x v="4"/>
    <s v="Chasing Client for Payment Timeline"/>
  </r>
  <r>
    <s v="M1140101"/>
    <x v="36"/>
    <s v="(M11)(M11)100117719"/>
    <x v="35"/>
    <n v="9700023091"/>
    <x v="161"/>
    <x v="0"/>
    <n v="7823.2"/>
    <d v="2026-04-18T00:00:00"/>
    <x v="0"/>
    <n v="7823.2"/>
    <x v="18"/>
    <s v="ACCOR"/>
    <s v="ZM"/>
    <s v="Media Interface"/>
    <m/>
    <s v="STARSCAP_MENA"/>
    <s v="AED"/>
    <n v="28730.7"/>
    <n v="0"/>
    <n v="0"/>
    <n v="0"/>
    <n v="0"/>
    <n v="0"/>
    <n v="0"/>
    <n v="0"/>
    <s v="FAIRMONT HAMILTON PRINCESS AND BEACH CLUB - ALW"/>
    <s v="AE8860"/>
    <s v="Publicis Media Executive UAE"/>
    <s v="CA200"/>
    <n v="28730.7"/>
    <n v="6815.82"/>
    <s v="APPROVAL - PROPERTY ALWAYS ON"/>
    <e v="#N/A"/>
    <b v="0"/>
    <x v="4"/>
    <s v="Chasing Client for Payment Timeline"/>
  </r>
  <r>
    <s v="M1140101"/>
    <x v="36"/>
    <s v="(M11)(M11)100117719"/>
    <x v="35"/>
    <n v="9700025749"/>
    <x v="162"/>
    <x v="0"/>
    <n v="7767.51"/>
    <d v="2026-04-29T00:00:00"/>
    <x v="1"/>
    <n v="7767.51"/>
    <x v="1"/>
    <s v="ACCOR"/>
    <s v="ZM"/>
    <s v="Media Interface"/>
    <m/>
    <s v="STARSCAP_MENA"/>
    <s v="AED"/>
    <n v="28526.18"/>
    <n v="0"/>
    <n v="0"/>
    <n v="0"/>
    <n v="0"/>
    <n v="0"/>
    <n v="0"/>
    <n v="0"/>
    <s v="FAIRMONT HAMILTON PRINCESS AND BEACH CLUB - ALW"/>
    <s v="AE8860"/>
    <s v="Publicis Media Executive UAE"/>
    <s v="CA200"/>
    <n v="28526.18"/>
    <n v="6712.33"/>
    <s v="APPROVAL - PROPERTY ALWAYS ON"/>
    <e v="#N/A"/>
    <b v="0"/>
    <x v="4"/>
    <s v="Chasing Client for Payment Timeline"/>
  </r>
  <r>
    <m/>
    <x v="1"/>
    <m/>
    <x v="35"/>
    <m/>
    <x v="2"/>
    <x v="1"/>
    <n v="30713.690000000002"/>
    <m/>
    <x v="2"/>
    <n v="30713.690000000002"/>
    <x v="2"/>
    <m/>
    <m/>
    <m/>
    <m/>
    <m/>
    <s v="AED"/>
    <n v="112796.02"/>
    <n v="0"/>
    <n v="0"/>
    <n v="0"/>
    <n v="0"/>
    <m/>
    <m/>
    <n v="0"/>
    <m/>
    <m/>
    <m/>
    <m/>
    <n v="112796.02"/>
    <n v="26703.77"/>
    <m/>
    <n v="0"/>
    <n v="0"/>
    <x v="2"/>
    <m/>
  </r>
  <r>
    <s v="M1140101"/>
    <x v="37"/>
    <s v="(M11)(M11)100108744"/>
    <x v="36"/>
    <n v="9700002863"/>
    <x v="163"/>
    <x v="0"/>
    <n v="161.34"/>
    <d v="2026-02-14T00:00:00"/>
    <x v="3"/>
    <n v="161.34"/>
    <x v="26"/>
    <s v="ACCOR"/>
    <s v="ZM"/>
    <s v="Media Interface"/>
    <m/>
    <s v="STARSCAP_MENA"/>
    <s v="AED"/>
    <n v="0"/>
    <n v="0"/>
    <n v="592.52"/>
    <n v="0"/>
    <n v="0"/>
    <n v="0"/>
    <n v="592.52"/>
    <n v="0"/>
    <s v="FAIRMONT AJMAN - ALWAYS ON 2025"/>
    <s v="AE8860"/>
    <s v="Publicis Media Executive UAE"/>
    <s v="CA200"/>
    <n v="592.52"/>
    <n v="138.44"/>
    <s v="APPROVAL - PROPERTY ALWAYS ON"/>
    <s v="Pending Contract, WIP as per Hadi(Agency) on 12/8 - still chasing for an update internally."/>
    <b v="0"/>
    <x v="8"/>
    <s v="Pending Contract, WIP as per Hadi(Agency) on 12/8 - still chasing for an update internally."/>
  </r>
  <r>
    <s v="M1140101"/>
    <x v="37"/>
    <s v="(M11)(M11)100108744"/>
    <x v="36"/>
    <n v="9700003844"/>
    <x v="164"/>
    <x v="0"/>
    <n v="162.91"/>
    <d v="2026-02-18T00:00:00"/>
    <x v="3"/>
    <n v="162.91"/>
    <x v="17"/>
    <s v="ACCOR"/>
    <s v="ZM"/>
    <s v="Media Interface"/>
    <m/>
    <s v="STARSCAP_MENA"/>
    <s v="AED"/>
    <n v="0"/>
    <n v="0"/>
    <n v="598.29"/>
    <n v="0"/>
    <n v="0"/>
    <n v="0"/>
    <n v="598.29"/>
    <n v="0"/>
    <s v="FAIRMONT AJMAN - ALWAYS ON 2025"/>
    <s v="AE8860"/>
    <s v="Publicis Media Executive UAE"/>
    <s v="CA200"/>
    <n v="598.29"/>
    <n v="139.82"/>
    <s v="APPROVAL - PROPERTY ALWAYS ON"/>
    <s v="Pending Contract, WIP as per Hadi(Agency) on 12/8 - still chasing for an update internally."/>
    <b v="0"/>
    <x v="8"/>
    <s v="Pending Contract, WIP as per Hadi(Agency) on 12/8 - still chasing for an update internally."/>
  </r>
  <r>
    <s v="M1140101"/>
    <x v="37"/>
    <s v="(M11)(M11)100108744"/>
    <x v="36"/>
    <n v="9700012403"/>
    <x v="165"/>
    <x v="0"/>
    <n v="166.85"/>
    <d v="2025-03-21T00:00:00"/>
    <x v="5"/>
    <n v="166.85"/>
    <x v="68"/>
    <s v="ACCOR"/>
    <s v="ZM"/>
    <s v="Media Interface"/>
    <m/>
    <s v="STARSCAP_MENA"/>
    <s v="AED"/>
    <n v="0"/>
    <n v="0"/>
    <n v="0"/>
    <n v="0"/>
    <n v="0"/>
    <n v="612.76"/>
    <n v="612.76"/>
    <n v="0"/>
    <s v="FAIRMONT_ALWAYS ON_FAIRMONT_Ajman"/>
    <s v="AE8860"/>
    <s v="Publicis Media Executive UAE"/>
    <s v="CA200"/>
    <n v="612.76"/>
    <n v="159.31"/>
    <s v="APPROVAL_PROPERTY LEVEL_SEA_002"/>
    <s v="Pending Contract, WIP as per Hadi(Agency) on 12/8 - still chasing for an update internally."/>
    <b v="0"/>
    <x v="8"/>
    <s v="Pending Contract, WIP as per Hadi(Agency) on 12/8 - still chasing for an update internally."/>
  </r>
  <r>
    <s v="M1140101"/>
    <x v="37"/>
    <s v="(M11)(M11)100108744"/>
    <x v="36"/>
    <n v="9700012404"/>
    <x v="166"/>
    <x v="0"/>
    <n v="90.02"/>
    <d v="2025-03-21T00:00:00"/>
    <x v="5"/>
    <n v="90.02"/>
    <x v="68"/>
    <s v="ACCOR"/>
    <s v="ZM"/>
    <s v="Media Interface"/>
    <m/>
    <s v="STARSCAP_MENA"/>
    <s v="AED"/>
    <n v="0"/>
    <n v="0"/>
    <n v="0"/>
    <n v="0"/>
    <n v="0"/>
    <n v="330.6"/>
    <n v="330.6"/>
    <n v="0"/>
    <s v="FAIRMONT_ALWAYS ON_FAIRMONT Ajman_NON UAE"/>
    <s v="AE8860"/>
    <s v="Publicis Media Executive UAE"/>
    <s v="CA200"/>
    <n v="330.6"/>
    <n v="85.95"/>
    <s v="APPROVAL_PROPERTY LEVEL_SEA_001"/>
    <s v="Pending Contract, WIP as per Hadi(Agency) on 12/8 - still chasing for an update internally."/>
    <b v="0"/>
    <x v="8"/>
    <s v="Pending Contract, WIP as per Hadi(Agency) on 12/8 - still chasing for an update internally."/>
  </r>
  <r>
    <s v="M1140101"/>
    <x v="37"/>
    <s v="(M11)(M11)100108744"/>
    <x v="36"/>
    <n v="9700019168"/>
    <x v="167"/>
    <x v="0"/>
    <n v="180.41"/>
    <d v="2026-04-03T00:00:00"/>
    <x v="0"/>
    <n v="180.41"/>
    <x v="0"/>
    <s v="ACCOR"/>
    <s v="ZM"/>
    <s v="Media Interface"/>
    <m/>
    <s v="STARSCAP_MENA"/>
    <s v="AED"/>
    <n v="662.56"/>
    <n v="0"/>
    <n v="0"/>
    <n v="0"/>
    <n v="0"/>
    <n v="0"/>
    <n v="0"/>
    <n v="0"/>
    <s v="FAIRMONT AJMAN ALWAYS ON 2026"/>
    <s v="AE8860"/>
    <s v="Publicis Media Executive UAE"/>
    <s v="CA200"/>
    <n v="662.56"/>
    <n v="154.22"/>
    <s v="APPROVAL - PROPERTY ALWAYS ON"/>
    <e v="#N/A"/>
    <b v="0"/>
    <x v="8"/>
    <s v="Pending Contract, WIP as per Hadi(Agency) on 12/8 - still chasing for an update internally."/>
  </r>
  <r>
    <s v="M1140101"/>
    <x v="37"/>
    <s v="(M11)(M11)100108744"/>
    <x v="36"/>
    <n v="9700024343"/>
    <x v="168"/>
    <x v="0"/>
    <n v="165.31"/>
    <d v="2026-04-22T00:00:00"/>
    <x v="0"/>
    <n v="165.31"/>
    <x v="5"/>
    <s v="ACCOR"/>
    <s v="ZM"/>
    <s v="Media Interface"/>
    <m/>
    <s v="STARSCAP_MENA"/>
    <s v="AED"/>
    <n v="607.1"/>
    <n v="0"/>
    <n v="0"/>
    <n v="0"/>
    <n v="0"/>
    <n v="0"/>
    <n v="0"/>
    <n v="0"/>
    <s v="FAIRMONT AJMAN - ALWAYS ON 2025"/>
    <s v="AE8860"/>
    <s v="Publicis Media Executive UAE"/>
    <s v="CA200"/>
    <n v="607.1"/>
    <n v="143.06"/>
    <s v="APPROVAL - PROPERTY ALWAYS ON"/>
    <e v="#N/A"/>
    <b v="0"/>
    <x v="8"/>
    <s v="Pending Contract, WIP as per Hadi(Agency) on 12/8 - still chasing for an update internally."/>
  </r>
  <r>
    <s v="M1140101"/>
    <x v="37"/>
    <s v="(M11)(M11)100108744"/>
    <x v="36"/>
    <n v="9700025427"/>
    <x v="169"/>
    <x v="0"/>
    <n v="236.78"/>
    <d v="2025-05-16T00:00:00"/>
    <x v="5"/>
    <n v="236.78"/>
    <x v="46"/>
    <s v="ACCOR"/>
    <s v="ZM"/>
    <s v="Media Interface"/>
    <m/>
    <s v="STARSCAP_MENA"/>
    <s v="AED"/>
    <n v="0"/>
    <n v="0"/>
    <n v="0"/>
    <n v="0"/>
    <n v="0"/>
    <n v="869.57"/>
    <n v="869.57"/>
    <n v="0"/>
    <s v="FAIRMONT AJMAN - ALWAYS ON 2025"/>
    <s v="AE8860"/>
    <s v="Publicis Media Executive UAE"/>
    <s v="CA200"/>
    <n v="869.57"/>
    <n v="208.69"/>
    <s v="APPROVAL - PROPERTY ALWAYS ON"/>
    <s v="Pending Contract, WIP as per Hadi(Agency) on 12/8 - still chasing for an update internally."/>
    <b v="0"/>
    <x v="8"/>
    <s v="Pending Contract, WIP as per Hadi(Agency) on 12/8 - still chasing for an update internally."/>
  </r>
  <r>
    <s v="M1140101"/>
    <x v="37"/>
    <s v="(M11)(M11)100108744"/>
    <x v="36"/>
    <n v="9700025738"/>
    <x v="170"/>
    <x v="0"/>
    <n v="172.75"/>
    <d v="2026-04-29T00:00:00"/>
    <x v="1"/>
    <n v="172.75"/>
    <x v="1"/>
    <s v="ACCOR"/>
    <s v="ZM"/>
    <s v="Media Interface"/>
    <m/>
    <s v="STARSCAP_MENA"/>
    <s v="AED"/>
    <n v="634.41999999999996"/>
    <n v="0"/>
    <n v="0"/>
    <n v="0"/>
    <n v="0"/>
    <n v="0"/>
    <n v="0"/>
    <n v="0"/>
    <s v="FAIRMONT AJMAN ALWAYS ON 2026"/>
    <s v="AE8860"/>
    <s v="Publicis Media Executive UAE"/>
    <s v="CA200"/>
    <n v="634.41999999999996"/>
    <n v="149.28"/>
    <s v="APPROVAL - PROPERTY ALWAYS ON"/>
    <e v="#N/A"/>
    <b v="0"/>
    <x v="8"/>
    <s v="Pending Contract, WIP as per Hadi(Agency) on 12/8 - still chasing for an update internally."/>
  </r>
  <r>
    <s v="M1140101"/>
    <x v="37"/>
    <s v="(M11)(M11)100108744"/>
    <x v="36"/>
    <n v="9700034312"/>
    <x v="171"/>
    <x v="0"/>
    <n v="135.93"/>
    <d v="2025-06-19T00:00:00"/>
    <x v="5"/>
    <n v="135.93"/>
    <x v="29"/>
    <s v="ACCOR"/>
    <s v="ZM"/>
    <s v="Media Interface"/>
    <m/>
    <s v="STARSCAP_MENA"/>
    <s v="AED"/>
    <n v="0"/>
    <n v="0"/>
    <n v="0"/>
    <n v="0"/>
    <n v="0"/>
    <n v="499.2"/>
    <n v="499.2"/>
    <n v="0"/>
    <s v="FAIRMONT AJMAN - ALWAYS ON 2025"/>
    <s v="AE8860"/>
    <s v="Publicis Media Executive UAE"/>
    <s v="CA200"/>
    <n v="499.2"/>
    <n v="121.53"/>
    <s v="APPROVAL - PROPERTY ALWAYS ON"/>
    <s v="Pending Contract, WIP as per Hadi(Agency) on 12/8 - still chasing for an update internally."/>
    <b v="0"/>
    <x v="8"/>
    <s v="Pending Contract, WIP as per Hadi(Agency) on 12/8 - still chasing for an update internally."/>
  </r>
  <r>
    <s v="M1140101"/>
    <x v="37"/>
    <s v="(M11)(M11)100108744"/>
    <x v="36"/>
    <n v="9700034916"/>
    <x v="172"/>
    <x v="0"/>
    <n v="158.06"/>
    <d v="2025-06-21T00:00:00"/>
    <x v="5"/>
    <n v="158.06"/>
    <x v="47"/>
    <s v="ACCOR"/>
    <s v="ZM"/>
    <s v="Media Interface"/>
    <m/>
    <s v="STARSCAP_MENA"/>
    <s v="AED"/>
    <n v="0"/>
    <n v="0"/>
    <n v="0"/>
    <n v="0"/>
    <n v="0"/>
    <n v="580.48"/>
    <n v="580.48"/>
    <n v="0"/>
    <s v="FAIRMONT AJMAN - ALWAYS ON 2025"/>
    <s v="AE8860"/>
    <s v="Publicis Media Executive UAE"/>
    <s v="CA200"/>
    <n v="580.48"/>
    <n v="141.19999999999999"/>
    <s v="APPROVAL - PROPERTY ALWAYS ON"/>
    <s v="Pending Contract, WIP as per Hadi(Agency) on 12/8 - still chasing for an update internally."/>
    <b v="0"/>
    <x v="8"/>
    <s v="Pending Contract, WIP as per Hadi(Agency) on 12/8 - still chasing for an update internally."/>
  </r>
  <r>
    <s v="M1140101"/>
    <x v="37"/>
    <s v="(M11)(M11)100108744"/>
    <x v="36"/>
    <n v="9700041208"/>
    <x v="173"/>
    <x v="0"/>
    <n v="156.13999999999999"/>
    <d v="2025-07-19T00:00:00"/>
    <x v="5"/>
    <n v="156.13999999999999"/>
    <x v="66"/>
    <s v="ACCOR"/>
    <s v="ZM"/>
    <s v="Media Interface"/>
    <m/>
    <s v="STARSCAP_MENA"/>
    <s v="AED"/>
    <n v="0"/>
    <n v="0"/>
    <n v="0"/>
    <n v="0"/>
    <n v="0"/>
    <n v="573.41999999999996"/>
    <n v="573.41999999999996"/>
    <n v="0"/>
    <s v="FAIRMONT AJMAN - ALWAYS ON 2025"/>
    <s v="AE8860"/>
    <s v="Publicis Media Executive UAE"/>
    <s v="CA200"/>
    <n v="573.41999999999996"/>
    <n v="134.91"/>
    <s v="APPROVAL - PROPERTY ALWAYS ON"/>
    <s v="Pending Contract, WIP as per Hadi(Agency) on 12/8 - still chasing for an update internally."/>
    <b v="0"/>
    <x v="8"/>
    <s v="Pending Contract, WIP as per Hadi(Agency) on 12/8 - still chasing for an update internally."/>
  </r>
  <r>
    <s v="M1140101"/>
    <x v="37"/>
    <s v="(M11)(M11)100108744"/>
    <x v="36"/>
    <n v="9700050578"/>
    <x v="174"/>
    <x v="0"/>
    <n v="-112.96"/>
    <d v="2025-08-27T00:00:00"/>
    <x v="5"/>
    <n v="-112.96"/>
    <x v="33"/>
    <s v="ACCOR"/>
    <s v="ZM"/>
    <s v="Media Interface"/>
    <s v="V"/>
    <s v="STARSCAP_MENA"/>
    <s v="AED"/>
    <n v="-414.85"/>
    <n v="0"/>
    <n v="0"/>
    <n v="0"/>
    <n v="0"/>
    <n v="0"/>
    <n v="0"/>
    <n v="0"/>
    <m/>
    <s v="AE8860"/>
    <s v="Publicis Media Executive UAE"/>
    <s v="CA200"/>
    <n v="-414.85"/>
    <n v="-96.09"/>
    <e v="#N/A"/>
    <s v="Pending Contract, WIP as per Hadi(Agency) on 12/8 - still chasing for an update internally."/>
    <b v="0"/>
    <x v="8"/>
    <s v="Pending Contract, WIP as per Hadi(Agency) on 12/8 - still chasing for an update internally."/>
  </r>
  <r>
    <s v="M1140101"/>
    <x v="37"/>
    <s v="(M11)(M11)100108744"/>
    <x v="36"/>
    <n v="9700050799"/>
    <x v="175"/>
    <x v="0"/>
    <n v="145.22999999999999"/>
    <d v="2025-08-27T00:00:00"/>
    <x v="5"/>
    <n v="145.22999999999999"/>
    <x v="33"/>
    <s v="ACCOR"/>
    <s v="ZM"/>
    <s v="Media Interface"/>
    <m/>
    <s v="STARSCAP_MENA"/>
    <s v="AED"/>
    <n v="0"/>
    <n v="0"/>
    <n v="0"/>
    <n v="0"/>
    <n v="0"/>
    <n v="533.36"/>
    <n v="533.36"/>
    <n v="0"/>
    <s v="FAIRMONT AJMAN - ALWAYS ON 2025"/>
    <s v="AE8860"/>
    <s v="Publicis Media Executive UAE"/>
    <s v="CA200"/>
    <n v="533.36"/>
    <n v="123.54"/>
    <s v="APPROVAL - PROPERTY ALWAYS ON"/>
    <s v="Pending Contract, WIP as per Hadi(Agency) on 12/8 - still chasing for an update internally."/>
    <b v="0"/>
    <x v="8"/>
    <s v="Pending Contract, WIP as per Hadi(Agency) on 12/8 - still chasing for an update internally."/>
  </r>
  <r>
    <s v="M1140101"/>
    <x v="37"/>
    <s v="(M11)(M11)100108744"/>
    <x v="36"/>
    <n v="9700064305"/>
    <x v="176"/>
    <x v="0"/>
    <n v="179.98"/>
    <d v="2025-10-19T00:00:00"/>
    <x v="5"/>
    <n v="179.98"/>
    <x v="22"/>
    <s v="ACCOR"/>
    <s v="ZM"/>
    <s v="Media Interface"/>
    <m/>
    <s v="STARSCAP_MENA"/>
    <s v="AED"/>
    <n v="0"/>
    <n v="0"/>
    <n v="0"/>
    <n v="0"/>
    <n v="0"/>
    <n v="660.98"/>
    <n v="660.98"/>
    <n v="0"/>
    <s v="FAIRMONT AJMAN - ALWAYS ON 2025"/>
    <s v="AE8860"/>
    <s v="Publicis Media Executive UAE"/>
    <s v="CA200"/>
    <n v="660.98"/>
    <n v="152.43"/>
    <s v="APPROVAL - PROPERTY ALWAYS ON"/>
    <s v="Pending Contract, WIP as per Hadi(Agency) on 12/8 - still chasing for an update internally."/>
    <b v="0"/>
    <x v="8"/>
    <s v="Pending Contract, WIP as per Hadi(Agency) on 12/8 - still chasing for an update internally."/>
  </r>
  <r>
    <s v="M1140101"/>
    <x v="37"/>
    <s v="(M11)(M11)100108744"/>
    <x v="36"/>
    <n v="9700069979"/>
    <x v="177"/>
    <x v="0"/>
    <n v="180.18"/>
    <d v="2025-11-14T00:00:00"/>
    <x v="5"/>
    <n v="180.18"/>
    <x v="69"/>
    <s v="ACCOR"/>
    <s v="ZM"/>
    <s v="Media Interface"/>
    <m/>
    <s v="STARSCAP_MENA"/>
    <s v="AED"/>
    <n v="0"/>
    <n v="0"/>
    <n v="0"/>
    <n v="0"/>
    <n v="0"/>
    <n v="661.71"/>
    <n v="661.71"/>
    <n v="0"/>
    <s v="FAIRMONT AJMAN - ALWAYS ON 2025"/>
    <s v="AE8860"/>
    <s v="Publicis Media Executive UAE"/>
    <s v="CA200"/>
    <n v="661.71"/>
    <n v="154.97"/>
    <s v="APPROVAL - PROPERTY ALWAYS ON"/>
    <s v="Pending Contract, WIP as per Hadi(Agency) on 12/8 - still chasing for an update internally."/>
    <b v="0"/>
    <x v="8"/>
    <s v="Pending Contract, WIP as per Hadi(Agency) on 12/8 - still chasing for an update internally."/>
  </r>
  <r>
    <s v="M1140101"/>
    <x v="37"/>
    <s v="(M11)(M11)100108744"/>
    <x v="36"/>
    <n v="9700073267"/>
    <x v="178"/>
    <x v="0"/>
    <n v="191.67"/>
    <d v="2024-12-22T00:00:00"/>
    <x v="5"/>
    <n v="191.67"/>
    <x v="70"/>
    <s v="ACCOR"/>
    <s v="ZM"/>
    <s v="Media Interface"/>
    <m/>
    <s v="STARSCAP_MENA"/>
    <s v="AED"/>
    <n v="0"/>
    <n v="0"/>
    <n v="0"/>
    <n v="0"/>
    <n v="0"/>
    <n v="703.91"/>
    <n v="703.91"/>
    <n v="0"/>
    <s v="FAIRMONT_ALWAYS ON_FAIRMONT Ajman_NON UAE"/>
    <s v="AE8860"/>
    <s v="Publicis Media Executive UAE"/>
    <s v="CA200"/>
    <n v="703.91"/>
    <n v="181.2"/>
    <s v="APPROVAL_PROPERTY LEVEL_SEA_001"/>
    <s v="Pending Contract, WIP as per Hadi(Agency) on 12/8 - still chasing for an update internally."/>
    <b v="0"/>
    <x v="8"/>
    <s v="Pending Contract, WIP as per Hadi(Agency) on 12/8 - still chasing for an update internally."/>
  </r>
  <r>
    <s v="M1140101"/>
    <x v="37"/>
    <s v="(M11)(M11)100108744"/>
    <x v="36"/>
    <n v="9700073268"/>
    <x v="179"/>
    <x v="0"/>
    <n v="106.51"/>
    <d v="2024-12-22T00:00:00"/>
    <x v="5"/>
    <n v="106.51"/>
    <x v="70"/>
    <s v="ACCOR"/>
    <s v="ZM"/>
    <s v="Media Interface"/>
    <m/>
    <s v="STARSCAP_MENA"/>
    <s v="AED"/>
    <n v="0"/>
    <n v="0"/>
    <n v="0"/>
    <n v="0"/>
    <n v="0"/>
    <n v="391.16"/>
    <n v="391.16"/>
    <n v="0"/>
    <s v="FAIRMONT_ALWAYS ON_FAIRMONT Ajman_UAE"/>
    <s v="AE8860"/>
    <s v="Publicis Media Executive UAE"/>
    <s v="CA200"/>
    <n v="391.16"/>
    <n v="100.69"/>
    <s v="APPROVAL_PROPERTY LEVEL_SEA_001"/>
    <s v="Pending Contract, WIP as per Hadi(Agency) on 12/8 - still chasing for an update internally."/>
    <b v="0"/>
    <x v="8"/>
    <s v="Pending Contract, WIP as per Hadi(Agency) on 12/8 - still chasing for an update internally."/>
  </r>
  <r>
    <m/>
    <x v="1"/>
    <m/>
    <x v="36"/>
    <m/>
    <x v="2"/>
    <x v="1"/>
    <n v="2477.11"/>
    <m/>
    <x v="2"/>
    <n v="2477.11"/>
    <x v="2"/>
    <m/>
    <m/>
    <m/>
    <m/>
    <m/>
    <s v="AED"/>
    <n v="1489.23"/>
    <n v="0"/>
    <n v="1190.81"/>
    <n v="0"/>
    <n v="0"/>
    <m/>
    <m/>
    <n v="0"/>
    <m/>
    <m/>
    <m/>
    <m/>
    <n v="9097.19"/>
    <n v="2193.15"/>
    <m/>
    <n v="0"/>
    <n v="0"/>
    <x v="2"/>
    <m/>
  </r>
  <r>
    <s v="M1140101"/>
    <x v="38"/>
    <s v="(M11)(M11)100113621"/>
    <x v="37"/>
    <n v="9700023087"/>
    <x v="180"/>
    <x v="0"/>
    <n v="1269.73"/>
    <d v="2026-04-18T00:00:00"/>
    <x v="0"/>
    <n v="1269.73"/>
    <x v="18"/>
    <s v="ACCOR"/>
    <s v="ZM"/>
    <s v="Media Interface"/>
    <m/>
    <s v="STARSCAP_MENA"/>
    <s v="AED"/>
    <n v="4663.08"/>
    <n v="0"/>
    <n v="0"/>
    <n v="0"/>
    <n v="0"/>
    <n v="0"/>
    <n v="0"/>
    <n v="0"/>
    <s v="FAIRMONT LE MONTREUX - ALWAYS ON 2026"/>
    <s v="AE8860"/>
    <s v="Publicis Media Executive UAE"/>
    <s v="CA200"/>
    <n v="4663.08"/>
    <n v="1106.23"/>
    <s v="APPROVAL - PROPERTY ALWAYS ON"/>
    <e v="#N/A"/>
    <b v="1"/>
    <x v="0"/>
    <s v="Collected"/>
  </r>
  <r>
    <s v="M1140101"/>
    <x v="38"/>
    <s v="(M11)(M11)100113621"/>
    <x v="37"/>
    <n v="9700025724"/>
    <x v="181"/>
    <x v="0"/>
    <n v="986.4"/>
    <d v="2026-04-29T00:00:00"/>
    <x v="1"/>
    <n v="986.4"/>
    <x v="1"/>
    <s v="ACCOR"/>
    <s v="ZM"/>
    <s v="Media Interface"/>
    <m/>
    <s v="STARSCAP_MENA"/>
    <s v="AED"/>
    <n v="3622.55"/>
    <n v="0"/>
    <n v="0"/>
    <n v="0"/>
    <n v="0"/>
    <n v="0"/>
    <n v="0"/>
    <n v="0"/>
    <s v="FAIRMONT LE MONTREUX - ALWAYS ON 2026"/>
    <s v="AE8860"/>
    <s v="Publicis Media Executive UAE"/>
    <s v="CA200"/>
    <n v="3622.55"/>
    <n v="852.4"/>
    <s v="APPROVAL - PROPERTY ALWAYS ON"/>
    <e v="#N/A"/>
    <b v="1"/>
    <x v="0"/>
    <s v="Collected"/>
  </r>
  <r>
    <m/>
    <x v="1"/>
    <m/>
    <x v="37"/>
    <m/>
    <x v="2"/>
    <x v="1"/>
    <n v="2256.13"/>
    <m/>
    <x v="2"/>
    <n v="2256.13"/>
    <x v="2"/>
    <m/>
    <m/>
    <m/>
    <m/>
    <m/>
    <s v="AED"/>
    <n v="8285.6299999999992"/>
    <n v="0"/>
    <n v="0"/>
    <n v="0"/>
    <n v="0"/>
    <m/>
    <m/>
    <n v="0"/>
    <m/>
    <m/>
    <m/>
    <m/>
    <n v="8285.6299999999992"/>
    <n v="1958.63"/>
    <m/>
    <n v="1958.63"/>
    <n v="1"/>
    <x v="2"/>
    <m/>
  </r>
  <r>
    <s v="M1140101"/>
    <x v="39"/>
    <s v="(M11)(M11)100113609"/>
    <x v="38"/>
    <n v="9700022629"/>
    <x v="182"/>
    <x v="0"/>
    <n v="1212.29"/>
    <d v="2026-04-16T00:00:00"/>
    <x v="0"/>
    <n v="1212.29"/>
    <x v="50"/>
    <s v="ACCOR"/>
    <s v="ZM"/>
    <s v="Media Interface"/>
    <m/>
    <s v="STARSCAP_MENA"/>
    <s v="AED"/>
    <n v="4452.1400000000003"/>
    <n v="0"/>
    <n v="0"/>
    <n v="0"/>
    <n v="0"/>
    <n v="0"/>
    <n v="0"/>
    <n v="0"/>
    <s v="FAIRMONT HOTEL VIER JAHRESZEITEN - ALWAYS ON  2"/>
    <s v="AE8860"/>
    <s v="Publicis Media Executive UAE"/>
    <s v="CA200"/>
    <n v="4452.1400000000003"/>
    <n v="1056.3699999999999"/>
    <s v="APPROVAL - PROPERTY ALWAYS ON"/>
    <e v="#N/A"/>
    <b v="1"/>
    <x v="0"/>
    <s v="Collected"/>
  </r>
  <r>
    <s v="M1140101"/>
    <x v="39"/>
    <s v="(M11)(M11)100113609"/>
    <x v="38"/>
    <n v="9700025725"/>
    <x v="183"/>
    <x v="0"/>
    <n v="1186.45"/>
    <d v="2026-04-29T00:00:00"/>
    <x v="1"/>
    <n v="1186.45"/>
    <x v="1"/>
    <s v="ACCOR"/>
    <s v="ZM"/>
    <s v="Media Interface"/>
    <m/>
    <s v="STARSCAP_MENA"/>
    <s v="AED"/>
    <n v="4357.24"/>
    <n v="0"/>
    <n v="0"/>
    <n v="0"/>
    <n v="0"/>
    <n v="0"/>
    <n v="0"/>
    <n v="0"/>
    <s v="FAIRMONT HOTEL VIER JAHRESZEITEN - ALWAYS ON  2"/>
    <s v="AE8860"/>
    <s v="Publicis Media Executive UAE"/>
    <s v="CA200"/>
    <n v="4357.24"/>
    <n v="1025.28"/>
    <s v="APPROVAL - PROPERTY ALWAYS ON"/>
    <e v="#N/A"/>
    <b v="1"/>
    <x v="0"/>
    <s v="Collected"/>
  </r>
  <r>
    <m/>
    <x v="1"/>
    <m/>
    <x v="38"/>
    <m/>
    <x v="2"/>
    <x v="1"/>
    <n v="2398.7399999999998"/>
    <m/>
    <x v="2"/>
    <n v="2398.7399999999998"/>
    <x v="2"/>
    <m/>
    <m/>
    <m/>
    <m/>
    <m/>
    <s v="AED"/>
    <n v="8809.3799999999992"/>
    <n v="0"/>
    <n v="0"/>
    <n v="0"/>
    <n v="0"/>
    <m/>
    <m/>
    <n v="0"/>
    <m/>
    <m/>
    <m/>
    <m/>
    <n v="8809.3799999999992"/>
    <n v="2081.65"/>
    <m/>
    <n v="2081.6499999999996"/>
    <n v="1"/>
    <x v="2"/>
    <m/>
  </r>
  <r>
    <s v="M1140101"/>
    <x v="40"/>
    <s v="(M11)(M11)100111598"/>
    <x v="39"/>
    <n v="9700003833"/>
    <x v="184"/>
    <x v="0"/>
    <n v="701.99"/>
    <d v="2026-02-15T00:00:00"/>
    <x v="3"/>
    <n v="701.99"/>
    <x v="16"/>
    <s v="ACCOR"/>
    <s v="ZM"/>
    <s v="Media Interface"/>
    <m/>
    <s v="STARSCAP_MENA"/>
    <s v="AED"/>
    <n v="0"/>
    <n v="0"/>
    <n v="2578.06"/>
    <n v="0"/>
    <n v="0"/>
    <n v="0"/>
    <n v="2578.06"/>
    <n v="0"/>
    <s v="FAIRMONT AMMAN ALWAYS ON 2025"/>
    <s v="AE8860"/>
    <s v="Publicis Media Executive UAE"/>
    <s v="CA200"/>
    <n v="2578.06"/>
    <n v="602.51"/>
    <s v="APPROVAL - PROPERTY ALWAYS ON"/>
    <s v="Delayed due to client’s internal payment approval process; payment expected by March."/>
    <b v="0"/>
    <x v="4"/>
    <s v="Delayed due to client’s internal payment approval process; payment expected by March."/>
  </r>
  <r>
    <s v="M1140101"/>
    <x v="40"/>
    <s v="(M11)(M11)100111598"/>
    <x v="39"/>
    <n v="9700005193"/>
    <x v="185"/>
    <x v="0"/>
    <n v="760.41"/>
    <d v="2026-02-19T00:00:00"/>
    <x v="3"/>
    <n v="760.41"/>
    <x v="71"/>
    <s v="ACCOR"/>
    <s v="ZM"/>
    <s v="Media Interface"/>
    <m/>
    <s v="STARSCAP_MENA"/>
    <s v="AED"/>
    <n v="0"/>
    <n v="0"/>
    <n v="2792.61"/>
    <n v="0"/>
    <n v="0"/>
    <n v="0"/>
    <n v="2792.61"/>
    <n v="0"/>
    <s v="FAIRMONT AMMAN ALWAYS ON 2025"/>
    <s v="AE8860"/>
    <s v="Publicis Media Executive UAE"/>
    <s v="CA200"/>
    <n v="2792.61"/>
    <n v="653.78"/>
    <s v="APPROVAL - PROPERTY ALWAYS ON"/>
    <s v="Delayed due to client’s internal payment approval process; payment expected by March."/>
    <b v="0"/>
    <x v="4"/>
    <s v="Delayed due to client’s internal payment approval process; payment expected by March."/>
  </r>
  <r>
    <s v="M1140101"/>
    <x v="40"/>
    <s v="(M11)(M11)100111598"/>
    <x v="39"/>
    <n v="9700017526"/>
    <x v="186"/>
    <x v="0"/>
    <n v="586"/>
    <d v="2026-03-28T00:00:00"/>
    <x v="0"/>
    <n v="586"/>
    <x v="38"/>
    <s v="ACCOR"/>
    <s v="ZM"/>
    <s v="Media Interface"/>
    <m/>
    <s v="STARSCAP_MENA"/>
    <s v="AED"/>
    <n v="0"/>
    <n v="2152.09"/>
    <n v="0"/>
    <n v="0"/>
    <n v="0"/>
    <n v="0"/>
    <n v="2152.09"/>
    <n v="0"/>
    <s v="FAIRMONT AMMAN ALWAYS ON 2026"/>
    <s v="AE8860"/>
    <s v="Publicis Media Executive UAE"/>
    <s v="CA200"/>
    <n v="2152.09"/>
    <n v="498"/>
    <s v="APPROVAL - PROPERTY ALWAYS ON"/>
    <s v="Chasing Client for Payment timeline."/>
    <b v="0"/>
    <x v="4"/>
    <s v="Chasing Client for Payment timeline."/>
  </r>
  <r>
    <m/>
    <x v="1"/>
    <m/>
    <x v="39"/>
    <m/>
    <x v="2"/>
    <x v="1"/>
    <n v="2048.4"/>
    <m/>
    <x v="2"/>
    <n v="2048.4"/>
    <x v="2"/>
    <m/>
    <m/>
    <m/>
    <m/>
    <m/>
    <s v="AED"/>
    <n v="0"/>
    <n v="2152.09"/>
    <n v="5370.67"/>
    <n v="0"/>
    <n v="0"/>
    <m/>
    <m/>
    <n v="0"/>
    <m/>
    <m/>
    <m/>
    <m/>
    <n v="7522.76"/>
    <n v="1754.29"/>
    <m/>
    <n v="0"/>
    <n v="0"/>
    <x v="2"/>
    <m/>
  </r>
  <r>
    <s v="M1140101"/>
    <x v="41"/>
    <s v="(M11)(M11)100114717"/>
    <x v="40"/>
    <n v="9700022725"/>
    <x v="187"/>
    <x v="0"/>
    <n v="10229.540000000001"/>
    <d v="2026-04-18T00:00:00"/>
    <x v="0"/>
    <n v="10229.540000000001"/>
    <x v="18"/>
    <s v="ACCOR"/>
    <s v="ZM"/>
    <s v="Media Interface"/>
    <m/>
    <s v="STARSCAP_MENA"/>
    <s v="AED"/>
    <n v="37567.99"/>
    <n v="0"/>
    <n v="0"/>
    <n v="0"/>
    <n v="0"/>
    <n v="0"/>
    <n v="0"/>
    <n v="0"/>
    <s v="FAIRMONT VANCOUVER AIRPORT - ALWAYS ON 2026"/>
    <s v="AE8860"/>
    <s v="Publicis Media Executive UAE"/>
    <s v="CA200"/>
    <n v="37567.99"/>
    <n v="8913.86"/>
    <s v="APPROVAL - PROPERTY ALWAYS ON"/>
    <e v="#N/A"/>
    <b v="0"/>
    <x v="4"/>
    <s v="Chasing Client for Payment Timeline"/>
  </r>
  <r>
    <m/>
    <x v="1"/>
    <m/>
    <x v="40"/>
    <m/>
    <x v="2"/>
    <x v="1"/>
    <n v="10229.540000000001"/>
    <m/>
    <x v="2"/>
    <n v="10229.540000000001"/>
    <x v="2"/>
    <m/>
    <m/>
    <m/>
    <m/>
    <m/>
    <s v="AED"/>
    <n v="37567.99"/>
    <n v="0"/>
    <n v="0"/>
    <n v="0"/>
    <n v="0"/>
    <m/>
    <m/>
    <n v="0"/>
    <m/>
    <m/>
    <m/>
    <m/>
    <n v="37567.99"/>
    <n v="8913.86"/>
    <m/>
    <n v="0"/>
    <n v="0"/>
    <x v="2"/>
    <m/>
  </r>
  <r>
    <s v="M1140101"/>
    <x v="42"/>
    <s v="(M11)(M11)100114607"/>
    <x v="41"/>
    <n v="9700001964"/>
    <x v="188"/>
    <x v="0"/>
    <n v="3468.04"/>
    <d v="2026-02-11T00:00:00"/>
    <x v="3"/>
    <n v="3468.04"/>
    <x v="72"/>
    <s v="ACCOR"/>
    <s v="ZM"/>
    <s v="Media Interface"/>
    <m/>
    <s v="STARSCAP_MENA"/>
    <s v="AED"/>
    <n v="0"/>
    <n v="0"/>
    <n v="12736.38"/>
    <n v="0"/>
    <n v="0"/>
    <n v="0"/>
    <n v="12736.38"/>
    <n v="0"/>
    <s v="RAFFLES DOHA - ALWAYS ON 2025"/>
    <s v="AE8860"/>
    <s v="Publicis Media Executive UAE"/>
    <s v="CA200"/>
    <n v="12736.38"/>
    <n v="2970.48"/>
    <s v="APPROVAL - PROPERTY ALWAYS ON"/>
    <s v="Pending Contract, WIP as per Hadi(Agency) on 12/8 - still chasing for an update internally."/>
    <b v="0"/>
    <x v="8"/>
    <s v="Pending Contract, WIP as per Hadi(Agency) on 12/8 - still chasing for an update internally."/>
  </r>
  <r>
    <s v="M1140101"/>
    <x v="42"/>
    <s v="(M11)(M11)100114607"/>
    <x v="41"/>
    <n v="9700003854"/>
    <x v="189"/>
    <x v="0"/>
    <n v="3610.59"/>
    <d v="2026-02-18T00:00:00"/>
    <x v="3"/>
    <n v="3610.59"/>
    <x v="17"/>
    <s v="ACCOR"/>
    <s v="ZM"/>
    <s v="Media Interface"/>
    <m/>
    <s v="STARSCAP_MENA"/>
    <s v="AED"/>
    <n v="0"/>
    <n v="0"/>
    <n v="13259.89"/>
    <n v="0"/>
    <n v="0"/>
    <n v="0"/>
    <n v="13259.89"/>
    <n v="0"/>
    <s v="RAFFLES DOHA - ALWAYS ON 2025"/>
    <s v="AE8860"/>
    <s v="Publicis Media Executive UAE"/>
    <s v="CA200"/>
    <n v="13259.89"/>
    <n v="3098.95"/>
    <s v="APPROVAL - PROPERTY ALWAYS ON"/>
    <s v="Pending Contract, WIP as per Hadi(Agency) on 12/8 - still chasing for an update internally."/>
    <b v="0"/>
    <x v="8"/>
    <s v="Pending Contract, WIP as per Hadi(Agency) on 12/8 - still chasing for an update internally."/>
  </r>
  <r>
    <s v="M1140101"/>
    <x v="42"/>
    <s v="(M11)(M11)100114607"/>
    <x v="41"/>
    <n v="9700022830"/>
    <x v="190"/>
    <x v="0"/>
    <n v="2574.89"/>
    <d v="2026-04-18T00:00:00"/>
    <x v="0"/>
    <n v="2574.89"/>
    <x v="18"/>
    <s v="ACCOR"/>
    <s v="ZM"/>
    <s v="Media Interface"/>
    <m/>
    <s v="STARSCAP_MENA"/>
    <s v="AED"/>
    <n v="9456.2800000000007"/>
    <n v="0"/>
    <n v="0"/>
    <n v="0"/>
    <n v="0"/>
    <n v="0"/>
    <n v="0"/>
    <n v="0"/>
    <s v="RAFFLES DOHA - ALWAYS ON 2026"/>
    <s v="AE8860"/>
    <s v="Publicis Media Executive UAE"/>
    <s v="CA200"/>
    <n v="9456.2800000000007"/>
    <n v="2243.7199999999998"/>
    <s v="APPROVAL - PROPERTY ALWAYS ON"/>
    <e v="#N/A"/>
    <b v="0"/>
    <x v="8"/>
    <s v="Pending Contract, WIP as per Hadi(Agency) on 12/8 - still chasing for an update internally."/>
  </r>
  <r>
    <s v="M1140101"/>
    <x v="42"/>
    <s v="(M11)(M11)100114607"/>
    <x v="41"/>
    <n v="9700032330"/>
    <x v="191"/>
    <x v="0"/>
    <n v="1166.17"/>
    <d v="2025-06-12T00:00:00"/>
    <x v="5"/>
    <n v="1166.17"/>
    <x v="65"/>
    <s v="ACCOR"/>
    <s v="ZM"/>
    <s v="Media Interface"/>
    <m/>
    <s v="STARSCAP_MENA"/>
    <s v="AED"/>
    <n v="0"/>
    <n v="0"/>
    <n v="0"/>
    <n v="0"/>
    <n v="0"/>
    <n v="4282.76"/>
    <n v="4282.76"/>
    <n v="0"/>
    <s v="FAIRMONT_ALWAYS ON_DOHA"/>
    <s v="AE8860"/>
    <s v="Publicis Media Executive UAE"/>
    <s v="CA200"/>
    <n v="4282.76"/>
    <n v="1036.4100000000001"/>
    <s v="APPROVAL_PROPERTY LEVEL_SEA_002"/>
    <s v="Pending Contract, WIP as per Hadi(Agency) on 12/8 - still chasing for an update internally."/>
    <b v="0"/>
    <x v="8"/>
    <s v="Pending Contract, WIP as per Hadi(Agency) on 12/8 - still chasing for an update internally."/>
  </r>
  <r>
    <s v="M1140101"/>
    <x v="42"/>
    <s v="(M11)(M11)100114607"/>
    <x v="41"/>
    <n v="9700032347"/>
    <x v="192"/>
    <x v="0"/>
    <n v="3853.27"/>
    <d v="2025-06-12T00:00:00"/>
    <x v="5"/>
    <n v="3853.27"/>
    <x v="65"/>
    <s v="ACCOR"/>
    <s v="ZM"/>
    <s v="Media Interface"/>
    <m/>
    <s v="STARSCAP_MENA"/>
    <s v="AED"/>
    <n v="0"/>
    <n v="0"/>
    <n v="0"/>
    <n v="0"/>
    <n v="0"/>
    <n v="14151.13"/>
    <n v="14151.13"/>
    <n v="0"/>
    <s v="FAIRMONT DOHA - ALWAYS ON 2025"/>
    <s v="AE8860"/>
    <s v="Publicis Media Executive UAE"/>
    <s v="CA200"/>
    <n v="14151.13"/>
    <n v="3424.52"/>
    <s v="APPROVAL - PROPERTY ALWAYS ON"/>
    <s v="Pending Contract, WIP as per Hadi(Agency) on 12/8 - still chasing for an update internally."/>
    <b v="0"/>
    <x v="8"/>
    <s v="Pending Contract, WIP as per Hadi(Agency) on 12/8 - still chasing for an update internally."/>
  </r>
  <r>
    <s v="M1140101"/>
    <x v="42"/>
    <s v="(M11)(M11)100114607"/>
    <x v="41"/>
    <n v="9700038354"/>
    <x v="193"/>
    <x v="0"/>
    <n v="3866.05"/>
    <d v="2025-07-04T00:00:00"/>
    <x v="5"/>
    <n v="3866.05"/>
    <x v="73"/>
    <s v="ACCOR"/>
    <s v="ZM"/>
    <s v="Media Interface"/>
    <m/>
    <s v="STARSCAP_MENA"/>
    <s v="AED"/>
    <n v="0"/>
    <n v="0"/>
    <n v="0"/>
    <n v="0"/>
    <n v="0"/>
    <n v="14198.07"/>
    <n v="14198.07"/>
    <n v="0"/>
    <s v="RAFFLES_ALWAYS ON_RAFFLES Doha_NON UAE"/>
    <s v="AE8860"/>
    <s v="Publicis Media Executive UAE"/>
    <s v="CA200"/>
    <n v="14198.07"/>
    <n v="3409.52"/>
    <s v="APPROVAL_PROPERTY LEVEL_SEA_001"/>
    <s v="Pending Contract, WIP as per Hadi(Agency) on 12/8 - still chasing for an update internally."/>
    <b v="0"/>
    <x v="8"/>
    <s v="Pending Contract, WIP as per Hadi(Agency) on 12/8 - still chasing for an update internally."/>
  </r>
  <r>
    <s v="M1140101"/>
    <x v="42"/>
    <s v="(M11)(M11)100114607"/>
    <x v="41"/>
    <n v="9700038355"/>
    <x v="194"/>
    <x v="0"/>
    <n v="1837.53"/>
    <d v="2025-07-04T00:00:00"/>
    <x v="5"/>
    <n v="1837.53"/>
    <x v="73"/>
    <s v="ACCOR"/>
    <s v="ZM"/>
    <s v="Media Interface"/>
    <m/>
    <s v="STARSCAP_MENA"/>
    <s v="AED"/>
    <n v="0"/>
    <n v="0"/>
    <n v="0"/>
    <n v="0"/>
    <n v="0"/>
    <n v="6748.33"/>
    <n v="6748.33"/>
    <n v="0"/>
    <s v="RAFFLES_ALWAYS ON_RAFFLES_Doha"/>
    <s v="AE8860"/>
    <s v="Publicis Media Executive UAE"/>
    <s v="CA200"/>
    <n v="6748.33"/>
    <n v="1620.54"/>
    <s v="APPROVAL_PROPERTY LEVEL_SEA_002"/>
    <s v="Pending Contract, WIP as per Hadi(Agency) on 12/8 - still chasing for an update internally."/>
    <b v="0"/>
    <x v="8"/>
    <s v="Pending Contract, WIP as per Hadi(Agency) on 12/8 - still chasing for an update internally."/>
  </r>
  <r>
    <s v="M1140101"/>
    <x v="42"/>
    <s v="(M11)(M11)100114607"/>
    <x v="41"/>
    <n v="9700038356"/>
    <x v="195"/>
    <x v="0"/>
    <n v="3508.97"/>
    <d v="2025-07-04T00:00:00"/>
    <x v="5"/>
    <n v="3508.97"/>
    <x v="73"/>
    <s v="ACCOR"/>
    <s v="ZM"/>
    <s v="Media Interface"/>
    <m/>
    <s v="STARSCAP_MENA"/>
    <s v="AED"/>
    <n v="0"/>
    <n v="0"/>
    <n v="0"/>
    <n v="0"/>
    <n v="0"/>
    <n v="12886.69"/>
    <n v="12886.69"/>
    <n v="0"/>
    <s v="RAFFLES DOHA - ALWAYS ON 2025"/>
    <s v="AE8860"/>
    <s v="Publicis Media Executive UAE"/>
    <s v="CA200"/>
    <n v="12886.69"/>
    <n v="3094.6"/>
    <s v="APPROVAL - PROPERTY ALWAYS ON"/>
    <s v="Pending Contract, WIP as per Hadi(Agency) on 12/8 - still chasing for an update internally."/>
    <b v="0"/>
    <x v="8"/>
    <s v="Pending Contract, WIP as per Hadi(Agency) on 12/8 - still chasing for an update internally."/>
  </r>
  <r>
    <s v="M1140101"/>
    <x v="42"/>
    <s v="(M11)(M11)100114607"/>
    <x v="41"/>
    <n v="9700047445"/>
    <x v="196"/>
    <x v="0"/>
    <n v="2365.7600000000002"/>
    <d v="2025-08-16T00:00:00"/>
    <x v="5"/>
    <n v="2365.7600000000002"/>
    <x v="74"/>
    <s v="ACCOR"/>
    <s v="ZM"/>
    <s v="Media Interface"/>
    <m/>
    <s v="STARSCAP_MENA"/>
    <s v="AED"/>
    <n v="0"/>
    <n v="0"/>
    <n v="0"/>
    <n v="0"/>
    <n v="0"/>
    <n v="8688.25"/>
    <n v="8688.25"/>
    <n v="0"/>
    <s v="RAFFLES DOHA - ALWAYS ON 2025"/>
    <s v="AE8860"/>
    <s v="Publicis Media Executive UAE"/>
    <s v="CA200"/>
    <n v="8688.25"/>
    <n v="2023.75"/>
    <s v="APPROVAL - PROPERTY ALWAYS ON"/>
    <s v="Pending Contract, WIP as per Hadi(Agency) on 12/8 - still chasing for an update internally."/>
    <b v="0"/>
    <x v="8"/>
    <s v="Pending Contract, WIP as per Hadi(Agency) on 12/8 - still chasing for an update internally."/>
  </r>
  <r>
    <s v="M1140101"/>
    <x v="42"/>
    <s v="(M11)(M11)100114607"/>
    <x v="41"/>
    <n v="9700061180"/>
    <x v="197"/>
    <x v="0"/>
    <n v="2469.92"/>
    <d v="2025-10-08T00:00:00"/>
    <x v="5"/>
    <n v="2469.92"/>
    <x v="75"/>
    <s v="ACCOR"/>
    <s v="ZM"/>
    <s v="Media Interface"/>
    <m/>
    <s v="STARSCAP_MENA"/>
    <s v="AED"/>
    <n v="0"/>
    <n v="0"/>
    <n v="0"/>
    <n v="0"/>
    <n v="0"/>
    <n v="9070.7800000000007"/>
    <n v="9070.7800000000007"/>
    <n v="0"/>
    <s v="RAFFLES DOHA - ALWAYS ON 2025"/>
    <s v="AE8860"/>
    <s v="Publicis Media Executive UAE"/>
    <s v="CA200"/>
    <n v="9070.7800000000007"/>
    <n v="2111.58"/>
    <s v="APPROVAL - PROPERTY ALWAYS ON"/>
    <s v="Pending Contract, WIP as per Hadi(Agency) on 12/8 - still chasing for an update internally."/>
    <b v="0"/>
    <x v="8"/>
    <s v="Pending Contract, WIP as per Hadi(Agency) on 12/8 - still chasing for an update internally."/>
  </r>
  <r>
    <s v="M1140101"/>
    <x v="42"/>
    <s v="(M11)(M11)100114607"/>
    <x v="41"/>
    <n v="9700061911"/>
    <x v="198"/>
    <x v="0"/>
    <n v="3203.36"/>
    <d v="2025-10-10T00:00:00"/>
    <x v="5"/>
    <n v="3203.36"/>
    <x v="34"/>
    <s v="ACCOR"/>
    <s v="ZM"/>
    <s v="Media Interface"/>
    <m/>
    <s v="STARSCAP_MENA"/>
    <s v="AED"/>
    <n v="0"/>
    <n v="0"/>
    <n v="0"/>
    <n v="0"/>
    <n v="0"/>
    <n v="11764.34"/>
    <n v="11764.34"/>
    <n v="0"/>
    <s v="RAFFLES DOHA - ALWAYS ON 2025"/>
    <s v="AE8860"/>
    <s v="Publicis Media Executive UAE"/>
    <s v="CA200"/>
    <n v="11764.34"/>
    <n v="2727.66"/>
    <s v="APPROVAL - PROPERTY ALWAYS ON"/>
    <s v="Pending Contract, WIP as per Hadi(Agency) on 12/8 - still chasing for an update internally."/>
    <b v="0"/>
    <x v="8"/>
    <s v="Pending Contract, WIP as per Hadi(Agency) on 12/8 - still chasing for an update internally."/>
  </r>
  <r>
    <s v="M1140101"/>
    <x v="42"/>
    <s v="(M11)(M11)100114607"/>
    <x v="41"/>
    <n v="9700064328"/>
    <x v="199"/>
    <x v="0"/>
    <n v="3624.69"/>
    <d v="2025-10-19T00:00:00"/>
    <x v="5"/>
    <n v="3624.69"/>
    <x v="22"/>
    <s v="ACCOR"/>
    <s v="ZM"/>
    <s v="Media Interface"/>
    <m/>
    <s v="STARSCAP_MENA"/>
    <s v="AED"/>
    <n v="0"/>
    <n v="0"/>
    <n v="0"/>
    <n v="0"/>
    <n v="0"/>
    <n v="13311.67"/>
    <n v="13311.67"/>
    <n v="0"/>
    <s v="RAFFLES DOHA - ALWAYS ON 2025"/>
    <s v="AE8860"/>
    <s v="Publicis Media Executive UAE"/>
    <s v="CA200"/>
    <n v="13311.67"/>
    <n v="3069.95"/>
    <s v="APPROVAL - PROPERTY ALWAYS ON"/>
    <s v="Pending Contract, WIP as per Hadi(Agency) on 12/8 - still chasing for an update internally."/>
    <b v="0"/>
    <x v="8"/>
    <s v="Pending Contract, WIP as per Hadi(Agency) on 12/8 - still chasing for an update internally."/>
  </r>
  <r>
    <s v="M1140101"/>
    <x v="42"/>
    <s v="(M11)(M11)100114607"/>
    <x v="41"/>
    <n v="9700070149"/>
    <x v="200"/>
    <x v="0"/>
    <n v="3619.38"/>
    <d v="2025-11-13T00:00:00"/>
    <x v="5"/>
    <n v="3619.38"/>
    <x v="35"/>
    <s v="ACCOR"/>
    <s v="ZM"/>
    <s v="Media Interface"/>
    <m/>
    <s v="STARSCAP_MENA"/>
    <s v="AED"/>
    <n v="0"/>
    <n v="0"/>
    <n v="0"/>
    <n v="0"/>
    <n v="0"/>
    <n v="13292.17"/>
    <n v="13292.17"/>
    <n v="0"/>
    <s v="RAFFLES DOHA - ALWAYS ON 2025"/>
    <s v="AE8860"/>
    <s v="Publicis Media Executive UAE"/>
    <s v="CA200"/>
    <n v="13292.17"/>
    <n v="3112.91"/>
    <s v="APPROVAL - PROPERTY ALWAYS ON"/>
    <s v="Pending Contract, WIP as per Hadi(Agency) on 12/8 - still chasing for an update internally."/>
    <b v="0"/>
    <x v="8"/>
    <s v="Pending Contract, WIP as per Hadi(Agency) on 12/8 - still chasing for an update internally."/>
  </r>
  <r>
    <s v="M1140101"/>
    <x v="42"/>
    <s v="(M11)(M11)100114607"/>
    <x v="41"/>
    <n v="9700081329"/>
    <x v="201"/>
    <x v="0"/>
    <n v="3625.97"/>
    <d v="2025-12-20T00:00:00"/>
    <x v="5"/>
    <n v="3625.97"/>
    <x v="25"/>
    <s v="ACCOR"/>
    <s v="ZM"/>
    <s v="Media Interface"/>
    <m/>
    <s v="STARSCAP_MENA"/>
    <s v="AED"/>
    <n v="0"/>
    <n v="0"/>
    <n v="0"/>
    <n v="0"/>
    <n v="13316.37"/>
    <n v="0"/>
    <n v="13316.37"/>
    <n v="0"/>
    <s v="RAFFLES DOHA - ALWAYS ON 2025"/>
    <s v="AE8860"/>
    <s v="Publicis Media Executive UAE"/>
    <s v="CA200"/>
    <n v="13316.37"/>
    <n v="3127.72"/>
    <s v="APPROVAL - PROPERTY ALWAYS ON"/>
    <s v="Pending Contract, WIP as per Hadi(Agency) on 12/8 - still chasing for an update internally."/>
    <b v="0"/>
    <x v="8"/>
    <s v="Pending Contract, WIP as per Hadi(Agency) on 12/8 - still chasing for an update internally."/>
  </r>
  <r>
    <m/>
    <x v="1"/>
    <m/>
    <x v="41"/>
    <m/>
    <x v="2"/>
    <x v="1"/>
    <n v="42794.590000000004"/>
    <m/>
    <x v="2"/>
    <n v="42794.590000000004"/>
    <x v="2"/>
    <m/>
    <m/>
    <m/>
    <m/>
    <m/>
    <s v="AED"/>
    <n v="9456.2800000000007"/>
    <n v="0"/>
    <n v="25996.27"/>
    <n v="0"/>
    <n v="13316.37"/>
    <m/>
    <m/>
    <n v="0"/>
    <m/>
    <m/>
    <m/>
    <m/>
    <n v="157163.10999999999"/>
    <n v="37072.31"/>
    <m/>
    <n v="0"/>
    <n v="0"/>
    <x v="2"/>
    <m/>
  </r>
  <r>
    <s v="M1140101"/>
    <x v="43"/>
    <s v="(M11)(M11)100119534"/>
    <x v="42"/>
    <n v="9700069613"/>
    <x v="202"/>
    <x v="0"/>
    <n v="365.31"/>
    <d v="2025-11-12T00:00:00"/>
    <x v="5"/>
    <n v="365.31"/>
    <x v="42"/>
    <s v="ACCOR"/>
    <s v="ZM"/>
    <s v="Media Interface"/>
    <m/>
    <s v="STARSCAP_MENA"/>
    <s v="AED"/>
    <n v="0"/>
    <n v="0"/>
    <n v="0"/>
    <n v="0"/>
    <n v="0"/>
    <n v="1341.6"/>
    <n v="1341.6"/>
    <n v="0"/>
    <s v="FAIRMONT UDAIPUR - ALWAYS ON 2025"/>
    <s v="AE8860"/>
    <s v="Publicis Media Executive UAE"/>
    <s v="CA200"/>
    <n v="1341.6"/>
    <n v="313.14"/>
    <s v="APPROVAL - PROPERTY ALWAYS ON"/>
    <s v="Pending Doc request on 12/11.(PE Cert,Copy of Pan,TRC,Form 10F,Contract,Bank Details) -  Pending signature"/>
    <b v="0"/>
    <x v="8"/>
    <s v="Pending Doc request on 12/11.(PE Cert,Copy of Pan,TRC,Form 10F,Contract,Bank Details) -  Pending signature"/>
  </r>
  <r>
    <s v="M1140101"/>
    <x v="43"/>
    <s v="(M11)(M11)100119534"/>
    <x v="42"/>
    <n v="9700071252"/>
    <x v="203"/>
    <x v="0"/>
    <n v="221.15"/>
    <d v="2025-11-15T00:00:00"/>
    <x v="5"/>
    <n v="221.15"/>
    <x v="76"/>
    <s v="ACCOR"/>
    <s v="ZM"/>
    <s v="Media Interface"/>
    <m/>
    <s v="STARSCAP_MENA"/>
    <s v="AED"/>
    <n v="0"/>
    <n v="0"/>
    <n v="0"/>
    <n v="0"/>
    <n v="0"/>
    <n v="812.17"/>
    <n v="812.17"/>
    <n v="0"/>
    <s v="FAIRMONT UDAIPUR - ALWAYS ON 2025"/>
    <s v="AE8860"/>
    <s v="Publicis Media Executive UAE"/>
    <s v="CA200"/>
    <n v="812.17"/>
    <n v="191.16"/>
    <s v="APPROVAL - PROPERTY ALWAYS ON"/>
    <s v="Pending Doc request on 12/11.(PE Cert,Copy of Pan,TRC,Form 10F,Contract,Bank Details) -  Pending signature"/>
    <b v="0"/>
    <x v="8"/>
    <s v="Pending Doc request on 12/11.(PE Cert,Copy of Pan,TRC,Form 10F,Contract,Bank Details) -  Pending signature"/>
  </r>
  <r>
    <s v="M1140101"/>
    <x v="43"/>
    <s v="(M11)(M11)100119534"/>
    <x v="42"/>
    <n v="9700081171"/>
    <x v="204"/>
    <x v="0"/>
    <n v="221.88"/>
    <d v="2025-12-20T00:00:00"/>
    <x v="5"/>
    <n v="221.88"/>
    <x v="25"/>
    <s v="ACCOR"/>
    <s v="ZM"/>
    <s v="Media Interface"/>
    <m/>
    <s v="STARSCAP_MENA"/>
    <s v="AED"/>
    <n v="0"/>
    <n v="0"/>
    <n v="0"/>
    <n v="0"/>
    <n v="814.85"/>
    <n v="0"/>
    <n v="814.85"/>
    <n v="0"/>
    <s v="FAIRMONT UDAIPUR - ALWAYS ON 2025"/>
    <s v="AE8860"/>
    <s v="Publicis Media Executive UAE"/>
    <s v="CA200"/>
    <n v="814.85"/>
    <n v="191.39"/>
    <s v="APPROVAL - PROPERTY ALWAYS ON"/>
    <s v="Pending Doc request on 12/11.(PE Cert,Copy of Pan,TRC,Form 10F,Contract,Bank Details) -  Pending signature"/>
    <b v="0"/>
    <x v="8"/>
    <s v="Pending Doc request on 12/11.(PE Cert,Copy of Pan,TRC,Form 10F,Contract,Bank Details) -  Pending signature"/>
  </r>
  <r>
    <m/>
    <x v="1"/>
    <m/>
    <x v="42"/>
    <m/>
    <x v="2"/>
    <x v="1"/>
    <n v="808.34"/>
    <m/>
    <x v="2"/>
    <n v="808.34"/>
    <x v="2"/>
    <m/>
    <m/>
    <m/>
    <m/>
    <m/>
    <s v="AED"/>
    <n v="0"/>
    <n v="0"/>
    <n v="0"/>
    <n v="0"/>
    <n v="814.85"/>
    <m/>
    <m/>
    <n v="0"/>
    <m/>
    <m/>
    <m/>
    <m/>
    <n v="2968.62"/>
    <n v="695.69"/>
    <m/>
    <n v="0"/>
    <n v="0"/>
    <x v="2"/>
    <m/>
  </r>
  <r>
    <s v="M1140101"/>
    <x v="44"/>
    <s v="(M11)(M11)100114599"/>
    <x v="43"/>
    <n v="9700002436"/>
    <x v="205"/>
    <x v="0"/>
    <n v="922.8"/>
    <d v="2026-02-13T00:00:00"/>
    <x v="3"/>
    <n v="922.8"/>
    <x v="44"/>
    <s v="ACCOR"/>
    <s v="ZM"/>
    <s v="Media Interface"/>
    <m/>
    <s v="STARSCAP_MENA"/>
    <s v="AED"/>
    <n v="0"/>
    <n v="0"/>
    <n v="3388.98"/>
    <n v="0"/>
    <n v="0"/>
    <n v="0"/>
    <n v="3388.98"/>
    <n v="0"/>
    <s v="Raffles Seychelles - Always On - A5E5 2025"/>
    <s v="AE8860"/>
    <s v="Publicis Media Executive UAE"/>
    <s v="CA200"/>
    <n v="3388.98"/>
    <n v="789.26"/>
    <s v="APPROVAL - PROPERTY ALWAYS ON"/>
    <s v="Pending supporting document (Bus Registration Cert), reshared inv copy on 17/3 - Chasing client update."/>
    <b v="1"/>
    <x v="0"/>
    <s v="Collected"/>
  </r>
  <r>
    <s v="M1140101"/>
    <x v="44"/>
    <s v="(M11)(M11)100114599"/>
    <x v="43"/>
    <n v="9700005091"/>
    <x v="206"/>
    <x v="0"/>
    <n v="929.09"/>
    <d v="2026-02-21T00:00:00"/>
    <x v="3"/>
    <n v="929.09"/>
    <x v="3"/>
    <s v="ACCOR"/>
    <s v="ZM"/>
    <s v="Media Interface"/>
    <m/>
    <s v="STARSCAP_MENA"/>
    <s v="AED"/>
    <n v="0"/>
    <n v="0"/>
    <n v="3412.08"/>
    <n v="0"/>
    <n v="0"/>
    <n v="0"/>
    <n v="3412.08"/>
    <n v="0"/>
    <s v="Raffles Seychelles - Always On - A5E5 2025"/>
    <s v="AE8860"/>
    <s v="Publicis Media Executive UAE"/>
    <s v="CA200"/>
    <n v="3412.08"/>
    <n v="798.8"/>
    <s v="APPROVAL - PROPERTY ALWAYS ON"/>
    <s v="Pending supporting document (Bus Registration Cert), reshared inv copy on 17/3 - Chasing client update."/>
    <b v="1"/>
    <x v="0"/>
    <s v="Collected"/>
  </r>
  <r>
    <s v="M1140101"/>
    <x v="44"/>
    <s v="(M11)(M11)100114599"/>
    <x v="43"/>
    <n v="9700022832"/>
    <x v="207"/>
    <x v="0"/>
    <n v="1355.13"/>
    <d v="2026-04-18T00:00:00"/>
    <x v="0"/>
    <n v="1355.13"/>
    <x v="18"/>
    <s v="ACCOR"/>
    <s v="ZM"/>
    <s v="Media Interface"/>
    <m/>
    <s v="STARSCAP_MENA"/>
    <s v="AED"/>
    <n v="4976.71"/>
    <n v="0"/>
    <n v="0"/>
    <n v="0"/>
    <n v="0"/>
    <n v="0"/>
    <n v="0"/>
    <n v="0"/>
    <s v="Raffles Seychelles - Always On 2026"/>
    <s v="AE8860"/>
    <s v="Publicis Media Executive UAE"/>
    <s v="CA200"/>
    <n v="4976.71"/>
    <n v="1180.8399999999999"/>
    <s v="APPROVAL - PROPERTY ALWAYS ON"/>
    <e v="#N/A"/>
    <b v="0"/>
    <x v="4"/>
    <s v="On hold due to pending Docs (Bus Reg Cert)"/>
  </r>
  <r>
    <m/>
    <x v="1"/>
    <m/>
    <x v="43"/>
    <m/>
    <x v="2"/>
    <x v="1"/>
    <n v="3207.02"/>
    <m/>
    <x v="2"/>
    <n v="3207.02"/>
    <x v="2"/>
    <m/>
    <m/>
    <m/>
    <m/>
    <m/>
    <s v="AED"/>
    <n v="4976.71"/>
    <n v="0"/>
    <n v="6801.06"/>
    <n v="0"/>
    <n v="0"/>
    <m/>
    <m/>
    <n v="0"/>
    <m/>
    <m/>
    <m/>
    <m/>
    <n v="11777.77"/>
    <n v="2768.9"/>
    <m/>
    <n v="1588.06"/>
    <n v="0.57744884659278706"/>
    <x v="2"/>
    <m/>
  </r>
  <r>
    <s v="M1140101"/>
    <x v="45"/>
    <s v="(M11)(M11)100114693"/>
    <x v="44"/>
    <n v="9700022723"/>
    <x v="208"/>
    <x v="0"/>
    <n v="2482.02"/>
    <d v="2026-04-18T00:00:00"/>
    <x v="0"/>
    <n v="2482.02"/>
    <x v="18"/>
    <s v="ACCOR"/>
    <s v="ZM"/>
    <s v="Media Interface"/>
    <m/>
    <s v="STARSCAP_MENA"/>
    <s v="AED"/>
    <n v="9115.2199999999993"/>
    <n v="0"/>
    <n v="0"/>
    <n v="0"/>
    <n v="0"/>
    <n v="0"/>
    <n v="0"/>
    <n v="0"/>
    <s v="FAIRMONT MONTEBELLO - ALWAYS ON 2026"/>
    <s v="AE8860"/>
    <s v="Publicis Media Executive UAE"/>
    <s v="CA200"/>
    <n v="9115.2199999999993"/>
    <n v="2162.79"/>
    <s v="APPROVAL - PROPERTY ALWAYS ON"/>
    <e v="#N/A"/>
    <b v="1"/>
    <x v="0"/>
    <s v="Collected"/>
  </r>
  <r>
    <s v="M1140101"/>
    <x v="45"/>
    <s v="(M11)(M11)100114693"/>
    <x v="44"/>
    <n v="9700025730"/>
    <x v="209"/>
    <x v="0"/>
    <n v="2456.54"/>
    <d v="2026-04-29T00:00:00"/>
    <x v="1"/>
    <n v="2456.54"/>
    <x v="1"/>
    <s v="ACCOR"/>
    <s v="ZM"/>
    <s v="Media Interface"/>
    <m/>
    <s v="STARSCAP_MENA"/>
    <s v="AED"/>
    <n v="9021.64"/>
    <n v="0"/>
    <n v="0"/>
    <n v="0"/>
    <n v="0"/>
    <n v="0"/>
    <n v="0"/>
    <n v="0"/>
    <s v="FAIRMONT MONTEBELLO - ALWAYS ON 2026"/>
    <s v="AE8860"/>
    <s v="Publicis Media Executive UAE"/>
    <s v="CA200"/>
    <n v="9021.64"/>
    <n v="2122.83"/>
    <s v="APPROVAL - PROPERTY ALWAYS ON"/>
    <e v="#N/A"/>
    <b v="1"/>
    <x v="0"/>
    <s v="Collected"/>
  </r>
  <r>
    <m/>
    <x v="1"/>
    <m/>
    <x v="44"/>
    <m/>
    <x v="2"/>
    <x v="1"/>
    <n v="4938.5599999999995"/>
    <m/>
    <x v="2"/>
    <n v="4938.5599999999995"/>
    <x v="2"/>
    <m/>
    <m/>
    <m/>
    <m/>
    <m/>
    <s v="AED"/>
    <n v="18136.86"/>
    <n v="0"/>
    <n v="0"/>
    <n v="0"/>
    <n v="0"/>
    <m/>
    <m/>
    <n v="0"/>
    <m/>
    <m/>
    <m/>
    <m/>
    <n v="18136.86"/>
    <n v="4285.62"/>
    <m/>
    <n v="4285.62"/>
    <n v="1"/>
    <x v="2"/>
    <m/>
  </r>
  <r>
    <s v="M1140101"/>
    <x v="46"/>
    <s v="(M11)(M11)100111940"/>
    <x v="45"/>
    <n v="9700025808"/>
    <x v="210"/>
    <x v="0"/>
    <n v="2868.23"/>
    <d v="2026-04-25T00:00:00"/>
    <x v="0"/>
    <n v="2868.23"/>
    <x v="57"/>
    <s v="ACCOR"/>
    <s v="ZM"/>
    <s v="Media Interface"/>
    <m/>
    <s v="STARSCAP_MENA"/>
    <s v="AED"/>
    <n v="10533.57"/>
    <n v="0"/>
    <n v="0"/>
    <n v="0"/>
    <n v="0"/>
    <n v="0"/>
    <n v="0"/>
    <n v="0"/>
    <s v="FAIRMONT WASHINGTON DC ALWAYS ON 2026"/>
    <s v="AE8860"/>
    <s v="Publicis Media Executive UAE"/>
    <s v="CA200"/>
    <n v="10533.57"/>
    <n v="2474.3200000000002"/>
    <s v="APPROVAL - PROPERTY ALWAYS ON"/>
    <e v="#N/A"/>
    <b v="0"/>
    <x v="4"/>
    <s v="Chasing Client for Payment Timeline"/>
  </r>
  <r>
    <m/>
    <x v="1"/>
    <m/>
    <x v="45"/>
    <m/>
    <x v="2"/>
    <x v="1"/>
    <n v="2868.23"/>
    <m/>
    <x v="2"/>
    <n v="2868.23"/>
    <x v="2"/>
    <m/>
    <m/>
    <m/>
    <m/>
    <m/>
    <s v="AED"/>
    <n v="10533.57"/>
    <n v="0"/>
    <n v="0"/>
    <n v="0"/>
    <n v="0"/>
    <m/>
    <m/>
    <n v="0"/>
    <m/>
    <m/>
    <m/>
    <m/>
    <n v="10533.57"/>
    <n v="2474.3200000000002"/>
    <m/>
    <n v="0"/>
    <n v="0"/>
    <x v="2"/>
    <m/>
  </r>
  <r>
    <s v="M1140101"/>
    <x v="47"/>
    <s v="(M11)(M11)100118869"/>
    <x v="46"/>
    <n v="9700022649"/>
    <x v="211"/>
    <x v="0"/>
    <n v="749.79"/>
    <d v="2026-04-16T00:00:00"/>
    <x v="0"/>
    <n v="749.79"/>
    <x v="50"/>
    <s v="ACCOR"/>
    <s v="ZM"/>
    <s v="Media Interface"/>
    <m/>
    <s v="STARSCAP_MENA"/>
    <s v="AED"/>
    <n v="2753.6"/>
    <n v="0"/>
    <n v="0"/>
    <n v="0"/>
    <n v="0"/>
    <n v="0"/>
    <n v="0"/>
    <n v="0"/>
    <s v="FAIRMONT WINNIPEG - ALWAYS ON 2026"/>
    <s v="AE8860"/>
    <s v="Publicis Media Executive UAE"/>
    <s v="CA200"/>
    <n v="2753.6"/>
    <n v="653.35"/>
    <s v="APPROVAL - PROPERTY ALWAYS ON"/>
    <e v="#N/A"/>
    <b v="1"/>
    <x v="0"/>
    <s v="Collected"/>
  </r>
  <r>
    <s v="M1140101"/>
    <x v="47"/>
    <s v="(M11)(M11)100118869"/>
    <x v="46"/>
    <n v="9700025789"/>
    <x v="212"/>
    <x v="0"/>
    <n v="677.94"/>
    <d v="2026-04-29T00:00:00"/>
    <x v="1"/>
    <n v="677.94"/>
    <x v="1"/>
    <s v="ACCOR"/>
    <s v="ZM"/>
    <s v="Media Interface"/>
    <m/>
    <s v="STARSCAP_MENA"/>
    <s v="AED"/>
    <n v="2489.73"/>
    <n v="0"/>
    <n v="0"/>
    <n v="0"/>
    <n v="0"/>
    <n v="0"/>
    <n v="0"/>
    <n v="0"/>
    <s v="FAIRMONT WINNIPEG - ALWAYS ON 2026"/>
    <s v="AE8860"/>
    <s v="Publicis Media Executive UAE"/>
    <s v="CA200"/>
    <n v="2489.73"/>
    <n v="585.85"/>
    <s v="APPROVAL - PROPERTY ALWAYS ON"/>
    <e v="#N/A"/>
    <b v="1"/>
    <x v="0"/>
    <s v="Collected"/>
  </r>
  <r>
    <m/>
    <x v="1"/>
    <m/>
    <x v="46"/>
    <m/>
    <x v="2"/>
    <x v="1"/>
    <n v="1427.73"/>
    <m/>
    <x v="2"/>
    <n v="1427.73"/>
    <x v="2"/>
    <m/>
    <m/>
    <m/>
    <m/>
    <m/>
    <s v="AED"/>
    <n v="5243.33"/>
    <n v="0"/>
    <n v="0"/>
    <n v="0"/>
    <n v="0"/>
    <m/>
    <m/>
    <n v="0"/>
    <m/>
    <m/>
    <m/>
    <m/>
    <n v="5243.33"/>
    <n v="1239.2"/>
    <m/>
    <n v="1239.2"/>
    <n v="1"/>
    <x v="2"/>
    <m/>
  </r>
  <r>
    <s v="M1140101"/>
    <x v="48"/>
    <s v="(M11)(M11)100108800"/>
    <x v="47"/>
    <n v="9700023063"/>
    <x v="213"/>
    <x v="0"/>
    <n v="5340.68"/>
    <d v="2026-04-17T00:00:00"/>
    <x v="0"/>
    <n v="5340.68"/>
    <x v="53"/>
    <s v="ACCOR"/>
    <s v="ZM"/>
    <s v="Media Interface"/>
    <m/>
    <s v="STARSCAP_MENA"/>
    <s v="AED"/>
    <n v="19613.650000000001"/>
    <n v="0"/>
    <n v="0"/>
    <n v="0"/>
    <n v="0"/>
    <n v="0"/>
    <n v="0"/>
    <n v="0"/>
    <s v="FAIRMONT AUSTIN TACTICAL 2025"/>
    <s v="AE8860"/>
    <s v="Publicis Media Executive UAE"/>
    <s v="CA200"/>
    <n v="19613.650000000001"/>
    <n v="4652.97"/>
    <s v="APPROVAL - PROPERTY ALWAYS ON"/>
    <e v="#N/A"/>
    <b v="1"/>
    <x v="0"/>
    <s v="Collected"/>
  </r>
  <r>
    <s v="M1140101"/>
    <x v="48"/>
    <s v="(M11)(M11)100108800"/>
    <x v="47"/>
    <n v="9700025709"/>
    <x v="214"/>
    <x v="0"/>
    <n v="8626.85"/>
    <d v="2026-04-29T00:00:00"/>
    <x v="1"/>
    <n v="8626.85"/>
    <x v="1"/>
    <s v="ACCOR"/>
    <s v="ZM"/>
    <s v="Media Interface"/>
    <m/>
    <s v="STARSCAP_MENA"/>
    <s v="AED"/>
    <n v="31682.11"/>
    <n v="0"/>
    <n v="0"/>
    <n v="0"/>
    <n v="0"/>
    <n v="0"/>
    <n v="0"/>
    <n v="0"/>
    <s v="FAIRMONT AUSTIN - ALWAYS ON 2026"/>
    <s v="AE8860"/>
    <s v="Publicis Media Executive UAE"/>
    <s v="CA200"/>
    <n v="31682.11"/>
    <n v="7454.93"/>
    <s v="APPROVAL - PROPERTY ALWAYS ON"/>
    <e v="#N/A"/>
    <b v="0"/>
    <x v="4"/>
    <s v="Chasing Client for Payment Timeline"/>
  </r>
  <r>
    <m/>
    <x v="1"/>
    <m/>
    <x v="47"/>
    <m/>
    <x v="2"/>
    <x v="1"/>
    <n v="13967.53"/>
    <m/>
    <x v="2"/>
    <n v="13967.53"/>
    <x v="2"/>
    <m/>
    <m/>
    <m/>
    <m/>
    <m/>
    <s v="AED"/>
    <n v="51295.76"/>
    <n v="0"/>
    <n v="0"/>
    <n v="0"/>
    <n v="0"/>
    <m/>
    <m/>
    <n v="0"/>
    <m/>
    <m/>
    <m/>
    <m/>
    <n v="51295.76"/>
    <n v="12107.9"/>
    <m/>
    <n v="4652.97"/>
    <n v="0.38236395411357627"/>
    <x v="2"/>
    <m/>
  </r>
  <r>
    <s v="M1140101"/>
    <x v="49"/>
    <s v="(M11)(M11)100108721"/>
    <x v="48"/>
    <n v="9700023361"/>
    <x v="215"/>
    <x v="0"/>
    <n v="2063.5"/>
    <d v="2026-04-18T00:00:00"/>
    <x v="0"/>
    <n v="2063.5"/>
    <x v="18"/>
    <s v="ACCOR"/>
    <s v="ZM"/>
    <s v="Media Interface"/>
    <m/>
    <s v="STARSCAP_MENA"/>
    <s v="AED"/>
    <n v="7578.2"/>
    <n v="0"/>
    <n v="0"/>
    <n v="0"/>
    <n v="0"/>
    <n v="0"/>
    <n v="0"/>
    <n v="0"/>
    <s v="FAIRMONT ORCHID HAWAII TACTICAL"/>
    <s v="AE8860"/>
    <s v="Publicis Media Executive UAE"/>
    <s v="CA200"/>
    <n v="7578.2"/>
    <n v="1797.79"/>
    <s v="APPROVAL - PROPERTY ALWAYS ON"/>
    <e v="#N/A"/>
    <b v="1"/>
    <x v="0"/>
    <s v="Collected"/>
  </r>
  <r>
    <s v="M1140101"/>
    <x v="49"/>
    <s v="(M11)(M11)100108721"/>
    <x v="48"/>
    <n v="9700025745"/>
    <x v="216"/>
    <x v="0"/>
    <n v="24040.06"/>
    <d v="2026-04-29T00:00:00"/>
    <x v="1"/>
    <n v="24040.06"/>
    <x v="1"/>
    <s v="ACCOR"/>
    <s v="ZM"/>
    <s v="Media Interface"/>
    <m/>
    <s v="STARSCAP_MENA"/>
    <s v="AED"/>
    <n v="88287.12"/>
    <n v="0"/>
    <n v="0"/>
    <n v="0"/>
    <n v="0"/>
    <n v="0"/>
    <n v="0"/>
    <n v="0"/>
    <s v="FAIRMONT ORCHID HAWAII - ALWAYS ON 2026"/>
    <s v="AE8860"/>
    <s v="Publicis Media Executive UAE"/>
    <s v="CA200"/>
    <n v="88287.12"/>
    <n v="20774.330000000002"/>
    <s v="APPROVAL - PROPERTY ALWAYS ON"/>
    <e v="#N/A"/>
    <b v="1"/>
    <x v="0"/>
    <s v="Collected"/>
  </r>
  <r>
    <m/>
    <x v="1"/>
    <m/>
    <x v="48"/>
    <m/>
    <x v="2"/>
    <x v="1"/>
    <n v="26103.56"/>
    <m/>
    <x v="2"/>
    <n v="26103.56"/>
    <x v="2"/>
    <m/>
    <m/>
    <m/>
    <m/>
    <m/>
    <s v="AED"/>
    <n v="95865.32"/>
    <n v="0"/>
    <n v="0"/>
    <n v="0"/>
    <n v="0"/>
    <m/>
    <m/>
    <n v="0"/>
    <m/>
    <m/>
    <m/>
    <m/>
    <n v="95865.32"/>
    <n v="22572.12"/>
    <m/>
    <n v="22572.120000000003"/>
    <n v="1"/>
    <x v="2"/>
    <m/>
  </r>
  <r>
    <s v="M1140101"/>
    <x v="50"/>
    <s v="(M11)(M11)100108768"/>
    <x v="49"/>
    <n v="9700022888"/>
    <x v="217"/>
    <x v="0"/>
    <n v="10734.95"/>
    <d v="2026-04-17T00:00:00"/>
    <x v="0"/>
    <n v="10734.95"/>
    <x v="53"/>
    <s v="ACCOR"/>
    <s v="ZM"/>
    <s v="Media Interface"/>
    <m/>
    <s v="STARSCAP_MENA"/>
    <s v="AED"/>
    <n v="39424.1"/>
    <n v="0"/>
    <n v="0"/>
    <n v="0"/>
    <n v="0"/>
    <n v="0"/>
    <n v="0"/>
    <n v="0"/>
    <s v="FAIRMONT SAN FRANCISCO TACTICAL 2025"/>
    <s v="AE8860"/>
    <s v="Publicis Media Executive UAE"/>
    <s v="CA200"/>
    <n v="39424.1"/>
    <n v="9354.26"/>
    <s v="EMAIL APPROVAL - FAIRMONT SAN FRANCISCO TACTICAL"/>
    <e v="#N/A"/>
    <b v="1"/>
    <x v="0"/>
    <s v="Collected"/>
  </r>
  <r>
    <s v="M1140101"/>
    <x v="50"/>
    <s v="(M11)(M11)100108768"/>
    <x v="49"/>
    <n v="9700025713"/>
    <x v="218"/>
    <x v="0"/>
    <n v="11397.88"/>
    <d v="2026-04-29T00:00:00"/>
    <x v="1"/>
    <n v="11397.88"/>
    <x v="1"/>
    <s v="ACCOR"/>
    <s v="ZM"/>
    <s v="Media Interface"/>
    <m/>
    <s v="STARSCAP_MENA"/>
    <s v="AED"/>
    <n v="41858.71"/>
    <n v="0"/>
    <n v="0"/>
    <n v="0"/>
    <n v="0"/>
    <n v="0"/>
    <n v="0"/>
    <n v="0"/>
    <s v="FAIRMONT SAN FRANCISCO - ALWAYS ON 2026"/>
    <s v="AE8860"/>
    <s v="Publicis Media Executive UAE"/>
    <s v="CA200"/>
    <n v="41858.71"/>
    <n v="9849.5300000000007"/>
    <s v="APPROVAL - PROPERTY ALWAYS ON"/>
    <e v="#N/A"/>
    <b v="1"/>
    <x v="0"/>
    <s v="Collected"/>
  </r>
  <r>
    <m/>
    <x v="1"/>
    <m/>
    <x v="49"/>
    <m/>
    <x v="2"/>
    <x v="1"/>
    <n v="22132.83"/>
    <m/>
    <x v="2"/>
    <n v="22132.83"/>
    <x v="2"/>
    <m/>
    <m/>
    <m/>
    <m/>
    <m/>
    <s v="AED"/>
    <n v="81282.81"/>
    <n v="0"/>
    <n v="0"/>
    <n v="0"/>
    <n v="0"/>
    <m/>
    <m/>
    <n v="0"/>
    <m/>
    <m/>
    <m/>
    <m/>
    <n v="81282.81"/>
    <n v="19203.79"/>
    <m/>
    <n v="19203.79"/>
    <n v="1"/>
    <x v="2"/>
    <m/>
  </r>
  <r>
    <s v="M1140101"/>
    <x v="51"/>
    <s v="(M11)(M11)100108755"/>
    <x v="50"/>
    <n v="9700025748"/>
    <x v="219"/>
    <x v="0"/>
    <n v="479.33"/>
    <d v="2026-04-29T00:00:00"/>
    <x v="1"/>
    <n v="479.33"/>
    <x v="1"/>
    <s v="ACCOR"/>
    <s v="ZM"/>
    <s v="Media Interface"/>
    <m/>
    <s v="STARSCAP_MENA"/>
    <s v="AED"/>
    <n v="1760.34"/>
    <n v="0"/>
    <n v="0"/>
    <n v="0"/>
    <n v="0"/>
    <n v="0"/>
    <n v="0"/>
    <n v="0"/>
    <s v="FAIRMONT FUJAIRAH - ALWAYS ON 2026"/>
    <s v="AE8860"/>
    <s v="Publicis Media Executive UAE"/>
    <s v="CA200"/>
    <n v="1760.34"/>
    <n v="414.22"/>
    <s v="APPROVAL -PROPERTY ALWAYS ON"/>
    <e v="#N/A"/>
    <b v="0"/>
    <x v="4"/>
    <s v="Chasing Client for Payment Timeline"/>
  </r>
  <r>
    <m/>
    <x v="1"/>
    <m/>
    <x v="50"/>
    <m/>
    <x v="2"/>
    <x v="1"/>
    <n v="479.33"/>
    <m/>
    <x v="2"/>
    <n v="479.33"/>
    <x v="2"/>
    <m/>
    <m/>
    <m/>
    <m/>
    <m/>
    <s v="AED"/>
    <n v="1760.34"/>
    <n v="0"/>
    <n v="0"/>
    <n v="0"/>
    <n v="0"/>
    <m/>
    <m/>
    <n v="0"/>
    <m/>
    <m/>
    <m/>
    <m/>
    <n v="1760.34"/>
    <n v="414.22"/>
    <m/>
    <n v="0"/>
    <n v="0"/>
    <x v="2"/>
    <m/>
  </r>
  <r>
    <s v="M1140101"/>
    <x v="52"/>
    <s v="(M11)(M11)100118929"/>
    <x v="51"/>
    <n v="9700018248"/>
    <x v="220"/>
    <x v="0"/>
    <n v="14442.62"/>
    <d v="2026-03-28T00:00:00"/>
    <x v="0"/>
    <n v="14442.62"/>
    <x v="38"/>
    <s v="ACCOR"/>
    <s v="ZM"/>
    <s v="Media Interface"/>
    <m/>
    <s v="STARSCAP_MENA"/>
    <s v="AED"/>
    <n v="0"/>
    <n v="53040.52"/>
    <n v="0"/>
    <n v="0"/>
    <n v="0"/>
    <n v="0"/>
    <n v="53040.52"/>
    <n v="0"/>
    <s v="Fairmont Rio de Janeiro Copacabana - Always on"/>
    <s v="AE8860"/>
    <s v="Publicis Media Executive UAE"/>
    <s v="CA200"/>
    <n v="53040.52"/>
    <n v="12256.13"/>
    <s v="APPROVAL - PROPERTY ALWAYS ON"/>
    <s v="Chasing Client for Payment timeline."/>
    <b v="0"/>
    <x v="4"/>
    <s v="Chasing Client for Payment timeline."/>
  </r>
  <r>
    <s v="M1140101"/>
    <x v="52"/>
    <s v="(M11)(M11)100118929"/>
    <x v="51"/>
    <n v="9700022729"/>
    <x v="221"/>
    <x v="0"/>
    <n v="7934.56"/>
    <d v="2026-04-18T00:00:00"/>
    <x v="0"/>
    <n v="7934.56"/>
    <x v="18"/>
    <s v="ACCOR"/>
    <s v="ZM"/>
    <s v="Media Interface"/>
    <m/>
    <s v="STARSCAP_MENA"/>
    <s v="AED"/>
    <n v="29139.67"/>
    <n v="0"/>
    <n v="0"/>
    <n v="0"/>
    <n v="0"/>
    <n v="0"/>
    <n v="0"/>
    <n v="0"/>
    <s v="Fairmont Rio de Janeiro Copacabana - Always on"/>
    <s v="AE8860"/>
    <s v="Publicis Media Executive UAE"/>
    <s v="CA200"/>
    <n v="29139.67"/>
    <n v="6914.05"/>
    <s v="APPROVAL - PROPERTY ALWAYS ON"/>
    <e v="#N/A"/>
    <b v="0"/>
    <x v="4"/>
    <s v="Chasing Client for Payment timeline."/>
  </r>
  <r>
    <m/>
    <x v="1"/>
    <m/>
    <x v="51"/>
    <m/>
    <x v="2"/>
    <x v="1"/>
    <n v="22377.18"/>
    <m/>
    <x v="2"/>
    <n v="22377.18"/>
    <x v="2"/>
    <m/>
    <m/>
    <m/>
    <m/>
    <m/>
    <s v="AED"/>
    <n v="29139.67"/>
    <n v="53040.52"/>
    <n v="0"/>
    <n v="0"/>
    <n v="0"/>
    <m/>
    <m/>
    <n v="0"/>
    <m/>
    <m/>
    <m/>
    <m/>
    <n v="82180.19"/>
    <n v="19170.18"/>
    <m/>
    <n v="0"/>
    <n v="0"/>
    <x v="2"/>
    <m/>
  </r>
  <r>
    <s v="M1140101"/>
    <x v="53"/>
    <s v="(M11)(M11)100114615"/>
    <x v="52"/>
    <n v="9700024359"/>
    <x v="222"/>
    <x v="0"/>
    <n v="9063.01"/>
    <d v="2026-04-22T00:00:00"/>
    <x v="0"/>
    <n v="9063.01"/>
    <x v="5"/>
    <s v="ACCOR"/>
    <s v="ZM"/>
    <s v="Media Interface"/>
    <m/>
    <s v="STARSCAP_MENA"/>
    <s v="AED"/>
    <n v="33283.9"/>
    <n v="0"/>
    <n v="0"/>
    <n v="0"/>
    <n v="0"/>
    <n v="0"/>
    <n v="0"/>
    <n v="0"/>
    <s v="FAIRMONT MAYAKOBA - ALWAYS ON 2025"/>
    <s v="AE8860"/>
    <s v="Publicis Media Executive UAE"/>
    <s v="CA200"/>
    <n v="33283.9"/>
    <n v="7843.37"/>
    <s v="APPROVAL - PROPERTY ALWAYS ON"/>
    <e v="#N/A"/>
    <b v="0"/>
    <x v="1"/>
    <s v="P2P. Client confirmed payment in Process on 08/04."/>
  </r>
  <r>
    <s v="M1140101"/>
    <x v="53"/>
    <s v="(M11)(M11)100114615"/>
    <x v="52"/>
    <n v="9700025718"/>
    <x v="223"/>
    <x v="0"/>
    <n v="11956.68"/>
    <d v="2026-04-26T00:00:00"/>
    <x v="0"/>
    <n v="11956.68"/>
    <x v="62"/>
    <s v="ACCOR"/>
    <s v="ZM"/>
    <s v="Media Interface"/>
    <m/>
    <s v="STARSCAP_MENA"/>
    <s v="AED"/>
    <n v="43910.91"/>
    <n v="0"/>
    <n v="0"/>
    <n v="0"/>
    <n v="0"/>
    <n v="0"/>
    <n v="0"/>
    <n v="0"/>
    <s v="FAIRMONT MAYAKOBA - ALWAYS ON 2025"/>
    <s v="AE8860"/>
    <s v="Publicis Media Executive UAE"/>
    <s v="CA200"/>
    <n v="43910.91"/>
    <n v="10332.42"/>
    <s v="APPROVAL - PROPERTY ALWAYS ON"/>
    <e v="#N/A"/>
    <b v="0"/>
    <x v="1"/>
    <s v="P2P. Client confirmed payment in Process on 08/04."/>
  </r>
  <r>
    <s v="M1140101"/>
    <x v="53"/>
    <s v="(M11)(M11)100114615"/>
    <x v="52"/>
    <n v="9700025994"/>
    <x v="224"/>
    <x v="0"/>
    <n v="11794.11"/>
    <d v="2026-04-26T00:00:00"/>
    <x v="0"/>
    <n v="11794.11"/>
    <x v="62"/>
    <s v="ACCOR"/>
    <s v="ZM"/>
    <s v="Media Interface"/>
    <m/>
    <s v="STARSCAP_MENA"/>
    <s v="AED"/>
    <n v="43313.87"/>
    <n v="0"/>
    <n v="0"/>
    <n v="0"/>
    <n v="0"/>
    <n v="0"/>
    <n v="0"/>
    <n v="0"/>
    <s v="FAIRMONT MAYAKOBA ALWAYS ON 2026"/>
    <s v="AE8860"/>
    <s v="Publicis Media Executive UAE"/>
    <s v="CA200"/>
    <n v="43313.87"/>
    <n v="10174.35"/>
    <s v="APPROVAL - PROPERTY LEVEL - ALWAYS ON"/>
    <e v="#N/A"/>
    <b v="0"/>
    <x v="1"/>
    <s v="P2P. Client confirmed payment in Process on 08/04."/>
  </r>
  <r>
    <s v="M1140101"/>
    <x v="53"/>
    <s v="(M11)(M11)100114615"/>
    <x v="52"/>
    <n v="9700025995"/>
    <x v="225"/>
    <x v="0"/>
    <n v="7501.32"/>
    <d v="2026-04-26T00:00:00"/>
    <x v="0"/>
    <n v="7501.32"/>
    <x v="62"/>
    <s v="ACCOR"/>
    <s v="ZM"/>
    <s v="Media Interface"/>
    <m/>
    <s v="STARSCAP_MENA"/>
    <s v="AED"/>
    <n v="27548.6"/>
    <n v="0"/>
    <n v="0"/>
    <n v="0"/>
    <n v="0"/>
    <n v="0"/>
    <n v="0"/>
    <n v="0"/>
    <s v="MAYAKOBA HERITAGE PALACE ALWAYS ON 2026"/>
    <s v="AE8860"/>
    <s v="Publicis Media Executive UAE"/>
    <s v="CA200"/>
    <n v="27548.6"/>
    <n v="6471.12"/>
    <s v="APPROVAL - PROPERTY LEVEL - ALWAYS ON"/>
    <e v="#N/A"/>
    <b v="0"/>
    <x v="1"/>
    <s v="P2P. Client confirmed payment in Process on 08/04."/>
  </r>
  <r>
    <m/>
    <x v="1"/>
    <m/>
    <x v="52"/>
    <m/>
    <x v="2"/>
    <x v="1"/>
    <n v="40315.120000000003"/>
    <m/>
    <x v="2"/>
    <n v="40315.120000000003"/>
    <x v="2"/>
    <m/>
    <m/>
    <m/>
    <m/>
    <m/>
    <s v="AED"/>
    <n v="148057.28"/>
    <n v="0"/>
    <n v="0"/>
    <n v="0"/>
    <n v="0"/>
    <m/>
    <m/>
    <n v="0"/>
    <m/>
    <m/>
    <m/>
    <m/>
    <n v="148057.28"/>
    <n v="34821.26"/>
    <m/>
    <n v="0"/>
    <n v="0"/>
    <x v="2"/>
    <m/>
  </r>
  <r>
    <s v="M1140101"/>
    <x v="54"/>
    <s v="(M11)(M11)100108732"/>
    <x v="53"/>
    <n v="9700002082"/>
    <x v="226"/>
    <x v="0"/>
    <n v="118.12"/>
    <d v="2026-02-11T00:00:00"/>
    <x v="3"/>
    <n v="118.12"/>
    <x v="72"/>
    <s v="ACCOR"/>
    <s v="ZM"/>
    <s v="Media Interface"/>
    <m/>
    <s v="STARSCAP_MENA"/>
    <s v="AED"/>
    <n v="0"/>
    <n v="0"/>
    <n v="433.8"/>
    <n v="0"/>
    <n v="0"/>
    <n v="0"/>
    <n v="433.8"/>
    <n v="0"/>
    <s v="FAIRMONT AMBASSADOR SEOUL - ALWAYS ON 2025"/>
    <s v="AE8860"/>
    <s v="Publicis Media Executive UAE"/>
    <s v="CA200"/>
    <n v="433.8"/>
    <n v="101.46"/>
    <s v="APPROVAL - PROPERTY ALWAYS ON"/>
    <s v="Pending Contract, WIP as per Hadi(Agency) on 12/8 - still chasing for an update internally."/>
    <b v="0"/>
    <x v="8"/>
    <s v="Pending Contract, WIP as per Hadi(Agency) on 12/8 - still chasing for an update internally."/>
  </r>
  <r>
    <s v="M1140101"/>
    <x v="54"/>
    <s v="(M11)(M11)100108732"/>
    <x v="53"/>
    <n v="9700003990"/>
    <x v="227"/>
    <x v="0"/>
    <n v="118.69"/>
    <d v="2026-02-18T00:00:00"/>
    <x v="3"/>
    <n v="118.69"/>
    <x v="17"/>
    <s v="ACCOR"/>
    <s v="ZM"/>
    <s v="Media Interface"/>
    <m/>
    <s v="STARSCAP_MENA"/>
    <s v="AED"/>
    <n v="0"/>
    <n v="0"/>
    <n v="435.89"/>
    <n v="0"/>
    <n v="0"/>
    <n v="0"/>
    <n v="435.89"/>
    <n v="0"/>
    <s v="FAIRMONT AMBASSADOR SEOUL - ALWAYS ON 2025"/>
    <s v="AE8860"/>
    <s v="Publicis Media Executive UAE"/>
    <s v="CA200"/>
    <n v="435.89"/>
    <n v="102.11"/>
    <s v="APPROVAL - PROPERTY ALWAYS ON"/>
    <s v="Pending Contract, WIP as per Hadi(Agency) on 12/8 - still chasing for an update internally."/>
    <b v="0"/>
    <x v="8"/>
    <s v="Pending Contract, WIP as per Hadi(Agency) on 12/8 - still chasing for an update internally."/>
  </r>
  <r>
    <s v="M1140101"/>
    <x v="54"/>
    <s v="(M11)(M11)100108732"/>
    <x v="53"/>
    <n v="9700012371"/>
    <x v="228"/>
    <x v="0"/>
    <n v="1671.33"/>
    <d v="2025-03-21T00:00:00"/>
    <x v="5"/>
    <n v="1671.33"/>
    <x v="68"/>
    <s v="ACCOR"/>
    <s v="ZM"/>
    <s v="Media Interface"/>
    <m/>
    <s v="STARSCAP_MENA"/>
    <s v="AED"/>
    <n v="0"/>
    <n v="0"/>
    <n v="0"/>
    <n v="0"/>
    <n v="0"/>
    <n v="6137.96"/>
    <n v="6137.96"/>
    <n v="0"/>
    <s v="FAIRMONT_ALWAYS_ON_AMBASSADOR SEOUL"/>
    <s v="AE8860"/>
    <s v="Publicis Media Executive UAE"/>
    <s v="CA200"/>
    <n v="6137.96"/>
    <n v="1595.08"/>
    <s v="APPROVAL_PROPERTY LEVEL_SEA_002"/>
    <s v="Pending Contract, WIP as per Hadi(Agency) on 12/8 - still chasing for an update internally."/>
    <b v="0"/>
    <x v="8"/>
    <s v="Pending Contract, WIP as per Hadi(Agency) on 12/8 - still chasing for an update internally."/>
  </r>
  <r>
    <s v="M1140101"/>
    <x v="54"/>
    <s v="(M11)(M11)100108732"/>
    <x v="53"/>
    <n v="9700017804"/>
    <x v="229"/>
    <x v="0"/>
    <n v="1178"/>
    <d v="2026-03-27T00:00:00"/>
    <x v="4"/>
    <n v="1178"/>
    <x v="12"/>
    <s v="ACCOR"/>
    <s v="ZM"/>
    <s v="Media Interface"/>
    <m/>
    <s v="STARSCAP_MENA"/>
    <s v="AED"/>
    <n v="0"/>
    <n v="4326.21"/>
    <n v="0"/>
    <n v="0"/>
    <n v="0"/>
    <n v="0"/>
    <n v="4326.21"/>
    <n v="0"/>
    <s v="FAIRMONT AMBASSADOR SEOUL ALWAYS ON 2026"/>
    <s v="AE8860"/>
    <s v="Publicis Media Executive UAE"/>
    <s v="CA200"/>
    <n v="4326.21"/>
    <n v="1001.1"/>
    <s v="APPROVAL - PROPERTY ALWAYS ON"/>
    <s v="Pending Contract, WIP as per Hadi(Agency) on 12/8 - still chasing for an update internally."/>
    <b v="0"/>
    <x v="8"/>
    <s v="Pending Contract, WIP as per Hadi(Agency) on 12/8 - still chasing for an update internally."/>
  </r>
  <r>
    <s v="M1140101"/>
    <x v="54"/>
    <s v="(M11)(M11)100108732"/>
    <x v="53"/>
    <n v="9700025558"/>
    <x v="230"/>
    <x v="0"/>
    <n v="2630.93"/>
    <d v="2025-05-17T00:00:00"/>
    <x v="5"/>
    <n v="2630.93"/>
    <x v="39"/>
    <s v="ACCOR"/>
    <s v="ZM"/>
    <s v="Media Interface"/>
    <m/>
    <s v="STARSCAP_MENA"/>
    <s v="AED"/>
    <n v="0"/>
    <n v="0"/>
    <n v="0"/>
    <n v="0"/>
    <n v="0"/>
    <n v="9662.09"/>
    <n v="9662.09"/>
    <n v="0"/>
    <s v="FAIRMONT AMBASSADOR SEOUL - ALWAYS ON 2025"/>
    <s v="AE8860"/>
    <s v="Publicis Media Executive UAE"/>
    <s v="CA200"/>
    <n v="9662.09"/>
    <n v="2318.8200000000002"/>
    <s v="APPROVAL - PROPERTY ALWAYS ON"/>
    <s v="Pending Contract, WIP as per Hadi(Agency) on 12/8 - still chasing for an update internally."/>
    <b v="0"/>
    <x v="8"/>
    <s v="Pending Contract, WIP as per Hadi(Agency) on 12/8 - still chasing for an update internally."/>
  </r>
  <r>
    <s v="M1140101"/>
    <x v="54"/>
    <s v="(M11)(M11)100108732"/>
    <x v="53"/>
    <n v="9700025747"/>
    <x v="231"/>
    <x v="0"/>
    <n v="1400.18"/>
    <d v="2026-04-29T00:00:00"/>
    <x v="1"/>
    <n v="1400.18"/>
    <x v="1"/>
    <s v="ACCOR"/>
    <s v="ZM"/>
    <s v="Media Interface"/>
    <m/>
    <s v="STARSCAP_MENA"/>
    <s v="AED"/>
    <n v="5142.16"/>
    <n v="0"/>
    <n v="0"/>
    <n v="0"/>
    <n v="0"/>
    <n v="0"/>
    <n v="0"/>
    <n v="0"/>
    <s v="FAIRMONT AMBASSADOR SEOUL ALWAYS ON 2026"/>
    <s v="AE8860"/>
    <s v="Publicis Media Executive UAE"/>
    <s v="CA200"/>
    <n v="5142.16"/>
    <n v="1209.97"/>
    <s v="APPROVAL - PROPERTY ALWAYS ON"/>
    <e v="#N/A"/>
    <b v="0"/>
    <x v="8"/>
    <s v="Pending Contract, WIP as per Hadi(Agency) on 12/8 - still chasing for an update internally."/>
  </r>
  <r>
    <s v="M1140101"/>
    <x v="54"/>
    <s v="(M11)(M11)100108732"/>
    <x v="53"/>
    <n v="9700028958"/>
    <x v="232"/>
    <x v="0"/>
    <n v="1715.46"/>
    <d v="2025-05-28T00:00:00"/>
    <x v="5"/>
    <n v="1715.46"/>
    <x v="19"/>
    <s v="ACCOR"/>
    <s v="ZM"/>
    <s v="Media Interface"/>
    <m/>
    <s v="STARSCAP_MENA"/>
    <s v="AED"/>
    <n v="0"/>
    <n v="0"/>
    <n v="0"/>
    <n v="0"/>
    <n v="0"/>
    <n v="6300.03"/>
    <n v="6300.03"/>
    <n v="0"/>
    <s v="FAIRMONT AMBASSADOR SEOUL - ALWAYS ON 2025"/>
    <s v="AE8860"/>
    <s v="Publicis Media Executive UAE"/>
    <s v="CA200"/>
    <n v="6300.03"/>
    <n v="1502.81"/>
    <s v="APPROVAL - PROPERTY ALWAYS ON"/>
    <s v="Pending Contract, WIP as per Hadi(Agency) on 12/8 - still chasing for an update internally."/>
    <b v="0"/>
    <x v="8"/>
    <s v="Pending Contract, WIP as per Hadi(Agency) on 12/8 - still chasing for an update internally."/>
  </r>
  <r>
    <s v="M1140101"/>
    <x v="54"/>
    <s v="(M11)(M11)100108732"/>
    <x v="53"/>
    <n v="9700061939"/>
    <x v="233"/>
    <x v="0"/>
    <n v="120.1"/>
    <d v="2025-10-10T00:00:00"/>
    <x v="5"/>
    <n v="120.1"/>
    <x v="34"/>
    <s v="ACCOR"/>
    <s v="ZM"/>
    <s v="Media Interface"/>
    <m/>
    <s v="STARSCAP_MENA"/>
    <s v="AED"/>
    <n v="0"/>
    <n v="0"/>
    <n v="0"/>
    <n v="0"/>
    <n v="0"/>
    <n v="441.07"/>
    <n v="441.07"/>
    <n v="0"/>
    <s v="FAIRMONT AMBASSADOR SEOUL - ALWAYS ON 2025"/>
    <s v="AE8860"/>
    <s v="Publicis Media Executive UAE"/>
    <s v="CA200"/>
    <n v="441.07"/>
    <n v="102.26"/>
    <s v="APPROVAL - PROPERTY ALWAYS ON"/>
    <s v="Pending Contract, WIP as per Hadi(Agency) on 12/8 - still chasing for an update internally."/>
    <b v="0"/>
    <x v="8"/>
    <s v="Pending Contract, WIP as per Hadi(Agency) on 12/8 - still chasing for an update internally."/>
  </r>
  <r>
    <s v="M1140101"/>
    <x v="54"/>
    <s v="(M11)(M11)100108732"/>
    <x v="53"/>
    <n v="9700064300"/>
    <x v="234"/>
    <x v="0"/>
    <n v="127.41"/>
    <d v="2025-10-19T00:00:00"/>
    <x v="5"/>
    <n v="127.41"/>
    <x v="22"/>
    <s v="ACCOR"/>
    <s v="ZM"/>
    <s v="Media Interface"/>
    <m/>
    <s v="STARSCAP_MENA"/>
    <s v="AED"/>
    <n v="0"/>
    <n v="0"/>
    <n v="0"/>
    <n v="0"/>
    <n v="0"/>
    <n v="467.91"/>
    <n v="467.91"/>
    <n v="0"/>
    <s v="FAIRMONT AMBASSADOR SEOUL - ALWAYS ON 2025"/>
    <s v="AE8860"/>
    <s v="Publicis Media Executive UAE"/>
    <s v="CA200"/>
    <n v="467.91"/>
    <n v="107.91"/>
    <s v="APPROVAL - PROPERTY ALWAYS ON"/>
    <s v="Pending Contract, WIP as per Hadi(Agency) on 12/8 - still chasing for an update internally."/>
    <b v="0"/>
    <x v="8"/>
    <s v="Pending Contract, WIP as per Hadi(Agency) on 12/8 - still chasing for an update internally."/>
  </r>
  <r>
    <s v="M1140101"/>
    <x v="54"/>
    <s v="(M11)(M11)100108732"/>
    <x v="53"/>
    <n v="9700069976"/>
    <x v="235"/>
    <x v="0"/>
    <n v="126.1"/>
    <d v="2025-11-14T00:00:00"/>
    <x v="5"/>
    <n v="126.1"/>
    <x v="69"/>
    <s v="ACCOR"/>
    <s v="ZM"/>
    <s v="Media Interface"/>
    <m/>
    <s v="STARSCAP_MENA"/>
    <s v="AED"/>
    <n v="0"/>
    <n v="0"/>
    <n v="0"/>
    <n v="0"/>
    <n v="0"/>
    <n v="463.1"/>
    <n v="463.1"/>
    <n v="0"/>
    <s v="FAIRMONT AMBASSADOR SEOUL - ALWAYS ON 2025"/>
    <s v="AE8860"/>
    <s v="Publicis Media Executive UAE"/>
    <s v="CA200"/>
    <n v="463.1"/>
    <n v="108.45"/>
    <s v="APPROVAL - PROPERTY ALWAYS ON"/>
    <s v="Pending Contract, WIP as per Hadi(Agency) on 12/8 - still chasing for an update internally."/>
    <b v="0"/>
    <x v="8"/>
    <s v="Pending Contract, WIP as per Hadi(Agency) on 12/8 - still chasing for an update internally."/>
  </r>
  <r>
    <s v="M1140101"/>
    <x v="54"/>
    <s v="(M11)(M11)100108732"/>
    <x v="53"/>
    <n v="9700083364"/>
    <x v="236"/>
    <x v="0"/>
    <n v="125.67"/>
    <d v="2025-12-26T00:00:00"/>
    <x v="5"/>
    <n v="125.67"/>
    <x v="43"/>
    <s v="ACCOR"/>
    <s v="ZM"/>
    <s v="Media Interface"/>
    <m/>
    <s v="STARSCAP_MENA"/>
    <s v="AED"/>
    <n v="0"/>
    <n v="0"/>
    <n v="0"/>
    <n v="0"/>
    <n v="461.52"/>
    <n v="0"/>
    <n v="461.52"/>
    <n v="0"/>
    <s v="FAIRMONT AMBASSADOR SEOUL - ALWAYS ON 2025"/>
    <s v="AE8860"/>
    <s v="Publicis Media Executive UAE"/>
    <s v="CA200"/>
    <n v="461.52"/>
    <n v="109.09"/>
    <s v="APPROVAL - PROPERTY ALWAYS ON"/>
    <s v="Pending Contract, WIP as per Hadi(Agency) on 12/8 - still chasing for an update internally."/>
    <b v="0"/>
    <x v="8"/>
    <s v="Pending Contract, WIP as per Hadi(Agency) on 12/8 - still chasing for an update internally."/>
  </r>
  <r>
    <m/>
    <x v="1"/>
    <m/>
    <x v="53"/>
    <m/>
    <x v="2"/>
    <x v="1"/>
    <n v="9331.99"/>
    <m/>
    <x v="2"/>
    <n v="9331.99"/>
    <x v="2"/>
    <m/>
    <m/>
    <m/>
    <m/>
    <m/>
    <s v="AED"/>
    <n v="5142.16"/>
    <n v="4326.21"/>
    <n v="869.69"/>
    <n v="0"/>
    <n v="461.52"/>
    <m/>
    <m/>
    <n v="0"/>
    <m/>
    <m/>
    <m/>
    <m/>
    <n v="34271.74"/>
    <n v="8259.06"/>
    <m/>
    <n v="0"/>
    <n v="0"/>
    <x v="2"/>
    <m/>
  </r>
  <r>
    <s v="M1140101"/>
    <x v="55"/>
    <s v="(M11)(M11)100119928"/>
    <x v="54"/>
    <n v="9700004046"/>
    <x v="237"/>
    <x v="0"/>
    <n v="667.06"/>
    <d v="2026-02-18T00:00:00"/>
    <x v="3"/>
    <n v="667.06"/>
    <x v="17"/>
    <s v="ACCOR"/>
    <s v="ZM"/>
    <s v="Media Interface"/>
    <m/>
    <s v="STARSCAP_MENA"/>
    <s v="AED"/>
    <n v="0"/>
    <n v="0"/>
    <n v="2449.7800000000002"/>
    <n v="0"/>
    <n v="0"/>
    <n v="0"/>
    <n v="2449.7800000000002"/>
    <n v="0"/>
    <s v="RAFFLES JAKARTA ALWAYS ON 2025"/>
    <s v="AE8860"/>
    <s v="Publicis Media Executive UAE"/>
    <s v="CA200"/>
    <n v="2449.7800000000002"/>
    <n v="573.86"/>
    <s v="APPROVAL - PROPERTY ALWAYS ON"/>
    <s v="still pending as of 24/2 due to unsigned DGT form from Finance."/>
    <b v="0"/>
    <x v="12"/>
    <s v="Pending signed DGT form from Finance."/>
  </r>
  <r>
    <s v="M1140101"/>
    <x v="55"/>
    <s v="(M11)(M11)100119928"/>
    <x v="54"/>
    <n v="9700022242"/>
    <x v="238"/>
    <x v="0"/>
    <n v="667.06"/>
    <d v="2026-04-15T00:00:00"/>
    <x v="0"/>
    <n v="667.06"/>
    <x v="77"/>
    <s v="ACCOR"/>
    <s v="ZM"/>
    <s v="Media Interface"/>
    <m/>
    <s v="STARSCAP_MENA"/>
    <s v="AED"/>
    <n v="2449.7800000000002"/>
    <n v="0"/>
    <n v="0"/>
    <n v="0"/>
    <n v="0"/>
    <n v="0"/>
    <n v="0"/>
    <n v="0"/>
    <s v="RAFFLES JAKARTA ALWAYS ON 2025"/>
    <s v="AE8860"/>
    <s v="Publicis Media Executive UAE"/>
    <s v="CA200"/>
    <n v="2449.7800000000002"/>
    <n v="577.69000000000005"/>
    <s v="APPROVAL - PROPERTY ALWAYS ON"/>
    <e v="#N/A"/>
    <b v="0"/>
    <x v="12"/>
    <s v="Pending signed DGT form from Finance."/>
  </r>
  <r>
    <s v="M1140101"/>
    <x v="55"/>
    <s v="(M11)(M11)100119928"/>
    <x v="54"/>
    <n v="9700022243"/>
    <x v="239"/>
    <x v="0"/>
    <n v="566.62"/>
    <d v="2026-04-15T00:00:00"/>
    <x v="0"/>
    <n v="566.62"/>
    <x v="77"/>
    <s v="ACCOR"/>
    <s v="ZM"/>
    <s v="Media Interface"/>
    <m/>
    <s v="STARSCAP_MENA"/>
    <s v="AED"/>
    <n v="2080.91"/>
    <n v="0"/>
    <n v="0"/>
    <n v="0"/>
    <n v="0"/>
    <n v="0"/>
    <n v="0"/>
    <n v="0"/>
    <s v="RAFFLES JAKARTA ALWAYS ON 2025"/>
    <s v="AE8860"/>
    <s v="Publicis Media Executive UAE"/>
    <s v="CA200"/>
    <n v="2080.91"/>
    <n v="490.71"/>
    <s v="APPROVAL - PROPERTY ALWAYS ON"/>
    <e v="#N/A"/>
    <b v="0"/>
    <x v="12"/>
    <s v="Pending signed DGT form from Finance."/>
  </r>
  <r>
    <s v="M1140101"/>
    <x v="55"/>
    <s v="(M11)(M11)100119928"/>
    <x v="54"/>
    <n v="9700022647"/>
    <x v="240"/>
    <x v="0"/>
    <n v="519.75"/>
    <d v="2026-04-16T00:00:00"/>
    <x v="0"/>
    <n v="519.75"/>
    <x v="50"/>
    <s v="ACCOR"/>
    <s v="ZM"/>
    <s v="Media Interface"/>
    <m/>
    <s v="STARSCAP_MENA"/>
    <s v="AED"/>
    <n v="1908.78"/>
    <n v="0"/>
    <n v="0"/>
    <n v="0"/>
    <n v="0"/>
    <n v="0"/>
    <n v="0"/>
    <n v="0"/>
    <s v="RAFFLES JAKARTA ALWAYS ON 2026"/>
    <s v="AE8860"/>
    <s v="Publicis Media Executive UAE"/>
    <s v="CA200"/>
    <n v="1908.78"/>
    <n v="452.9"/>
    <s v="APPROVAL - PROPERTY ALWAYS ON"/>
    <e v="#N/A"/>
    <b v="0"/>
    <x v="12"/>
    <s v="Pending signed DGT form from Finance."/>
  </r>
  <r>
    <s v="M1140101"/>
    <x v="55"/>
    <s v="(M11)(M11)100119928"/>
    <x v="54"/>
    <n v="9700025792"/>
    <x v="241"/>
    <x v="0"/>
    <n v="683.41"/>
    <d v="2026-04-29T00:00:00"/>
    <x v="1"/>
    <n v="683.41"/>
    <x v="1"/>
    <s v="ACCOR"/>
    <s v="ZM"/>
    <s v="Media Interface"/>
    <m/>
    <s v="STARSCAP_MENA"/>
    <s v="AED"/>
    <n v="2509.8200000000002"/>
    <n v="0"/>
    <n v="0"/>
    <n v="0"/>
    <n v="0"/>
    <n v="0"/>
    <n v="0"/>
    <n v="0"/>
    <s v="RAFFLES JAKARTA ALWAYS ON 2026"/>
    <s v="AE8860"/>
    <s v="Publicis Media Executive UAE"/>
    <s v="CA200"/>
    <n v="2509.8200000000002"/>
    <n v="590.57000000000005"/>
    <s v="APPROVAL - PROPERTY ALWAYS ON"/>
    <e v="#N/A"/>
    <b v="0"/>
    <x v="12"/>
    <s v="Pending signed DGT form from Finance."/>
  </r>
  <r>
    <s v="M1140101"/>
    <x v="55"/>
    <s v="(M11)(M11)100119928"/>
    <x v="54"/>
    <n v="9700082958"/>
    <x v="242"/>
    <x v="0"/>
    <n v="663.8"/>
    <d v="2025-12-24T00:00:00"/>
    <x v="5"/>
    <n v="663.8"/>
    <x v="78"/>
    <s v="ACCOR"/>
    <s v="ZM"/>
    <s v="Media Interface"/>
    <m/>
    <s v="STARSCAP_MENA"/>
    <s v="AED"/>
    <n v="0"/>
    <n v="0"/>
    <n v="0"/>
    <n v="0"/>
    <n v="2437.81"/>
    <n v="0"/>
    <n v="2437.81"/>
    <n v="0"/>
    <s v="RAFFLES JAKARTA ALWAYS ON 2025"/>
    <s v="AE8860"/>
    <s v="Publicis Media Executive UAE"/>
    <s v="CA200"/>
    <n v="2437.81"/>
    <n v="576.22"/>
    <s v="APPROVAL - PROPERTY ALWAYS ON"/>
    <s v="Client request COR and DGT Form on 18/12. COR provided on 09/01, still pending as of 24/2 due to unsigned DGT form from Finance."/>
    <b v="0"/>
    <x v="12"/>
    <s v="Client request COR and DGT Form on 18/12. COR provided on 09/01, still pending as of 24/2 due to unsigned DGT form from Finance."/>
  </r>
  <r>
    <m/>
    <x v="1"/>
    <m/>
    <x v="54"/>
    <m/>
    <x v="2"/>
    <x v="1"/>
    <n v="3767.7"/>
    <m/>
    <x v="2"/>
    <n v="3767.7"/>
    <x v="2"/>
    <m/>
    <m/>
    <m/>
    <m/>
    <m/>
    <s v="AED"/>
    <n v="8949.2900000000009"/>
    <n v="0"/>
    <n v="2449.7800000000002"/>
    <n v="0"/>
    <n v="2437.81"/>
    <m/>
    <m/>
    <n v="0"/>
    <m/>
    <m/>
    <m/>
    <m/>
    <n v="13836.88"/>
    <n v="3261.95"/>
    <m/>
    <n v="0"/>
    <n v="0"/>
    <x v="2"/>
    <m/>
  </r>
  <r>
    <s v="M1140101"/>
    <x v="56"/>
    <s v="(M11)(M11)100113978"/>
    <x v="55"/>
    <n v="9700003140"/>
    <x v="243"/>
    <x v="0"/>
    <n v="1300.8499999999999"/>
    <d v="2026-02-15T00:00:00"/>
    <x v="3"/>
    <n v="1300.8499999999999"/>
    <x v="16"/>
    <s v="ACCOR"/>
    <s v="ZM"/>
    <s v="Media Interface"/>
    <m/>
    <s v="STARSCAP_MENA"/>
    <s v="AED"/>
    <n v="0"/>
    <n v="0"/>
    <n v="4777.37"/>
    <n v="0"/>
    <n v="0"/>
    <n v="0"/>
    <n v="4777.37"/>
    <n v="0"/>
    <s v="RAFFLES BALI - ALWAYS ON 2025"/>
    <s v="AE8860"/>
    <s v="Publicis Media Executive UAE"/>
    <s v="CA200"/>
    <n v="4777.37"/>
    <n v="1116.23"/>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03852"/>
    <x v="244"/>
    <x v="0"/>
    <n v="1333.94"/>
    <d v="2026-02-18T00:00:00"/>
    <x v="3"/>
    <n v="1333.94"/>
    <x v="17"/>
    <s v="ACCOR"/>
    <s v="ZM"/>
    <s v="Media Interface"/>
    <m/>
    <s v="STARSCAP_MENA"/>
    <s v="AED"/>
    <n v="0"/>
    <n v="0"/>
    <n v="4898.8900000000003"/>
    <n v="0"/>
    <n v="0"/>
    <n v="0"/>
    <n v="4898.8900000000003"/>
    <n v="0"/>
    <s v="RAFFLES BALI - ALWAYS ON 2025"/>
    <s v="AE8860"/>
    <s v="Publicis Media Executive UAE"/>
    <s v="CA200"/>
    <n v="4898.8900000000003"/>
    <n v="1144.9100000000001"/>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22722"/>
    <x v="245"/>
    <x v="0"/>
    <n v="1001.46"/>
    <d v="2026-04-18T00:00:00"/>
    <x v="0"/>
    <n v="1001.46"/>
    <x v="18"/>
    <s v="ACCOR"/>
    <s v="ZM"/>
    <s v="Media Interface"/>
    <m/>
    <s v="STARSCAP_MENA"/>
    <s v="AED"/>
    <n v="3677.86"/>
    <n v="0"/>
    <n v="0"/>
    <n v="0"/>
    <n v="0"/>
    <n v="0"/>
    <n v="0"/>
    <n v="0"/>
    <s v="RAFFLES BALI - ALWAYS ON 2026"/>
    <s v="AE8860"/>
    <s v="Publicis Media Executive UAE"/>
    <s v="CA200"/>
    <n v="3677.86"/>
    <n v="872.66"/>
    <s v="APPROVAL - PROPERTY ALWAYS ON"/>
    <e v="#N/A"/>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28966"/>
    <x v="246"/>
    <x v="0"/>
    <n v="1538.48"/>
    <d v="2025-05-28T00:00:00"/>
    <x v="5"/>
    <n v="1538.48"/>
    <x v="19"/>
    <s v="ACCOR"/>
    <s v="ZM"/>
    <s v="Media Interface"/>
    <m/>
    <s v="STARSCAP_MENA"/>
    <s v="AED"/>
    <n v="0"/>
    <n v="0"/>
    <n v="0"/>
    <n v="0"/>
    <n v="0"/>
    <n v="5650.07"/>
    <n v="5650.07"/>
    <n v="0"/>
    <s v="RAFFLES_ALWAYS ON_RAFFLES Bali_NON UAE"/>
    <s v="AE8860"/>
    <s v="Publicis Media Executive UAE"/>
    <s v="CA200"/>
    <n v="5650.07"/>
    <n v="1347.77"/>
    <s v="APPROVAL_PROPERTY LEVEL_SEA_001"/>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28971"/>
    <x v="247"/>
    <x v="0"/>
    <n v="737.39"/>
    <d v="2025-05-28T00:00:00"/>
    <x v="5"/>
    <n v="737.39"/>
    <x v="19"/>
    <s v="ACCOR"/>
    <s v="ZM"/>
    <s v="Media Interface"/>
    <m/>
    <s v="STARSCAP_MENA"/>
    <s v="AED"/>
    <n v="0"/>
    <n v="0"/>
    <n v="0"/>
    <n v="0"/>
    <n v="0"/>
    <n v="2708.06"/>
    <n v="2708.06"/>
    <n v="0"/>
    <s v="RAFFLES_ALWAYS ON_RAFFLES Bali"/>
    <s v="AE8860"/>
    <s v="Publicis Media Executive UAE"/>
    <s v="CA200"/>
    <n v="2708.06"/>
    <n v="645.98"/>
    <s v="APPROVAL_PROPERTY LEVEL_SEA_002"/>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28972"/>
    <x v="248"/>
    <x v="0"/>
    <n v="560.65"/>
    <d v="2025-05-28T00:00:00"/>
    <x v="5"/>
    <n v="560.65"/>
    <x v="19"/>
    <s v="ACCOR"/>
    <s v="ZM"/>
    <s v="Media Interface"/>
    <m/>
    <s v="STARSCAP_MENA"/>
    <s v="AED"/>
    <n v="0"/>
    <n v="0"/>
    <n v="0"/>
    <n v="0"/>
    <n v="0"/>
    <n v="2058.9899999999998"/>
    <n v="2058.9899999999998"/>
    <n v="0"/>
    <s v="RAFFLES BALI - ALWAYS ON 2025"/>
    <s v="AE8860"/>
    <s v="Publicis Media Executive UAE"/>
    <s v="CA200"/>
    <n v="2058.9899999999998"/>
    <n v="491.15"/>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34348"/>
    <x v="249"/>
    <x v="0"/>
    <n v="199.66"/>
    <d v="2025-06-19T00:00:00"/>
    <x v="5"/>
    <n v="199.66"/>
    <x v="29"/>
    <s v="ACCOR"/>
    <s v="ZM"/>
    <s v="Media Interface"/>
    <m/>
    <s v="STARSCAP_MENA"/>
    <s v="AED"/>
    <n v="0"/>
    <n v="0"/>
    <n v="0"/>
    <n v="0"/>
    <n v="0"/>
    <n v="733.25"/>
    <n v="733.25"/>
    <n v="0"/>
    <s v="RAFFLES BALI - ALWAYS ON 2025"/>
    <s v="AE8860"/>
    <s v="Publicis Media Executive UAE"/>
    <s v="CA200"/>
    <n v="733.25"/>
    <n v="178.51"/>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34919"/>
    <x v="250"/>
    <x v="0"/>
    <n v="1001.59"/>
    <d v="2025-06-20T00:00:00"/>
    <x v="5"/>
    <n v="1001.59"/>
    <x v="30"/>
    <s v="ACCOR"/>
    <s v="ZM"/>
    <s v="Media Interface"/>
    <m/>
    <s v="STARSCAP_MENA"/>
    <s v="AED"/>
    <n v="0"/>
    <n v="0"/>
    <n v="0"/>
    <n v="0"/>
    <n v="0"/>
    <n v="3678.34"/>
    <n v="3678.34"/>
    <n v="0"/>
    <s v="RAFFLES BALI - ALWAYS ON 2025"/>
    <s v="AE8860"/>
    <s v="Publicis Media Executive UAE"/>
    <s v="CA200"/>
    <n v="3678.34"/>
    <n v="894.76"/>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41232"/>
    <x v="251"/>
    <x v="0"/>
    <n v="983.58"/>
    <d v="2025-07-18T00:00:00"/>
    <x v="5"/>
    <n v="983.58"/>
    <x v="31"/>
    <s v="ACCOR"/>
    <s v="ZM"/>
    <s v="Media Interface"/>
    <m/>
    <s v="STARSCAP_MENA"/>
    <s v="AED"/>
    <n v="0"/>
    <n v="0"/>
    <n v="0"/>
    <n v="0"/>
    <n v="0"/>
    <n v="3612.2"/>
    <n v="3612.2"/>
    <n v="0"/>
    <s v="RAFFLES BALI - ALWAYS ON 2025"/>
    <s v="AE8860"/>
    <s v="Publicis Media Executive UAE"/>
    <s v="CA200"/>
    <n v="3612.2"/>
    <n v="849.82"/>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47443"/>
    <x v="252"/>
    <x v="0"/>
    <n v="941.93"/>
    <d v="2025-08-16T00:00:00"/>
    <x v="5"/>
    <n v="941.93"/>
    <x v="74"/>
    <s v="ACCOR"/>
    <s v="ZM"/>
    <s v="Media Interface"/>
    <m/>
    <s v="STARSCAP_MENA"/>
    <s v="AED"/>
    <n v="0"/>
    <n v="0"/>
    <n v="0"/>
    <n v="0"/>
    <n v="0"/>
    <n v="3459.24"/>
    <n v="3459.24"/>
    <n v="0"/>
    <s v="RAFFLES BALI - ALWAYS ON 2025"/>
    <s v="AE8860"/>
    <s v="Publicis Media Executive UAE"/>
    <s v="CA200"/>
    <n v="3459.24"/>
    <n v="805.76"/>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61829"/>
    <x v="253"/>
    <x v="0"/>
    <n v="1386.56"/>
    <d v="2025-10-10T00:00:00"/>
    <x v="5"/>
    <n v="1386.56"/>
    <x v="34"/>
    <s v="ACCOR"/>
    <s v="ZM"/>
    <s v="Media Interface"/>
    <m/>
    <s v="STARSCAP_MENA"/>
    <s v="AED"/>
    <n v="0"/>
    <n v="0"/>
    <n v="0"/>
    <n v="0"/>
    <n v="0"/>
    <n v="5092.1400000000003"/>
    <n v="5092.1400000000003"/>
    <n v="0"/>
    <s v="RAFFLES BALI - ALWAYS ON 2025"/>
    <s v="AE8860"/>
    <s v="Publicis Media Executive UAE"/>
    <s v="CA200"/>
    <n v="5092.1400000000003"/>
    <n v="1180.6500000000001"/>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64323"/>
    <x v="254"/>
    <x v="0"/>
    <n v="1347.97"/>
    <d v="2025-10-19T00:00:00"/>
    <x v="5"/>
    <n v="1347.97"/>
    <x v="22"/>
    <s v="ACCOR"/>
    <s v="ZM"/>
    <s v="Media Interface"/>
    <m/>
    <s v="STARSCAP_MENA"/>
    <s v="AED"/>
    <n v="0"/>
    <n v="0"/>
    <n v="0"/>
    <n v="0"/>
    <n v="0"/>
    <n v="4950.42"/>
    <n v="4950.42"/>
    <n v="0"/>
    <s v="RAFFLES BALI - ALWAYS ON 2025"/>
    <s v="AE8860"/>
    <s v="Publicis Media Executive UAE"/>
    <s v="CA200"/>
    <n v="4950.42"/>
    <n v="1141.67"/>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71249"/>
    <x v="255"/>
    <x v="0"/>
    <n v="1312.38"/>
    <d v="2025-11-15T00:00:00"/>
    <x v="5"/>
    <n v="1312.38"/>
    <x v="76"/>
    <s v="ACCOR"/>
    <s v="ZM"/>
    <s v="Media Interface"/>
    <m/>
    <s v="STARSCAP_MENA"/>
    <s v="AED"/>
    <n v="0"/>
    <n v="0"/>
    <n v="0"/>
    <n v="0"/>
    <n v="0"/>
    <n v="4819.72"/>
    <n v="4819.72"/>
    <n v="0"/>
    <s v="RAFFLES BALI - ALWAYS ON 2025"/>
    <s v="AE8860"/>
    <s v="Publicis Media Executive UAE"/>
    <s v="CA200"/>
    <n v="4819.72"/>
    <n v="1134.3900000000001"/>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s v="M1140101"/>
    <x v="56"/>
    <s v="(M11)(M11)100113978"/>
    <x v="55"/>
    <n v="9700082639"/>
    <x v="256"/>
    <x v="0"/>
    <n v="1351.11"/>
    <d v="2025-12-24T00:00:00"/>
    <x v="5"/>
    <n v="1351.11"/>
    <x v="78"/>
    <s v="ACCOR"/>
    <s v="ZM"/>
    <s v="Media Interface"/>
    <m/>
    <s v="STARSCAP_MENA"/>
    <s v="AED"/>
    <n v="0"/>
    <n v="0"/>
    <n v="0"/>
    <n v="0"/>
    <n v="4961.95"/>
    <n v="0"/>
    <n v="4961.95"/>
    <n v="0"/>
    <s v="RAFFLES BALI - ALWAYS ON 2025"/>
    <s v="AE8860"/>
    <s v="Publicis Media Executive UAE"/>
    <s v="CA200"/>
    <n v="4961.95"/>
    <n v="1173.45"/>
    <s v="APPROVAL - PROPERTY ALWAYS ON"/>
    <s v="Pending COD and DGT Form on 30/9, forwarded to Faraz(Agency) for necessary action on 6/10, On 16/12 client propose to process payment less 20% tax without documents - ask team and chasing for next step.still pending as of 24/2 due to unsigned DGT form from Finance."/>
    <b v="0"/>
    <x v="12"/>
    <s v="On 09/03 Client mentioned unable to proceed payment as required by Indonesian tax  regulation due to absence of COR(Certificate of  Residence) and DGT Form issued by tax authority client propose to process payment less 20% tax without documents - chasing Ops for an update._x000a_"/>
  </r>
  <r>
    <m/>
    <x v="1"/>
    <m/>
    <x v="55"/>
    <m/>
    <x v="2"/>
    <x v="1"/>
    <n v="14997.55"/>
    <m/>
    <x v="2"/>
    <n v="14997.55"/>
    <x v="2"/>
    <m/>
    <m/>
    <m/>
    <m/>
    <m/>
    <s v="AED"/>
    <n v="3677.86"/>
    <n v="0"/>
    <n v="9676.26"/>
    <n v="0"/>
    <n v="4961.95"/>
    <m/>
    <m/>
    <n v="0"/>
    <m/>
    <m/>
    <m/>
    <m/>
    <n v="55078.5"/>
    <n v="12977.71"/>
    <m/>
    <n v="0"/>
    <n v="0"/>
    <x v="2"/>
    <m/>
  </r>
  <r>
    <s v="M1140101"/>
    <x v="57"/>
    <s v="(M11)(M11)100111977"/>
    <x v="56"/>
    <n v="9700025806"/>
    <x v="257"/>
    <x v="0"/>
    <n v="5801.2"/>
    <d v="2026-04-29T00:00:00"/>
    <x v="1"/>
    <n v="5801.2"/>
    <x v="1"/>
    <s v="ACCOR"/>
    <s v="ZM"/>
    <s v="Media Interface"/>
    <m/>
    <s v="STARSCAP_MENA"/>
    <s v="AED"/>
    <n v="21304.91"/>
    <n v="0"/>
    <n v="0"/>
    <n v="0"/>
    <n v="0"/>
    <n v="0"/>
    <n v="0"/>
    <n v="0"/>
    <s v="FAIRMONT QUEEN ELIZABETH ALWAYS ON 2026"/>
    <s v="AE8860"/>
    <s v="Publicis Media Executive UAE"/>
    <s v="CA200"/>
    <n v="21304.91"/>
    <n v="5004.49"/>
    <s v="FAIRMONT PROPERTY ALWAYS ON APPROVAL"/>
    <e v="#N/A"/>
    <b v="1"/>
    <x v="0"/>
    <s v="Collected"/>
  </r>
  <r>
    <m/>
    <x v="1"/>
    <m/>
    <x v="56"/>
    <m/>
    <x v="2"/>
    <x v="1"/>
    <n v="5801.2"/>
    <m/>
    <x v="2"/>
    <n v="5801.2"/>
    <x v="2"/>
    <m/>
    <m/>
    <m/>
    <m/>
    <m/>
    <s v="AED"/>
    <n v="21304.91"/>
    <n v="0"/>
    <n v="0"/>
    <n v="0"/>
    <n v="0"/>
    <m/>
    <m/>
    <n v="0"/>
    <m/>
    <m/>
    <m/>
    <m/>
    <n v="21304.91"/>
    <n v="5004.49"/>
    <m/>
    <n v="5004.49"/>
    <n v="1"/>
    <x v="2"/>
    <m/>
  </r>
  <r>
    <s v="M1140101"/>
    <x v="58"/>
    <s v="(M11)(M11)100113966"/>
    <x v="57"/>
    <n v="9700002993"/>
    <x v="258"/>
    <x v="0"/>
    <n v="516.69000000000005"/>
    <d v="2026-02-15T00:00:00"/>
    <x v="3"/>
    <n v="516.69000000000005"/>
    <x v="16"/>
    <s v="ACCOR"/>
    <s v="ZM"/>
    <s v="Media Interface"/>
    <m/>
    <s v="STARSCAP_MENA"/>
    <s v="AED"/>
    <n v="0"/>
    <n v="0"/>
    <n v="1897.54"/>
    <n v="0"/>
    <n v="0"/>
    <n v="0"/>
    <n v="1897.54"/>
    <n v="0"/>
    <s v="RAFFLES SENTOSA SINGAPORE ALWAYS ON 2025"/>
    <s v="AE8860"/>
    <s v="Publicis Media Executive UAE"/>
    <s v="CA200"/>
    <n v="1897.54"/>
    <n v="443.36"/>
    <s v="APPROVAL - PROPERTY LEVEL - ALWAYS ON"/>
    <s v="Reshared invoice on 25/2 after client reported non‑receipt. Hold payment due to request perfomance detailed  of invoices which is still pending on Agency side on 06/03."/>
    <b v="1"/>
    <x v="0"/>
    <s v="Collected"/>
  </r>
  <r>
    <s v="M1140101"/>
    <x v="58"/>
    <s v="(M11)(M11)100113966"/>
    <x v="57"/>
    <n v="9700003948"/>
    <x v="259"/>
    <x v="0"/>
    <n v="388.26"/>
    <d v="2026-02-18T00:00:00"/>
    <x v="3"/>
    <n v="388.26"/>
    <x v="17"/>
    <s v="ACCOR"/>
    <s v="ZM"/>
    <s v="Media Interface"/>
    <m/>
    <s v="STARSCAP_MENA"/>
    <s v="AED"/>
    <n v="0"/>
    <n v="0"/>
    <n v="1425.88"/>
    <n v="0"/>
    <n v="0"/>
    <n v="0"/>
    <n v="1425.88"/>
    <n v="0"/>
    <s v="RAFFLES SENTOSA SINGAPORE ALWAYS ON 2025"/>
    <s v="AE8860"/>
    <s v="Publicis Media Executive UAE"/>
    <s v="CA200"/>
    <n v="1425.88"/>
    <n v="334.02"/>
    <s v="APPROVAL - PROPERTY LEVEL - ALWAYS ON"/>
    <s v="Reshared invoice on 25/2 after client reported non‑receipt. Hold payment due to request perfomance detailed  of invoices which is still pending on Agency side on 06/03."/>
    <b v="1"/>
    <x v="0"/>
    <s v="Collected"/>
  </r>
  <r>
    <s v="M1140101"/>
    <x v="58"/>
    <s v="(M11)(M11)100113966"/>
    <x v="57"/>
    <n v="9700017318"/>
    <x v="260"/>
    <x v="0"/>
    <n v="9796.86"/>
    <d v="2026-03-26T00:00:00"/>
    <x v="4"/>
    <n v="9796.86"/>
    <x v="79"/>
    <s v="ACCOR"/>
    <s v="ZM"/>
    <s v="Media Interface"/>
    <m/>
    <s v="STARSCAP_MENA"/>
    <s v="AED"/>
    <n v="0"/>
    <n v="35978.97"/>
    <n v="0"/>
    <n v="0"/>
    <n v="0"/>
    <n v="0"/>
    <n v="35978.97"/>
    <n v="0"/>
    <s v="Raffles Sentosa Tactical 2025"/>
    <s v="AE8860"/>
    <s v="Publicis Media Executive UAE"/>
    <s v="CA200"/>
    <n v="35978.97"/>
    <n v="8325.7099999999991"/>
    <s v="72653799598693TFYHGR#000504"/>
    <s v="Chasing Client for Payment timeline."/>
    <b v="0"/>
    <x v="4"/>
    <s v="Payment on hold due to client request for detailed performance report for invoices pending on agency side as of 06/03. Call requested on 31/03 and actioned by Faraz. Partial processing done; remaining invoices still open. Follow-up sent on 14/04 to confirm reason for hold or further actions needed."/>
  </r>
  <r>
    <s v="M1140101"/>
    <x v="58"/>
    <s v="(M11)(M11)100113966"/>
    <x v="57"/>
    <n v="9700017319"/>
    <x v="261"/>
    <x v="0"/>
    <n v="831.15"/>
    <d v="2026-03-26T00:00:00"/>
    <x v="4"/>
    <n v="831.15"/>
    <x v="79"/>
    <s v="ACCOR"/>
    <s v="ZM"/>
    <s v="Media Interface"/>
    <m/>
    <s v="STARSCAP_MENA"/>
    <s v="AED"/>
    <n v="0"/>
    <n v="3052.4"/>
    <n v="0"/>
    <n v="0"/>
    <n v="0"/>
    <n v="0"/>
    <n v="3052.4"/>
    <n v="0"/>
    <s v="RAFFLES SENTOSA SINGAPORE ALWAYS ON 2026"/>
    <s v="AE8860"/>
    <s v="Publicis Media Executive UAE"/>
    <s v="CA200"/>
    <n v="3052.4"/>
    <n v="706.34"/>
    <s v="APPROVAL - PROPERTY LEVEL - ALWAYS ON"/>
    <s v="Chasing Client for Payment timeline."/>
    <b v="1"/>
    <x v="0"/>
    <s v="Collected"/>
  </r>
  <r>
    <s v="M1140101"/>
    <x v="58"/>
    <s v="(M11)(M11)100113966"/>
    <x v="57"/>
    <n v="9700023861"/>
    <x v="262"/>
    <x v="0"/>
    <n v="40596.32"/>
    <d v="2026-04-17T00:00:00"/>
    <x v="0"/>
    <n v="40596.32"/>
    <x v="53"/>
    <s v="ACCOR"/>
    <s v="ZM"/>
    <s v="Media Interface"/>
    <m/>
    <s v="STARSCAP_MENA"/>
    <s v="AED"/>
    <n v="149089.99"/>
    <n v="0"/>
    <n v="0"/>
    <n v="0"/>
    <n v="0"/>
    <n v="0"/>
    <n v="0"/>
    <n v="0"/>
    <s v="Raffles Sentosa Tactical 2025"/>
    <s v="AE8860"/>
    <s v="Publicis Media Executive UAE"/>
    <s v="CA200"/>
    <n v="149089.99"/>
    <n v="35206.239999999998"/>
    <s v="72653799598693TFYHGR#000504"/>
    <e v="#N/A"/>
    <b v="0"/>
    <x v="4"/>
    <s v="Payment on hold due to client request for detailed performance report for invoices pending on agency side as of 06/03. Call requested on 31/03 and actioned by Faraz. Partial processing done; remaining invoices still open. Follow-up sent on 14/04 to confirm reason for hold or further actions needed."/>
  </r>
  <r>
    <m/>
    <x v="1"/>
    <m/>
    <x v="57"/>
    <m/>
    <x v="2"/>
    <x v="1"/>
    <n v="52129.279999999999"/>
    <m/>
    <x v="2"/>
    <n v="52129.279999999999"/>
    <x v="2"/>
    <m/>
    <m/>
    <m/>
    <m/>
    <m/>
    <s v="AED"/>
    <n v="149089.99"/>
    <n v="39031.370000000003"/>
    <n v="3323.42"/>
    <n v="0"/>
    <n v="0"/>
    <m/>
    <m/>
    <n v="0"/>
    <m/>
    <m/>
    <m/>
    <m/>
    <n v="191444.78"/>
    <n v="45015.67"/>
    <m/>
    <n v="1483.72"/>
    <n v="3.3303740239650347E-2"/>
    <x v="2"/>
    <m/>
  </r>
  <r>
    <s v="M1140101"/>
    <x v="59"/>
    <s v="(M11)(M11)100108811"/>
    <x v="58"/>
    <n v="9700003183"/>
    <x v="263"/>
    <x v="0"/>
    <n v="17776.830000000002"/>
    <d v="2026-02-15T00:00:00"/>
    <x v="3"/>
    <n v="17776.830000000002"/>
    <x v="16"/>
    <s v="ACCOR"/>
    <s v="ZM"/>
    <s v="Media Interface"/>
    <m/>
    <s v="STARSCAP_MENA"/>
    <s v="AED"/>
    <n v="0"/>
    <n v="0"/>
    <n v="65285.41"/>
    <n v="0"/>
    <n v="0"/>
    <n v="0"/>
    <n v="65285.41"/>
    <n v="0"/>
    <s v="Raffles The Palm Dubai Tactical 2025"/>
    <s v="AE8860"/>
    <s v="Publicis Media Executive UAE"/>
    <s v="CA200"/>
    <n v="65285.41"/>
    <n v="15253.84"/>
    <e v="#N/A"/>
    <s v="Delayed due to client-reported discrepancies in the total spend for the monthly campaign. On 4/3, Faraz (Agency) advised that the client will raise a new PO, after which payment will be made."/>
    <b v="0"/>
    <x v="4"/>
    <s v="Delayed due to client-reported discrepancies in the total spend for the monthly campaign. On 4/3, Faraz (Agency) advised that the client will raise a new PO, after which payment will be made. On 13/04 Client mentioned that invoice are being finalized and in Process and assure to be cleared yet no timeline given."/>
  </r>
  <r>
    <s v="M1140101"/>
    <x v="59"/>
    <s v="(M11)(M11)100108811"/>
    <x v="58"/>
    <n v="9700017786"/>
    <x v="264"/>
    <x v="0"/>
    <n v="17125.57"/>
    <d v="2026-03-28T00:00:00"/>
    <x v="0"/>
    <n v="17125.57"/>
    <x v="38"/>
    <s v="ACCOR"/>
    <s v="ZM"/>
    <s v="Media Interface"/>
    <m/>
    <s v="STARSCAP_MENA"/>
    <s v="AED"/>
    <n v="0"/>
    <n v="62893.66"/>
    <n v="0"/>
    <n v="0"/>
    <n v="0"/>
    <n v="0"/>
    <n v="62893.66"/>
    <n v="0"/>
    <s v="RAFFLES_PALM DUBAI WINTER SUPPORT"/>
    <s v="AE8860"/>
    <s v="Publicis Media Executive UAE"/>
    <s v="CA200"/>
    <n v="62893.66"/>
    <n v="14553.9"/>
    <s v="69910199694039SKNO2V #119210_Ab_ Do not share"/>
    <s v="AB Linking"/>
    <b v="1"/>
    <x v="5"/>
    <s v="Cleared - AB Linking"/>
  </r>
  <r>
    <s v="M1140101"/>
    <x v="59"/>
    <s v="(M11)(M11)100108811"/>
    <x v="58"/>
    <n v="9700018278"/>
    <x v="265"/>
    <x v="0"/>
    <n v="8174.69"/>
    <d v="2026-03-27T00:00:00"/>
    <x v="4"/>
    <n v="8174.69"/>
    <x v="12"/>
    <s v="ACCOR"/>
    <s v="ZM"/>
    <s v="Media Interface"/>
    <m/>
    <s v="STARSCAP_MENA"/>
    <s v="AED"/>
    <n v="0"/>
    <n v="30021.55"/>
    <n v="0"/>
    <n v="0"/>
    <n v="0"/>
    <n v="0"/>
    <n v="30021.55"/>
    <n v="0"/>
    <s v="Raffles The Palm Dubai Tactical 2025"/>
    <s v="AE8860"/>
    <s v="Publicis Media Executive UAE"/>
    <s v="CA200"/>
    <n v="30021.55"/>
    <n v="6937.11"/>
    <s v="69910199694039TELPG0 #140358_AB do not share with"/>
    <s v="AB Linking"/>
    <b v="1"/>
    <x v="5"/>
    <s v="Cleared - AB Linking"/>
  </r>
  <r>
    <s v="M1140101"/>
    <x v="59"/>
    <s v="(M11)(M11)100108811"/>
    <x v="58"/>
    <n v="9700018279"/>
    <x v="266"/>
    <x v="0"/>
    <n v="2689.43"/>
    <d v="2026-03-27T00:00:00"/>
    <x v="4"/>
    <n v="2689.43"/>
    <x v="12"/>
    <s v="ACCOR"/>
    <s v="ZM"/>
    <s v="Media Interface"/>
    <m/>
    <s v="STARSCAP_MENA"/>
    <s v="AED"/>
    <n v="0"/>
    <n v="9876.93"/>
    <n v="0"/>
    <n v="0"/>
    <n v="0"/>
    <n v="0"/>
    <n v="9876.93"/>
    <n v="0"/>
    <s v="Raffles The Palm Dubai Tactical 2025"/>
    <s v="AE8860"/>
    <s v="Publicis Media Executive UAE"/>
    <s v="CA200"/>
    <n v="9876.93"/>
    <n v="2282.27"/>
    <s v="69910199694039TELPG0 #140358_AB do not share with"/>
    <s v="AB Linking"/>
    <b v="1"/>
    <x v="5"/>
    <s v="Cleared - AB Linking"/>
  </r>
  <r>
    <s v="M1140101"/>
    <x v="59"/>
    <s v="(M11)(M11)100108811"/>
    <x v="58"/>
    <n v="9700023217"/>
    <x v="267"/>
    <x v="0"/>
    <n v="1239.78"/>
    <d v="2026-04-18T00:00:00"/>
    <x v="0"/>
    <n v="1239.78"/>
    <x v="18"/>
    <s v="ACCOR"/>
    <s v="ZM"/>
    <s v="Media Interface"/>
    <m/>
    <s v="STARSCAP_MENA"/>
    <s v="AED"/>
    <n v="4553.09"/>
    <n v="0"/>
    <n v="0"/>
    <n v="0"/>
    <n v="0"/>
    <n v="0"/>
    <n v="0"/>
    <n v="0"/>
    <s v="RAFFLES_PALM DUBAI WINTER SUPPORT"/>
    <s v="AE8860"/>
    <s v="Publicis Media Executive UAE"/>
    <s v="CA200"/>
    <n v="4553.09"/>
    <n v="1080.1400000000001"/>
    <s v="DXB_PO14496_AB_Do not share with the client"/>
    <e v="#N/A"/>
    <b v="0"/>
    <x v="13"/>
    <s v="AB Linking"/>
  </r>
  <r>
    <s v="M1140101"/>
    <x v="59"/>
    <s v="(M11)(M11)100108811"/>
    <x v="58"/>
    <n v="9700023218"/>
    <x v="268"/>
    <x v="0"/>
    <n v="11746.9"/>
    <d v="2026-04-18T00:00:00"/>
    <x v="0"/>
    <n v="11746.9"/>
    <x v="18"/>
    <s v="ACCOR"/>
    <s v="ZM"/>
    <s v="Media Interface"/>
    <m/>
    <s v="STARSCAP_MENA"/>
    <s v="AED"/>
    <n v="43140.49"/>
    <n v="0"/>
    <n v="0"/>
    <n v="0"/>
    <n v="0"/>
    <n v="0"/>
    <n v="0"/>
    <n v="0"/>
    <s v="RAFFLES_PALM DUBAI WINTER SUPPORT"/>
    <s v="AE8860"/>
    <s v="Publicis Media Executive UAE"/>
    <s v="CA200"/>
    <n v="43140.49"/>
    <n v="10234.27"/>
    <s v="DXB_PO14496_AB_Do not share with the client"/>
    <e v="#N/A"/>
    <b v="0"/>
    <x v="13"/>
    <s v="AB Linking"/>
  </r>
  <r>
    <s v="M1140101"/>
    <x v="59"/>
    <s v="(M11)(M11)100108811"/>
    <x v="58"/>
    <n v="9700023367"/>
    <x v="269"/>
    <x v="0"/>
    <n v="3567.17"/>
    <d v="2026-04-17T00:00:00"/>
    <x v="0"/>
    <n v="3567.17"/>
    <x v="53"/>
    <s v="ACCOR"/>
    <s v="ZM"/>
    <s v="Media Interface"/>
    <m/>
    <s v="STARSCAP_MENA"/>
    <s v="AED"/>
    <n v="13100.43"/>
    <n v="0"/>
    <n v="0"/>
    <n v="0"/>
    <n v="0"/>
    <n v="0"/>
    <n v="0"/>
    <n v="0"/>
    <s v="Raffles The Palm Dubai Tactical 2025"/>
    <s v="AE8860"/>
    <s v="Publicis Media Executive UAE"/>
    <s v="CA200"/>
    <n v="13100.43"/>
    <n v="3107.83"/>
    <s v="69910199694039TELPG0 #140358_AB do not share with"/>
    <e v="#N/A"/>
    <b v="0"/>
    <x v="13"/>
    <s v="AB Linking"/>
  </r>
  <r>
    <s v="M1140101"/>
    <x v="59"/>
    <s v="(M11)(M11)100108811"/>
    <x v="58"/>
    <n v="9700023368"/>
    <x v="270"/>
    <x v="0"/>
    <n v="3819.78"/>
    <d v="2026-04-17T00:00:00"/>
    <x v="0"/>
    <n v="3819.78"/>
    <x v="53"/>
    <s v="ACCOR"/>
    <s v="ZM"/>
    <s v="Media Interface"/>
    <m/>
    <s v="STARSCAP_MENA"/>
    <s v="AED"/>
    <n v="14028.14"/>
    <n v="0"/>
    <n v="0"/>
    <n v="0"/>
    <n v="0"/>
    <n v="0"/>
    <n v="0"/>
    <n v="0"/>
    <s v="Raffles The Palm Dubai Tactical 2025"/>
    <s v="AE8860"/>
    <s v="Publicis Media Executive UAE"/>
    <s v="CA200"/>
    <n v="14028.14"/>
    <n v="3327.91"/>
    <s v="69910199694039TELPG0 #140358_AB do not share with"/>
    <e v="#N/A"/>
    <b v="0"/>
    <x v="13"/>
    <s v="AB Linking"/>
  </r>
  <r>
    <s v="M1140101"/>
    <x v="59"/>
    <s v="(M11)(M11)100108811"/>
    <x v="58"/>
    <n v="9700023392"/>
    <x v="271"/>
    <x v="0"/>
    <n v="13533.02"/>
    <d v="2026-04-17T00:00:00"/>
    <x v="0"/>
    <n v="13533.02"/>
    <x v="53"/>
    <s v="ACCOR"/>
    <s v="ZM"/>
    <s v="Media Interface"/>
    <m/>
    <s v="STARSCAP_MENA"/>
    <s v="AED"/>
    <n v="49700.02"/>
    <n v="0"/>
    <n v="0"/>
    <n v="0"/>
    <n v="0"/>
    <n v="0"/>
    <n v="0"/>
    <n v="0"/>
    <s v="Raffles The Palm Dubai Tactical 2025"/>
    <s v="AE8860"/>
    <s v="Publicis Media Executive UAE"/>
    <s v="CA200"/>
    <n v="49700.02"/>
    <n v="11790.4"/>
    <s v="69910199694039TELPG0 #140358_AB do not share with"/>
    <e v="#N/A"/>
    <b v="0"/>
    <x v="13"/>
    <s v="AB Linking"/>
  </r>
  <r>
    <s v="M1140101"/>
    <x v="59"/>
    <s v="(M11)(M11)100108811"/>
    <x v="58"/>
    <n v="9700023393"/>
    <x v="272"/>
    <x v="0"/>
    <n v="6403.85"/>
    <d v="2026-04-17T00:00:00"/>
    <x v="0"/>
    <n v="6403.85"/>
    <x v="53"/>
    <s v="ACCOR"/>
    <s v="ZM"/>
    <s v="Media Interface"/>
    <m/>
    <s v="STARSCAP_MENA"/>
    <s v="AED"/>
    <n v="23518.14"/>
    <n v="0"/>
    <n v="0"/>
    <n v="0"/>
    <n v="0"/>
    <n v="0"/>
    <n v="0"/>
    <n v="0"/>
    <s v="Raffles The Palm Dubai Tactical 2025"/>
    <s v="AE8860"/>
    <s v="Publicis Media Executive UAE"/>
    <s v="CA200"/>
    <n v="23518.14"/>
    <n v="5579.24"/>
    <s v="69910199694039TELPG0 #140358_AB do not share with"/>
    <e v="#N/A"/>
    <b v="0"/>
    <x v="13"/>
    <s v="AB Linking"/>
  </r>
  <r>
    <s v="M1140101"/>
    <x v="59"/>
    <s v="(M11)(M11)100108811"/>
    <x v="58"/>
    <n v="9700024344"/>
    <x v="273"/>
    <x v="0"/>
    <n v="1377.86"/>
    <d v="2026-04-22T00:00:00"/>
    <x v="0"/>
    <n v="1377.86"/>
    <x v="5"/>
    <s v="ACCOR"/>
    <s v="ZM"/>
    <s v="Media Interface"/>
    <m/>
    <s v="STARSCAP_MENA"/>
    <s v="AED"/>
    <n v="5060.1899999999996"/>
    <n v="0"/>
    <n v="0"/>
    <n v="0"/>
    <n v="0"/>
    <n v="0"/>
    <n v="0"/>
    <n v="0"/>
    <s v="RAFFLES_PALM DUBAI WINTER SUPPORT"/>
    <s v="AE8860"/>
    <s v="Publicis Media Executive UAE"/>
    <s v="CA200"/>
    <n v="5060.1899999999996"/>
    <n v="1192.44"/>
    <s v="69910199694039SKNO2V #119210_Ab_ Do not share"/>
    <e v="#N/A"/>
    <b v="0"/>
    <x v="13"/>
    <s v="AB Linking"/>
  </r>
  <r>
    <s v="M1140101"/>
    <x v="59"/>
    <s v="(M11)(M11)100108811"/>
    <x v="58"/>
    <n v="9700024345"/>
    <x v="274"/>
    <x v="0"/>
    <n v="30394.66"/>
    <d v="2026-04-22T00:00:00"/>
    <x v="0"/>
    <n v="30394.66"/>
    <x v="5"/>
    <s v="ACCOR"/>
    <s v="ZM"/>
    <s v="Media Interface"/>
    <m/>
    <s v="STARSCAP_MENA"/>
    <s v="AED"/>
    <n v="111624.39"/>
    <n v="0"/>
    <n v="0"/>
    <n v="0"/>
    <n v="0"/>
    <n v="0"/>
    <n v="0"/>
    <n v="0"/>
    <s v="RAFFLES_PALM DUBAI WINTER SUPPORT"/>
    <s v="AE8860"/>
    <s v="Publicis Media Executive UAE"/>
    <s v="CA200"/>
    <n v="111624.39"/>
    <n v="26304.34"/>
    <s v="DXB_PO14496_AB_Do not share with the client"/>
    <e v="#N/A"/>
    <b v="1"/>
    <x v="5"/>
    <s v="Cleared - AB Linking"/>
  </r>
  <r>
    <s v="M1140101"/>
    <x v="59"/>
    <s v="(M11)(M11)100108811"/>
    <x v="58"/>
    <n v="9700024346"/>
    <x v="275"/>
    <x v="0"/>
    <n v="13172.46"/>
    <d v="2026-04-22T00:00:00"/>
    <x v="0"/>
    <n v="13172.46"/>
    <x v="5"/>
    <s v="ACCOR"/>
    <s v="ZM"/>
    <s v="Media Interface"/>
    <m/>
    <s v="STARSCAP_MENA"/>
    <s v="AED"/>
    <n v="48375.86"/>
    <n v="0"/>
    <n v="0"/>
    <n v="0"/>
    <n v="0"/>
    <n v="0"/>
    <n v="0"/>
    <n v="0"/>
    <s v="RAFFLES_PALM DUBAI WINTER SUPPORT"/>
    <s v="AE8860"/>
    <s v="Publicis Media Executive UAE"/>
    <s v="CA200"/>
    <n v="48375.86"/>
    <n v="11399.79"/>
    <s v="DXB_PO14496_AB_Do not share with the client"/>
    <e v="#N/A"/>
    <b v="0"/>
    <x v="13"/>
    <s v="AB Linking"/>
  </r>
  <r>
    <s v="M1140101"/>
    <x v="59"/>
    <s v="(M11)(M11)100108811"/>
    <x v="58"/>
    <n v="9700024347"/>
    <x v="276"/>
    <x v="0"/>
    <n v="2103.5500000000002"/>
    <d v="2026-04-22T00:00:00"/>
    <x v="0"/>
    <n v="2103.5500000000002"/>
    <x v="5"/>
    <s v="ACCOR"/>
    <s v="ZM"/>
    <s v="Media Interface"/>
    <m/>
    <s v="STARSCAP_MENA"/>
    <s v="AED"/>
    <n v="7725.29"/>
    <n v="0"/>
    <n v="0"/>
    <n v="0"/>
    <n v="0"/>
    <n v="0"/>
    <n v="0"/>
    <n v="0"/>
    <s v="RAFFLES_PALM DUBAI WINTER SUPPORT"/>
    <s v="AE8860"/>
    <s v="Publicis Media Executive UAE"/>
    <s v="CA200"/>
    <n v="7725.29"/>
    <n v="1820.47"/>
    <s v="DXB_PO14496_AB_Do not share with the client"/>
    <e v="#N/A"/>
    <b v="0"/>
    <x v="13"/>
    <s v="AB Linking"/>
  </r>
  <r>
    <s v="M1140101"/>
    <x v="59"/>
    <s v="(M11)(M11)100108811"/>
    <x v="58"/>
    <n v="9700025777"/>
    <x v="277"/>
    <x v="0"/>
    <n v="293.8"/>
    <d v="2026-04-24T00:00:00"/>
    <x v="0"/>
    <n v="293.8"/>
    <x v="56"/>
    <s v="ACCOR"/>
    <s v="ZM"/>
    <s v="Media Interface"/>
    <m/>
    <s v="STARSCAP_MENA"/>
    <s v="AED"/>
    <n v="1078.98"/>
    <n v="0"/>
    <n v="0"/>
    <n v="0"/>
    <n v="0"/>
    <n v="0"/>
    <n v="0"/>
    <n v="0"/>
    <s v="RAFFLES THE PALM DUBAI ALWAYS ON 2025"/>
    <s v="AE8860"/>
    <s v="Publicis Media Executive UAE"/>
    <s v="CA200"/>
    <n v="1078.98"/>
    <n v="253.89"/>
    <s v="APPROVAL - PROPERTY ALWAYS ON"/>
    <e v="#N/A"/>
    <b v="0"/>
    <x v="13"/>
    <s v="AB Linking"/>
  </r>
  <r>
    <m/>
    <x v="1"/>
    <m/>
    <x v="58"/>
    <m/>
    <x v="2"/>
    <x v="1"/>
    <n v="133419.35"/>
    <m/>
    <x v="2"/>
    <n v="133419.35"/>
    <x v="2"/>
    <m/>
    <m/>
    <m/>
    <m/>
    <m/>
    <s v="AED"/>
    <n v="321905.02"/>
    <n v="102792.14"/>
    <n v="65285.41"/>
    <n v="0"/>
    <n v="0"/>
    <m/>
    <m/>
    <n v="0"/>
    <m/>
    <m/>
    <m/>
    <m/>
    <n v="489982.57"/>
    <n v="115117.84"/>
    <m/>
    <n v="50077.619999999995"/>
    <n v="0.43760031809478905"/>
    <x v="2"/>
    <m/>
  </r>
  <r>
    <s v="M1140101"/>
    <x v="60"/>
    <s v="(M11)(M11)100108704"/>
    <x v="59"/>
    <n v="9700002777"/>
    <x v="278"/>
    <x v="0"/>
    <n v="2922.77"/>
    <d v="2026-02-15T00:00:00"/>
    <x v="3"/>
    <n v="2922.77"/>
    <x v="16"/>
    <s v="ACCOR"/>
    <s v="ZM"/>
    <s v="Media Interface"/>
    <m/>
    <s v="STARSCAP_MENA"/>
    <s v="AED"/>
    <n v="0"/>
    <n v="0"/>
    <n v="10733.87"/>
    <n v="0"/>
    <n v="0"/>
    <n v="0"/>
    <n v="10733.87"/>
    <n v="0"/>
    <s v="FAIRMONT SINGAPORE - ALWAYS ON 2025"/>
    <s v="AE8860"/>
    <s v="Publicis Media Executive UAE"/>
    <s v="CA200"/>
    <n v="10733.87"/>
    <n v="2507.9499999999998"/>
    <s v="APPROVAL - PROPERTY ALWAYS ON"/>
    <s v="Pending Contract, WIP as per Hadi(Agency) on 12/8 - still chasing for an update internally."/>
    <b v="0"/>
    <x v="8"/>
    <s v="Pending Contract, WIP as per Hadi(Agency) on 12/8 - still chasing for an update internally."/>
  </r>
  <r>
    <s v="M1140101"/>
    <x v="60"/>
    <s v="(M11)(M11)100108704"/>
    <x v="59"/>
    <n v="9700003989"/>
    <x v="279"/>
    <x v="0"/>
    <n v="2924.23"/>
    <d v="2026-02-18T00:00:00"/>
    <x v="3"/>
    <n v="2924.23"/>
    <x v="17"/>
    <s v="ACCOR"/>
    <s v="ZM"/>
    <s v="Media Interface"/>
    <m/>
    <s v="STARSCAP_MENA"/>
    <s v="AED"/>
    <n v="0"/>
    <n v="0"/>
    <n v="10739.23"/>
    <n v="0"/>
    <n v="0"/>
    <n v="0"/>
    <n v="10739.23"/>
    <n v="0"/>
    <s v="FAIRMONT SINGAPORE - ALWAYS ON 2025"/>
    <s v="AE8860"/>
    <s v="Publicis Media Executive UAE"/>
    <s v="CA200"/>
    <n v="10739.23"/>
    <n v="2515.6799999999998"/>
    <s v="APPROVAL - PROPERTY ALWAYS ON"/>
    <s v="Pending Contract, WIP as per Hadi(Agency) on 12/8 - still chasing for an update internally."/>
    <b v="0"/>
    <x v="8"/>
    <s v="Pending Contract, WIP as per Hadi(Agency) on 12/8 - still chasing for an update internally."/>
  </r>
  <r>
    <s v="M1140101"/>
    <x v="60"/>
    <s v="(M11)(M11)100108704"/>
    <x v="59"/>
    <n v="9700012318"/>
    <x v="280"/>
    <x v="0"/>
    <n v="6137.44"/>
    <d v="2025-03-21T00:00:00"/>
    <x v="5"/>
    <n v="6137.44"/>
    <x v="68"/>
    <s v="ACCOR"/>
    <s v="ZM"/>
    <s v="Media Interface"/>
    <m/>
    <s v="STARSCAP_MENA"/>
    <s v="AED"/>
    <n v="0"/>
    <n v="0"/>
    <n v="0"/>
    <n v="0"/>
    <n v="0"/>
    <n v="22539.75"/>
    <n v="22539.75"/>
    <n v="0"/>
    <s v="FAIRMONT_ALWAYS ON_FAIRMONT_Singapore"/>
    <s v="AE8860"/>
    <s v="Publicis Media Executive UAE"/>
    <s v="CA200"/>
    <n v="22539.75"/>
    <n v="5857.45"/>
    <s v="APPROVAL_PROPERTY LEVEL_SEA_002"/>
    <s v="Pending Contract, WIP as per Hadi(Agency) on 12/8 - still chasing for an update internally."/>
    <b v="0"/>
    <x v="8"/>
    <s v="Pending Contract, WIP as per Hadi(Agency) on 12/8 - still chasing for an update internally."/>
  </r>
  <r>
    <s v="M1140101"/>
    <x v="60"/>
    <s v="(M11)(M11)100108704"/>
    <x v="59"/>
    <n v="9700017803"/>
    <x v="281"/>
    <x v="0"/>
    <n v="3453.37"/>
    <d v="2026-03-28T00:00:00"/>
    <x v="0"/>
    <n v="3453.37"/>
    <x v="38"/>
    <s v="ACCOR"/>
    <s v="ZM"/>
    <s v="Media Interface"/>
    <m/>
    <s v="STARSCAP_MENA"/>
    <s v="AED"/>
    <n v="0"/>
    <n v="12682.5"/>
    <n v="0"/>
    <n v="0"/>
    <n v="0"/>
    <n v="0"/>
    <n v="12682.5"/>
    <n v="0"/>
    <s v="FAIRMONT SINGAPORE ALWAYS ON 2026"/>
    <s v="AE8860"/>
    <s v="Publicis Media Executive UAE"/>
    <s v="CA200"/>
    <n v="12682.5"/>
    <n v="2934.79"/>
    <s v="APPROVAL - PROPERTY ALWAYS ON"/>
    <s v="Pending Contract, WIP as per Hadi(Agency) on 12/8 - still chasing for an update internally."/>
    <b v="0"/>
    <x v="8"/>
    <s v="Pending Contract, WIP as per Hadi(Agency) on 12/8 - still chasing for an update internally."/>
  </r>
  <r>
    <s v="M1140101"/>
    <x v="60"/>
    <s v="(M11)(M11)100108704"/>
    <x v="59"/>
    <n v="9700025761"/>
    <x v="282"/>
    <x v="0"/>
    <n v="7228.34"/>
    <d v="2025-05-17T00:00:00"/>
    <x v="5"/>
    <n v="7228.34"/>
    <x v="39"/>
    <s v="ACCOR"/>
    <s v="ZM"/>
    <s v="Media Interface"/>
    <m/>
    <s v="STARSCAP_MENA"/>
    <s v="AED"/>
    <n v="0"/>
    <n v="0"/>
    <n v="0"/>
    <n v="0"/>
    <n v="0"/>
    <n v="26546.080000000002"/>
    <n v="26546.080000000002"/>
    <n v="0"/>
    <s v="FAIRMONT SINGAPORE - ALWAYS ON 2025"/>
    <s v="AE8860"/>
    <s v="Publicis Media Executive UAE"/>
    <s v="CA200"/>
    <n v="26546.080000000002"/>
    <n v="6353.47"/>
    <s v="APPROVAL - PROPERTY ALWAYS ON"/>
    <s v="Pending Contract, WIP as per Hadi(Agency) on 12/8 - still chasing for an update internally."/>
    <b v="0"/>
    <x v="8"/>
    <s v="Pending Contract, WIP as per Hadi(Agency) on 12/8 - still chasing for an update internally."/>
  </r>
  <r>
    <s v="M1140101"/>
    <x v="60"/>
    <s v="(M11)(M11)100108704"/>
    <x v="59"/>
    <n v="9700029641"/>
    <x v="283"/>
    <x v="0"/>
    <n v="3986.37"/>
    <d v="2025-05-28T00:00:00"/>
    <x v="5"/>
    <n v="3986.37"/>
    <x v="19"/>
    <s v="ACCOR"/>
    <s v="ZM"/>
    <s v="Media Interface"/>
    <m/>
    <s v="STARSCAP_MENA"/>
    <s v="AED"/>
    <n v="0"/>
    <n v="0"/>
    <n v="0"/>
    <n v="0"/>
    <n v="0"/>
    <n v="14639.94"/>
    <n v="14639.94"/>
    <n v="0"/>
    <s v="FAIRMONT SINGAPORE - ALWAYS ON 2025"/>
    <s v="AE8860"/>
    <s v="Publicis Media Executive UAE"/>
    <s v="CA200"/>
    <n v="14639.94"/>
    <n v="3510.06"/>
    <s v="APPROVAL - PROPERTY ALWAYS ON"/>
    <s v="Pending Contract, WIP as per Hadi(Agency) on 12/8 - still chasing for an update internally."/>
    <b v="0"/>
    <x v="8"/>
    <s v="Pending Contract, WIP as per Hadi(Agency) on 12/8 - still chasing for an update internally."/>
  </r>
  <r>
    <s v="M1140101"/>
    <x v="60"/>
    <s v="(M11)(M11)100108704"/>
    <x v="59"/>
    <n v="9700034867"/>
    <x v="284"/>
    <x v="0"/>
    <n v="3067.64"/>
    <d v="2025-06-21T00:00:00"/>
    <x v="5"/>
    <n v="3067.64"/>
    <x v="47"/>
    <s v="ACCOR"/>
    <s v="ZM"/>
    <s v="Media Interface"/>
    <m/>
    <s v="STARSCAP_MENA"/>
    <s v="AED"/>
    <n v="0"/>
    <n v="0"/>
    <n v="0"/>
    <n v="0"/>
    <n v="0"/>
    <n v="11265.91"/>
    <n v="11265.91"/>
    <n v="0"/>
    <s v="FAIRMONT SINGAPORE - ALWAYS ON 2025"/>
    <s v="AE8860"/>
    <s v="Publicis Media Executive UAE"/>
    <s v="CA200"/>
    <n v="11265.91"/>
    <n v="2740.43"/>
    <s v="APPROVAL - PROPERTY ALWAYS ON"/>
    <s v="Pending Contract, WIP as per Hadi(Agency) on 12/8 - still chasing for an update internally."/>
    <b v="0"/>
    <x v="8"/>
    <s v="Pending Contract, WIP as per Hadi(Agency) on 12/8 - still chasing for an update internally."/>
  </r>
  <r>
    <s v="M1140101"/>
    <x v="60"/>
    <s v="(M11)(M11)100108704"/>
    <x v="59"/>
    <n v="9700044858"/>
    <x v="285"/>
    <x v="0"/>
    <n v="3272.74"/>
    <d v="2025-08-02T00:00:00"/>
    <x v="5"/>
    <n v="3272.74"/>
    <x v="80"/>
    <s v="ACCOR"/>
    <s v="ZM"/>
    <s v="Media Interface"/>
    <m/>
    <s v="STARSCAP_MENA"/>
    <s v="AED"/>
    <n v="0"/>
    <n v="0"/>
    <n v="0"/>
    <n v="0"/>
    <n v="0"/>
    <n v="12019.14"/>
    <n v="12019.14"/>
    <n v="0"/>
    <s v="FAIRMONT SINGAPORE - ALWAYS ON 2025"/>
    <s v="AE8860"/>
    <s v="Publicis Media Executive UAE"/>
    <s v="CA200"/>
    <n v="12019.14"/>
    <n v="2792.44"/>
    <s v="APPROVAL - PROPERTY ALWAYS ON"/>
    <s v="Pending Contract, WIP as per Hadi(Agency) on 12/8 - still chasing for an update internally."/>
    <b v="0"/>
    <x v="8"/>
    <s v="Pending Contract, WIP as per Hadi(Agency) on 12/8 - still chasing for an update internally."/>
  </r>
  <r>
    <s v="M1140101"/>
    <x v="60"/>
    <s v="(M11)(M11)100108704"/>
    <x v="59"/>
    <n v="9700048616"/>
    <x v="286"/>
    <x v="0"/>
    <n v="3067.57"/>
    <d v="2025-08-22T00:00:00"/>
    <x v="5"/>
    <n v="3067.57"/>
    <x v="61"/>
    <s v="ACCOR"/>
    <s v="ZM"/>
    <s v="Media Interface"/>
    <m/>
    <s v="STARSCAP_MENA"/>
    <s v="AED"/>
    <n v="0"/>
    <n v="0"/>
    <n v="0"/>
    <n v="0"/>
    <n v="0"/>
    <n v="11265.65"/>
    <n v="11265.65"/>
    <n v="0"/>
    <s v="FAIRMONT SINGAPORE - ALWAYS ON 2025"/>
    <s v="AE8860"/>
    <s v="Publicis Media Executive UAE"/>
    <s v="CA200"/>
    <n v="11265.65"/>
    <n v="2633.11"/>
    <s v="APPROVAL - PROPERTY ALWAYS ON"/>
    <s v="Pending Contract, WIP as per Hadi(Agency) on 12/8 - still chasing for an update internally."/>
    <b v="0"/>
    <x v="8"/>
    <s v="Pending Contract, WIP as per Hadi(Agency) on 12/8 - still chasing for an update internally."/>
  </r>
  <r>
    <s v="M1140101"/>
    <x v="60"/>
    <s v="(M11)(M11)100108704"/>
    <x v="59"/>
    <n v="9700062024"/>
    <x v="287"/>
    <x v="0"/>
    <n v="5764.22"/>
    <d v="2025-10-10T00:00:00"/>
    <x v="5"/>
    <n v="5764.22"/>
    <x v="34"/>
    <s v="ACCOR"/>
    <s v="ZM"/>
    <s v="Media Interface"/>
    <m/>
    <s v="STARSCAP_MENA"/>
    <s v="AED"/>
    <n v="0"/>
    <n v="0"/>
    <n v="0"/>
    <n v="0"/>
    <n v="0"/>
    <n v="21169.1"/>
    <n v="21169.1"/>
    <n v="0"/>
    <s v="FAIRMONT SINGAPORE - ALWAYS ON 2025"/>
    <s v="AE8860"/>
    <s v="Publicis Media Executive UAE"/>
    <s v="CA200"/>
    <n v="21169.1"/>
    <n v="4908.2299999999996"/>
    <s v="APPROVAL - PROPERTY ALWAYS ON"/>
    <s v="Pending Contract, WIP as per Hadi(Agency) on 12/8 - still chasing for an update internally."/>
    <b v="0"/>
    <x v="8"/>
    <s v="Pending Contract, WIP as per Hadi(Agency) on 12/8 - still chasing for an update internally."/>
  </r>
  <r>
    <s v="M1140101"/>
    <x v="60"/>
    <s v="(M11)(M11)100108704"/>
    <x v="59"/>
    <n v="9700069620"/>
    <x v="288"/>
    <x v="0"/>
    <n v="3065.26"/>
    <d v="2025-11-11T00:00:00"/>
    <x v="5"/>
    <n v="3065.26"/>
    <x v="81"/>
    <s v="ACCOR"/>
    <s v="ZM"/>
    <s v="Media Interface"/>
    <m/>
    <s v="STARSCAP_MENA"/>
    <s v="AED"/>
    <n v="0"/>
    <n v="0"/>
    <n v="0"/>
    <n v="0"/>
    <n v="0"/>
    <n v="11257.17"/>
    <n v="11257.17"/>
    <n v="0"/>
    <s v="FAIRMONT SINGAPORE - ALWAYS ON 2025"/>
    <s v="AE8860"/>
    <s v="Publicis Media Executive UAE"/>
    <s v="CA200"/>
    <n v="11257.17"/>
    <n v="2627.52"/>
    <s v="APPROVAL - PROPERTY ALWAYS ON"/>
    <s v="Pending Contract, WIP as per Hadi(Agency) on 12/8 - still chasing for an update internally."/>
    <b v="0"/>
    <x v="8"/>
    <s v="Pending Contract, WIP as per Hadi(Agency) on 12/8 - still chasing for an update internally."/>
  </r>
  <r>
    <s v="M1140101"/>
    <x v="60"/>
    <s v="(M11)(M11)100108704"/>
    <x v="59"/>
    <n v="9700073240"/>
    <x v="289"/>
    <x v="0"/>
    <n v="9851.14"/>
    <d v="2024-12-22T00:00:00"/>
    <x v="5"/>
    <n v="9851.14"/>
    <x v="70"/>
    <s v="ACCOR"/>
    <s v="ZM"/>
    <s v="Media Interface"/>
    <m/>
    <s v="STARSCAP_MENA"/>
    <s v="AED"/>
    <n v="0"/>
    <n v="0"/>
    <n v="0"/>
    <n v="0"/>
    <n v="0"/>
    <n v="36178.31"/>
    <n v="36178.31"/>
    <n v="0"/>
    <s v="FAIRMONT_ALWAYS ON_FAIRMONT Singapore_NON UAE"/>
    <s v="AE8860"/>
    <s v="Publicis Media Executive UAE"/>
    <s v="CA200"/>
    <n v="36178.31"/>
    <n v="9312.86"/>
    <s v="APPROVAL_PROPERTY LEVEL_SEA_001"/>
    <s v="Pending Contract, WIP as per Hadi(Agency) on 12/8 - still chasing for an update internally."/>
    <b v="0"/>
    <x v="8"/>
    <s v="Pending Contract, WIP as per Hadi(Agency) on 12/8 - still chasing for an update internally."/>
  </r>
  <r>
    <s v="M1140101"/>
    <x v="60"/>
    <s v="(M11)(M11)100108704"/>
    <x v="59"/>
    <n v="9700080862"/>
    <x v="290"/>
    <x v="0"/>
    <n v="3282.04"/>
    <d v="2025-01-17T00:00:00"/>
    <x v="5"/>
    <n v="3282.04"/>
    <x v="82"/>
    <s v="ACCOR"/>
    <s v="ZM"/>
    <s v="Media Interface"/>
    <m/>
    <s v="STARSCAP_MENA"/>
    <s v="AED"/>
    <n v="0"/>
    <n v="0"/>
    <n v="0"/>
    <n v="0"/>
    <n v="0"/>
    <n v="12053.29"/>
    <n v="12053.29"/>
    <n v="0"/>
    <s v="FAIRMONT_ALWAYS ON_FAIRMONT Singapore_NON UAE"/>
    <s v="AE8860"/>
    <s v="Publicis Media Executive UAE"/>
    <s v="CA200"/>
    <n v="12053.29"/>
    <n v="3126.65"/>
    <s v="APPROVAL_PROPERTY LEVEL_SEA_001"/>
    <s v="Pending Contract, WIP as per Hadi(Agency) on 12/8 - still chasing for an update internally."/>
    <b v="0"/>
    <x v="8"/>
    <s v="Pending Contract, WIP as per Hadi(Agency) on 12/8 - still chasing for an update internally."/>
  </r>
  <r>
    <s v="M1140101"/>
    <x v="60"/>
    <s v="(M11)(M11)100108704"/>
    <x v="59"/>
    <n v="9700084169"/>
    <x v="291"/>
    <x v="0"/>
    <n v="3021.32"/>
    <d v="2025-12-26T00:00:00"/>
    <x v="5"/>
    <n v="3021.32"/>
    <x v="43"/>
    <s v="ACCOR"/>
    <s v="ZM"/>
    <s v="Media Interface"/>
    <m/>
    <s v="STARSCAP_MENA"/>
    <s v="AED"/>
    <n v="0"/>
    <n v="0"/>
    <n v="0"/>
    <n v="0"/>
    <n v="11095.8"/>
    <n v="0"/>
    <n v="11095.8"/>
    <n v="0"/>
    <s v="FAIRMONT SINGAPORE - ALWAYS ON 2025"/>
    <s v="AE8860"/>
    <s v="Publicis Media Executive UAE"/>
    <s v="CA200"/>
    <n v="11095.8"/>
    <n v="2617.2199999999998"/>
    <s v="APPROVAL - PROPERTY ALWAYS ON"/>
    <s v="Pending Contract, WIP as per Hadi(Agency) on 12/8 - still chasing for an update internally."/>
    <b v="0"/>
    <x v="8"/>
    <s v="Pending Contract, WIP as per Hadi(Agency) on 12/8 - still chasing for an update internally."/>
  </r>
  <r>
    <m/>
    <x v="1"/>
    <m/>
    <x v="59"/>
    <m/>
    <x v="2"/>
    <x v="1"/>
    <n v="61044.45"/>
    <m/>
    <x v="2"/>
    <n v="61044.45"/>
    <x v="2"/>
    <m/>
    <m/>
    <m/>
    <m/>
    <m/>
    <s v="AED"/>
    <n v="0"/>
    <n v="12682.5"/>
    <n v="21473.1"/>
    <n v="0"/>
    <n v="11095.8"/>
    <m/>
    <m/>
    <n v="0"/>
    <m/>
    <m/>
    <m/>
    <m/>
    <n v="224185.74"/>
    <n v="54437.86"/>
    <m/>
    <n v="0"/>
    <n v="0"/>
    <x v="2"/>
    <m/>
  </r>
  <r>
    <s v="M1140101"/>
    <x v="61"/>
    <s v="(M11)(M11)100117529"/>
    <x v="60"/>
    <n v="9700025731"/>
    <x v="292"/>
    <x v="0"/>
    <n v="14290.81"/>
    <d v="2026-04-29T00:00:00"/>
    <x v="1"/>
    <n v="14290.81"/>
    <x v="1"/>
    <s v="ACCOR"/>
    <s v="ZM"/>
    <s v="Media Interface"/>
    <m/>
    <s v="STARSCAP_MENA"/>
    <s v="AED"/>
    <n v="52483"/>
    <n v="0"/>
    <n v="0"/>
    <n v="0"/>
    <n v="0"/>
    <n v="0"/>
    <n v="0"/>
    <n v="0"/>
    <s v="FAIRMONT ROYAL YORK ALWAYS ON 2026"/>
    <s v="AE8860"/>
    <s v="Publicis Media Executive UAE"/>
    <s v="CA200"/>
    <n v="52483"/>
    <n v="12349.47"/>
    <s v="APPROVAL - PROPERTY ALWAYS ON"/>
    <e v="#N/A"/>
    <b v="1"/>
    <x v="0"/>
    <s v="Collected"/>
  </r>
  <r>
    <m/>
    <x v="1"/>
    <m/>
    <x v="60"/>
    <m/>
    <x v="2"/>
    <x v="1"/>
    <n v="14290.81"/>
    <m/>
    <x v="2"/>
    <n v="14290.81"/>
    <x v="2"/>
    <m/>
    <m/>
    <m/>
    <m/>
    <m/>
    <s v="AED"/>
    <n v="52483"/>
    <n v="0"/>
    <n v="0"/>
    <n v="0"/>
    <n v="0"/>
    <m/>
    <m/>
    <n v="0"/>
    <m/>
    <m/>
    <m/>
    <m/>
    <n v="52483"/>
    <n v="12349.47"/>
    <m/>
    <n v="12349.47"/>
    <n v="1"/>
    <x v="2"/>
    <m/>
  </r>
  <r>
    <s v="M1140101"/>
    <x v="62"/>
    <s v="(M11)(M11)100114317"/>
    <x v="61"/>
    <n v="9700003816"/>
    <x v="293"/>
    <x v="0"/>
    <n v="2502.64"/>
    <d v="2026-02-15T00:00:00"/>
    <x v="3"/>
    <n v="2502.64"/>
    <x v="16"/>
    <s v="ACCOR"/>
    <s v="ZM"/>
    <s v="Media Interface"/>
    <m/>
    <s v="STARSCAP_MENA"/>
    <s v="AED"/>
    <n v="0"/>
    <n v="0"/>
    <n v="9190.9500000000007"/>
    <n v="0"/>
    <n v="0"/>
    <n v="0"/>
    <n v="9190.9500000000007"/>
    <n v="0"/>
    <s v="FAIRMONT ROYAL PAVILION - ALWAYS ON 2025"/>
    <s v="AE8860"/>
    <s v="Publicis Media Executive UAE"/>
    <s v="CA200"/>
    <n v="9190.9500000000007"/>
    <n v="2148"/>
    <s v="APPROVAL - PROPERTY ALWAYS ON"/>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17320"/>
    <x v="294"/>
    <x v="0"/>
    <n v="3563.37"/>
    <d v="2026-03-26T00:00:00"/>
    <x v="4"/>
    <n v="3563.37"/>
    <x v="79"/>
    <s v="ACCOR"/>
    <s v="ZM"/>
    <s v="Media Interface"/>
    <m/>
    <s v="STARSCAP_MENA"/>
    <s v="AED"/>
    <n v="0"/>
    <n v="13086.48"/>
    <n v="0"/>
    <n v="0"/>
    <n v="0"/>
    <n v="0"/>
    <n v="13086.48"/>
    <n v="0"/>
    <s v="FAIRMONT ROYAL PAVILLION ALWAYS ON 2026"/>
    <s v="AE8860"/>
    <s v="Publicis Media Executive UAE"/>
    <s v="CA200"/>
    <n v="13086.48"/>
    <n v="3028.27"/>
    <s v="APPROVAL - PROPERTY LEVEL - ALWAYS ON"/>
    <s v="Chasing Client for Payment timeline."/>
    <b v="1"/>
    <x v="0"/>
    <s v="Collected"/>
  </r>
  <r>
    <s v="M1140101"/>
    <x v="62"/>
    <s v="(M11)(M11)100114317"/>
    <x v="61"/>
    <n v="9700031392"/>
    <x v="295"/>
    <x v="0"/>
    <n v="15578.41"/>
    <d v="2025-06-10T00:00:00"/>
    <x v="5"/>
    <n v="15578.41"/>
    <x v="83"/>
    <s v="ACCOR"/>
    <s v="ZM"/>
    <s v="Media Interface"/>
    <m/>
    <s v="STARSCAP_MENA"/>
    <s v="AED"/>
    <n v="0"/>
    <n v="0"/>
    <n v="0"/>
    <n v="0"/>
    <n v="0"/>
    <n v="57211.71"/>
    <n v="57211.71"/>
    <n v="0"/>
    <s v="FAIRMONT_ALWAYS ON_FAIRMONT Royal Pavilion - Ba"/>
    <s v="AE8860"/>
    <s v="Publicis Media Executive UAE"/>
    <s v="CA200"/>
    <n v="57211.71"/>
    <n v="13713.39"/>
    <s v="APPROVAL_PROPERTY LEVEL_SEA_001"/>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1399"/>
    <x v="296"/>
    <x v="0"/>
    <n v="3604.74"/>
    <d v="2025-06-10T00:00:00"/>
    <x v="5"/>
    <n v="3604.74"/>
    <x v="83"/>
    <s v="ACCOR"/>
    <s v="ZM"/>
    <s v="Media Interface"/>
    <m/>
    <s v="STARSCAP_MENA"/>
    <s v="AED"/>
    <n v="0"/>
    <n v="0"/>
    <n v="0"/>
    <n v="0"/>
    <n v="0"/>
    <n v="13238.41"/>
    <n v="13238.41"/>
    <n v="0"/>
    <s v="FAIRMONT_ALWAYS ON_FAIRMONT Royal Pavilion"/>
    <s v="AE8860"/>
    <s v="Publicis Media Executive UAE"/>
    <s v="CA200"/>
    <n v="13238.41"/>
    <n v="3173.19"/>
    <s v="APPROVAL_PROPERTY LEVEL_SEA_002"/>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1400"/>
    <x v="297"/>
    <x v="0"/>
    <n v="4522.41"/>
    <d v="2025-06-10T00:00:00"/>
    <x v="5"/>
    <n v="4522.41"/>
    <x v="83"/>
    <s v="ACCOR"/>
    <s v="ZM"/>
    <s v="Media Interface"/>
    <m/>
    <s v="STARSCAP_MENA"/>
    <s v="AED"/>
    <n v="0"/>
    <n v="0"/>
    <n v="0"/>
    <n v="0"/>
    <n v="0"/>
    <n v="16608.55"/>
    <n v="16608.55"/>
    <n v="0"/>
    <s v="FAIRMONT ROYAL PAVILION - ALWAYS ON 2025"/>
    <s v="AE8860"/>
    <s v="Publicis Media Executive UAE"/>
    <s v="CA200"/>
    <n v="16608.55"/>
    <n v="3980.99"/>
    <s v="APPROVAL - PROPERTY ALWAYS ON"/>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4074"/>
    <x v="298"/>
    <x v="0"/>
    <n v="2507.85"/>
    <d v="2025-06-18T00:00:00"/>
    <x v="5"/>
    <n v="2507.85"/>
    <x v="84"/>
    <s v="ACCOR"/>
    <s v="ZM"/>
    <s v="Media Interface"/>
    <m/>
    <s v="STARSCAP_MENA"/>
    <s v="AED"/>
    <n v="0"/>
    <n v="0"/>
    <n v="0"/>
    <n v="0"/>
    <n v="0"/>
    <n v="9210.08"/>
    <n v="9210.08"/>
    <n v="0"/>
    <s v="FAIRMONT ROYAL PAVILION - ALWAYS ON 2025"/>
    <s v="AE8860"/>
    <s v="Publicis Media Executive UAE"/>
    <s v="CA200"/>
    <n v="9210.08"/>
    <n v="2242.15"/>
    <s v="APPROVAL - PROPERTY ALWAYS ON"/>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4075"/>
    <x v="299"/>
    <x v="0"/>
    <n v="2482.61"/>
    <d v="2025-06-18T00:00:00"/>
    <x v="5"/>
    <n v="2482.61"/>
    <x v="84"/>
    <s v="ACCOR"/>
    <s v="ZM"/>
    <s v="Media Interface"/>
    <m/>
    <s v="STARSCAP_MENA"/>
    <s v="AED"/>
    <n v="0"/>
    <n v="0"/>
    <n v="0"/>
    <n v="0"/>
    <n v="0"/>
    <n v="9117.39"/>
    <n v="9117.39"/>
    <n v="0"/>
    <s v="FAIRMONT_ALWAYS ON_FAIRMONT Royal Pavilion"/>
    <s v="AE8860"/>
    <s v="Publicis Media Executive UAE"/>
    <s v="CA200"/>
    <n v="9117.39"/>
    <n v="2219.59"/>
    <s v="APPROVAL_PROPERTY LEVEL_SEA_002"/>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4713"/>
    <x v="300"/>
    <x v="0"/>
    <n v="910.41"/>
    <d v="2025-06-20T00:00:00"/>
    <x v="5"/>
    <n v="910.41"/>
    <x v="30"/>
    <s v="ACCOR"/>
    <s v="ZM"/>
    <s v="Media Interface"/>
    <m/>
    <s v="STARSCAP_MENA"/>
    <s v="AED"/>
    <n v="0"/>
    <n v="0"/>
    <n v="0"/>
    <n v="0"/>
    <n v="0"/>
    <n v="3343.48"/>
    <n v="3343.48"/>
    <n v="0"/>
    <s v="FAIRMONT ROYAL PAVILION - ALWAYS ON 2025"/>
    <s v="AE8860"/>
    <s v="Publicis Media Executive UAE"/>
    <s v="CA200"/>
    <n v="3343.48"/>
    <n v="813.3"/>
    <s v="APPROVAL - PROPERTY ALWAYS ON"/>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35140"/>
    <x v="301"/>
    <x v="0"/>
    <n v="6327.51"/>
    <d v="2025-06-20T00:00:00"/>
    <x v="5"/>
    <n v="6327.51"/>
    <x v="30"/>
    <s v="ACCOR"/>
    <s v="ZM"/>
    <s v="Media Interface"/>
    <m/>
    <s v="STARSCAP_MENA"/>
    <s v="AED"/>
    <n v="0"/>
    <n v="0"/>
    <n v="0"/>
    <n v="0"/>
    <n v="0"/>
    <n v="23237.78"/>
    <n v="23237.78"/>
    <n v="0"/>
    <s v="FAIRMONT ROYAL PAVILION - ALWAYS ON 2025"/>
    <s v="AE8860"/>
    <s v="Publicis Media Executive UAE"/>
    <s v="CA200"/>
    <n v="23237.78"/>
    <n v="5652.59"/>
    <s v="APPROVAL - PROPERTY ALWAYS ON"/>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s v="M1140101"/>
    <x v="62"/>
    <s v="(M11)(M11)100114317"/>
    <x v="61"/>
    <n v="9700041234"/>
    <x v="302"/>
    <x v="0"/>
    <n v="2634.82"/>
    <d v="2025-07-18T00:00:00"/>
    <x v="5"/>
    <n v="2634.82"/>
    <x v="31"/>
    <s v="ACCOR"/>
    <s v="ZM"/>
    <s v="Media Interface"/>
    <m/>
    <s v="STARSCAP_MENA"/>
    <s v="AED"/>
    <n v="0"/>
    <n v="0"/>
    <n v="0"/>
    <n v="0"/>
    <n v="0"/>
    <n v="9676.3799999999992"/>
    <n v="9676.3799999999992"/>
    <n v="0"/>
    <s v="FAIRMONT ROYAL PAVILION - ALWAYS ON 2025"/>
    <s v="AE8860"/>
    <s v="Publicis Media Executive UAE"/>
    <s v="CA200"/>
    <n v="9676.3799999999992"/>
    <n v="2276.5"/>
    <s v="APPROVAL - PROPERTY ALWAYS ON"/>
    <s v="Collected"/>
    <b v="0"/>
    <x v="0"/>
    <s v="Collected"/>
  </r>
  <r>
    <s v="M1140101"/>
    <x v="62"/>
    <s v="(M11)(M11)100114317"/>
    <x v="61"/>
    <n v="9700051138"/>
    <x v="303"/>
    <x v="0"/>
    <n v="2621.65"/>
    <d v="2025-08-27T00:00:00"/>
    <x v="5"/>
    <n v="2621.65"/>
    <x v="33"/>
    <s v="ACCOR"/>
    <s v="ZM"/>
    <s v="Media Interface"/>
    <m/>
    <s v="STARSCAP_MENA"/>
    <s v="AED"/>
    <n v="0"/>
    <n v="0"/>
    <n v="0"/>
    <n v="0"/>
    <n v="0"/>
    <n v="9628.01"/>
    <n v="9628.01"/>
    <n v="0"/>
    <s v="FAIRMONT ROYAL PAVILION - ALWAYS ON 2025"/>
    <s v="AE8860"/>
    <s v="Publicis Media Executive UAE"/>
    <s v="CA200"/>
    <n v="9628.01"/>
    <n v="2236.14"/>
    <s v="APPROVAL - PROPERTY ALWAYS ON"/>
    <s v="Collected"/>
    <b v="0"/>
    <x v="0"/>
    <s v="Collected"/>
  </r>
  <r>
    <s v="M1140101"/>
    <x v="62"/>
    <s v="(M11)(M11)100114317"/>
    <x v="61"/>
    <n v="9700051376"/>
    <x v="304"/>
    <x v="0"/>
    <n v="-652.42999999999995"/>
    <d v="2025-08-27T00:00:00"/>
    <x v="5"/>
    <n v="-652.42999999999995"/>
    <x v="33"/>
    <s v="ACCOR"/>
    <s v="ZM"/>
    <s v="Media Interface"/>
    <s v="V"/>
    <s v="STARSCAP_MENA"/>
    <s v="AED"/>
    <n v="-2396.0500000000002"/>
    <n v="0"/>
    <n v="0"/>
    <n v="0"/>
    <n v="0"/>
    <n v="0"/>
    <n v="0"/>
    <n v="0"/>
    <m/>
    <s v="AE8860"/>
    <s v="Publicis Media Executive UAE"/>
    <s v="CA200"/>
    <n v="-2396.0500000000002"/>
    <n v="-556.49"/>
    <e v="#N/A"/>
    <s v="Payment on hold as properties escalated performance concerns to Corporate. Last update on 15/01 indicated Corporate will meet with properties for discussion. Continuing to chase client for update."/>
    <b v="0"/>
    <x v="14"/>
    <s v="Payment on hold as properties escalated performance concerns to Corporate. Corporate team has been unresponsive despite multiple follow-ups. Partial payment received covering recent invoices only; older invoices remain open with no reason provided."/>
  </r>
  <r>
    <m/>
    <x v="1"/>
    <m/>
    <x v="61"/>
    <m/>
    <x v="2"/>
    <x v="1"/>
    <n v="46603.99"/>
    <m/>
    <x v="2"/>
    <n v="46603.99"/>
    <x v="2"/>
    <m/>
    <m/>
    <m/>
    <m/>
    <m/>
    <s v="AED"/>
    <n v="-2396.0500000000002"/>
    <n v="13086.48"/>
    <n v="9190.9500000000007"/>
    <n v="0"/>
    <n v="0"/>
    <m/>
    <m/>
    <n v="0"/>
    <m/>
    <m/>
    <m/>
    <m/>
    <n v="171153.17"/>
    <n v="40927.620000000003"/>
    <m/>
    <n v="3028.27"/>
    <n v="7.6460620646429625E-2"/>
    <x v="2"/>
    <m/>
  </r>
  <r>
    <s v="M1140101"/>
    <x v="63"/>
    <s v="(M11)(M11)100115027"/>
    <x v="62"/>
    <n v="9700001968"/>
    <x v="305"/>
    <x v="0"/>
    <n v="157.82"/>
    <d v="2026-02-11T00:00:00"/>
    <x v="3"/>
    <n v="157.82"/>
    <x v="72"/>
    <s v="ACCOR"/>
    <s v="ZM"/>
    <s v="Media Interface"/>
    <m/>
    <s v="STARSCAP_MENA"/>
    <s v="AED"/>
    <n v="0"/>
    <n v="0"/>
    <n v="579.59"/>
    <n v="0"/>
    <n v="0"/>
    <n v="0"/>
    <n v="579.59"/>
    <n v="0"/>
    <s v="RAFFLES EUROPEJSKI WARSAW - ALWAYS ON 2025"/>
    <s v="AE8860"/>
    <s v="Publicis Media Executive UAE"/>
    <s v="CA200"/>
    <n v="579.59"/>
    <n v="135.18"/>
    <s v="APPROVAL - PROPERTY ALWAYS ON"/>
    <s v="Payment delayed due to late Tax Cert (26/1). Client requested updated Tax Cert on 18/2; agency advised FTA does not issue annually. On 3/2 Client still asking to provided Tax Cert of the current year as they still unable process payment without it."/>
    <b v="0"/>
    <x v="12"/>
    <s v="Payment delayed due to late Tax Cert (26/1). Client requested updated Tax Cert on 18/2; agency advised FTA does not issue annually. On 3/2 Client still asking to provided Tax Cert of the current year as they still unable process payment without it. received partial payment to other invoice yet there are invoice are not included."/>
  </r>
  <r>
    <s v="M1140101"/>
    <x v="63"/>
    <s v="(M11)(M11)100115027"/>
    <x v="62"/>
    <n v="9700003855"/>
    <x v="306"/>
    <x v="0"/>
    <n v="163.6"/>
    <d v="2026-02-18T00:00:00"/>
    <x v="3"/>
    <n v="163.6"/>
    <x v="17"/>
    <s v="ACCOR"/>
    <s v="ZM"/>
    <s v="Media Interface"/>
    <m/>
    <s v="STARSCAP_MENA"/>
    <s v="AED"/>
    <n v="0"/>
    <n v="0"/>
    <n v="600.82000000000005"/>
    <n v="0"/>
    <n v="0"/>
    <n v="0"/>
    <n v="600.82000000000005"/>
    <n v="0"/>
    <s v="RAFFLES EUROPEJSKI WARSAW - ALWAYS ON 2025"/>
    <s v="AE8860"/>
    <s v="Publicis Media Executive UAE"/>
    <s v="CA200"/>
    <n v="600.82000000000005"/>
    <n v="140.41999999999999"/>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22831"/>
    <x v="307"/>
    <x v="0"/>
    <n v="900.52"/>
    <d v="2026-04-18T00:00:00"/>
    <x v="0"/>
    <n v="900.52"/>
    <x v="18"/>
    <s v="ACCOR"/>
    <s v="ZM"/>
    <s v="Media Interface"/>
    <m/>
    <s v="STARSCAP_MENA"/>
    <s v="AED"/>
    <n v="3307.16"/>
    <n v="0"/>
    <n v="0"/>
    <n v="0"/>
    <n v="0"/>
    <n v="0"/>
    <n v="0"/>
    <n v="0"/>
    <s v="RAFFLES EUROPEJSKI WARSAW - ALWAYS ON 2026"/>
    <s v="AE8860"/>
    <s v="Publicis Media Executive UAE"/>
    <s v="CA200"/>
    <n v="3307.16"/>
    <n v="784.7"/>
    <s v="APPROVAL - PROPERTY ALWAYS ON"/>
    <e v="#N/A"/>
    <b v="0"/>
    <x v="12"/>
    <s v="Payment delayed due to late Tax Cert (26/1). Client requested updated Tax Cert on 18/2; agency advised FTA does not issue annually. On 3/2 Client still asking to provided Tax Cert of the current year as they still unable process payment without it. received partial payment to other invoice yet there are invoice are not included."/>
  </r>
  <r>
    <s v="M1140101"/>
    <x v="63"/>
    <s v="(M11)(M11)100115027"/>
    <x v="62"/>
    <n v="9700038466"/>
    <x v="308"/>
    <x v="0"/>
    <n v="3809.24"/>
    <d v="2025-07-04T00:00:00"/>
    <x v="5"/>
    <n v="3809.24"/>
    <x v="73"/>
    <s v="ACCOR"/>
    <s v="ZM"/>
    <s v="Media Interface"/>
    <m/>
    <s v="STARSCAP_MENA"/>
    <s v="AED"/>
    <n v="0"/>
    <n v="0"/>
    <n v="0"/>
    <n v="0"/>
    <n v="0"/>
    <n v="13989.43"/>
    <n v="13989.43"/>
    <n v="0"/>
    <s v="RAFFLES_ALWAYS ON_RAFFLES Europejski Warsaw_NON"/>
    <s v="AE8860"/>
    <s v="Publicis Media Executive UAE"/>
    <s v="CA200"/>
    <n v="13989.43"/>
    <n v="3359.41"/>
    <s v="APPROVAL_PROPERTY LEVEL_SEA_001"/>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38476"/>
    <x v="309"/>
    <x v="0"/>
    <n v="1780.6"/>
    <d v="2025-07-04T00:00:00"/>
    <x v="5"/>
    <n v="1780.6"/>
    <x v="73"/>
    <s v="ACCOR"/>
    <s v="ZM"/>
    <s v="Media Interface"/>
    <m/>
    <s v="STARSCAP_MENA"/>
    <s v="AED"/>
    <n v="0"/>
    <n v="0"/>
    <n v="0"/>
    <n v="0"/>
    <n v="0"/>
    <n v="6539.25"/>
    <n v="6539.25"/>
    <n v="0"/>
    <s v="RAFFLES_ALWAYS ON_RAFFLES Europejski Warsaw"/>
    <s v="AE8860"/>
    <s v="Publicis Media Executive UAE"/>
    <s v="CA200"/>
    <n v="6539.25"/>
    <n v="1570.33"/>
    <s v="APPROVAL_PROPERTY LEVEL_SEA_002"/>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40590"/>
    <x v="310"/>
    <x v="0"/>
    <n v="3157.67"/>
    <d v="2025-07-18T00:00:00"/>
    <x v="5"/>
    <n v="3157.67"/>
    <x v="31"/>
    <s v="ACCOR"/>
    <s v="ZM"/>
    <s v="Media Interface"/>
    <m/>
    <s v="STARSCAP_MENA"/>
    <s v="AED"/>
    <n v="0"/>
    <n v="0"/>
    <n v="0"/>
    <n v="0"/>
    <n v="0"/>
    <n v="11596.54"/>
    <n v="11596.54"/>
    <n v="0"/>
    <s v="RAFFLES EUROPEJSKI WARSAW - ALWAYS ON 2025"/>
    <s v="AE8860"/>
    <s v="Publicis Media Executive UAE"/>
    <s v="CA200"/>
    <n v="11596.54"/>
    <n v="2742.94"/>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41217"/>
    <x v="311"/>
    <x v="0"/>
    <n v="418.24"/>
    <d v="2025-07-18T00:00:00"/>
    <x v="5"/>
    <n v="418.24"/>
    <x v="31"/>
    <s v="ACCOR"/>
    <s v="ZM"/>
    <s v="Media Interface"/>
    <m/>
    <s v="STARSCAP_MENA"/>
    <s v="AED"/>
    <n v="0"/>
    <n v="0"/>
    <n v="0"/>
    <n v="0"/>
    <n v="0"/>
    <n v="1535.99"/>
    <n v="1535.99"/>
    <n v="0"/>
    <s v="RAFFLES EUROPEJSKI WARSAW - ALWAYS ON 2025"/>
    <s v="AE8860"/>
    <s v="Publicis Media Executive UAE"/>
    <s v="CA200"/>
    <n v="1535.99"/>
    <n v="361.36"/>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47530"/>
    <x v="312"/>
    <x v="0"/>
    <n v="389.95"/>
    <d v="2025-08-20T00:00:00"/>
    <x v="5"/>
    <n v="389.95"/>
    <x v="32"/>
    <s v="ACCOR"/>
    <s v="ZM"/>
    <s v="Media Interface"/>
    <m/>
    <s v="STARSCAP_MENA"/>
    <s v="AED"/>
    <n v="0"/>
    <n v="0"/>
    <n v="0"/>
    <n v="0"/>
    <n v="0"/>
    <n v="1432.09"/>
    <n v="1432.09"/>
    <n v="0"/>
    <s v="RAFFLES EUROPEJSKI WARSAW - ALWAYS ON 2025"/>
    <s v="AE8860"/>
    <s v="Publicis Media Executive UAE"/>
    <s v="CA200"/>
    <n v="1432.09"/>
    <n v="336.11"/>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61833"/>
    <x v="313"/>
    <x v="0"/>
    <n v="173.38"/>
    <d v="2025-10-10T00:00:00"/>
    <x v="5"/>
    <n v="173.38"/>
    <x v="34"/>
    <s v="ACCOR"/>
    <s v="ZM"/>
    <s v="Media Interface"/>
    <m/>
    <s v="STARSCAP_MENA"/>
    <s v="AED"/>
    <n v="0"/>
    <n v="0"/>
    <n v="0"/>
    <n v="0"/>
    <n v="0"/>
    <n v="636.74"/>
    <n v="636.74"/>
    <n v="0"/>
    <s v="RAFFLES EUROPEJSKI WARSAW - ALWAYS ON 2025"/>
    <s v="AE8860"/>
    <s v="Publicis Media Executive UAE"/>
    <s v="CA200"/>
    <n v="636.74"/>
    <n v="147.63"/>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63458"/>
    <x v="314"/>
    <x v="0"/>
    <n v="164.16"/>
    <d v="2025-10-19T00:00:00"/>
    <x v="5"/>
    <n v="164.16"/>
    <x v="22"/>
    <s v="ACCOR"/>
    <s v="ZM"/>
    <s v="Media Interface"/>
    <m/>
    <s v="STARSCAP_MENA"/>
    <s v="AED"/>
    <n v="0"/>
    <n v="0"/>
    <n v="0"/>
    <n v="0"/>
    <n v="0"/>
    <n v="602.88"/>
    <n v="602.88"/>
    <n v="0"/>
    <s v="RAFFLES EUROPEJSKI WARSAW - ALWAYS ON 2025"/>
    <s v="AE8860"/>
    <s v="Publicis Media Executive UAE"/>
    <s v="CA200"/>
    <n v="602.88"/>
    <n v="140.09"/>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70523"/>
    <x v="315"/>
    <x v="0"/>
    <n v="171.08"/>
    <d v="2025-11-12T00:00:00"/>
    <x v="5"/>
    <n v="171.08"/>
    <x v="42"/>
    <s v="ACCOR"/>
    <s v="ZM"/>
    <s v="Media Interface"/>
    <m/>
    <s v="STARSCAP_MENA"/>
    <s v="AED"/>
    <n v="0"/>
    <n v="0"/>
    <n v="0"/>
    <n v="0"/>
    <n v="0"/>
    <n v="628.29"/>
    <n v="628.29"/>
    <n v="0"/>
    <s v="RAFFLES EUROPEJSKI WARSAW - ALWAYS ON 2025"/>
    <s v="AE8860"/>
    <s v="Publicis Media Executive UAE"/>
    <s v="CA200"/>
    <n v="628.29"/>
    <n v="147.34"/>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s v="M1140101"/>
    <x v="63"/>
    <s v="(M11)(M11)100115027"/>
    <x v="62"/>
    <n v="9700081343"/>
    <x v="316"/>
    <x v="0"/>
    <n v="168.08"/>
    <d v="2025-12-20T00:00:00"/>
    <x v="5"/>
    <n v="168.08"/>
    <x v="25"/>
    <s v="ACCOR"/>
    <s v="ZM"/>
    <s v="Media Interface"/>
    <m/>
    <s v="STARSCAP_MENA"/>
    <s v="AED"/>
    <n v="0"/>
    <n v="0"/>
    <n v="0"/>
    <n v="0"/>
    <n v="617.27"/>
    <n v="0"/>
    <n v="617.27"/>
    <n v="0"/>
    <s v="RAFFLES EUROPEJSKI WARSAW - ALWAYS ON 2025"/>
    <s v="AE8860"/>
    <s v="Publicis Media Executive UAE"/>
    <s v="CA200"/>
    <n v="617.27"/>
    <n v="144.97999999999999"/>
    <s v="APPROVAL - PROPERTY ALWAYS ON"/>
    <s v="Payment delayed due to late Tax Cert (26/1). Client requested updated Tax Cert on 18/2; agency advised FTA does not issue annually. On 3/2 Client still asking to provided Tax Cert of the current year as they still unable process payment without it."/>
    <b v="1"/>
    <x v="0"/>
    <s v="Collected"/>
  </r>
  <r>
    <m/>
    <x v="1"/>
    <m/>
    <x v="62"/>
    <m/>
    <x v="2"/>
    <x v="1"/>
    <n v="11454.34"/>
    <m/>
    <x v="2"/>
    <n v="11454.34"/>
    <x v="2"/>
    <m/>
    <m/>
    <m/>
    <m/>
    <m/>
    <s v="AED"/>
    <n v="3307.16"/>
    <n v="0"/>
    <n v="1180.4100000000001"/>
    <n v="0"/>
    <n v="617.27"/>
    <m/>
    <m/>
    <n v="0"/>
    <m/>
    <m/>
    <m/>
    <m/>
    <n v="42066.05"/>
    <n v="10010.49"/>
    <m/>
    <n v="9090.6099999999988"/>
    <n v="0.90760358082613224"/>
    <x v="2"/>
    <m/>
  </r>
  <r>
    <s v="M1140101"/>
    <x v="64"/>
    <s v="(M11)(M11)100108767"/>
    <x v="63"/>
    <n v="9700017855"/>
    <x v="317"/>
    <x v="0"/>
    <n v="6316.29"/>
    <d v="2026-03-27T00:00:00"/>
    <x v="4"/>
    <n v="6316.29"/>
    <x v="12"/>
    <s v="ACCOR"/>
    <s v="ZM"/>
    <s v="Media Interface"/>
    <m/>
    <s v="STARSCAP_MENA"/>
    <s v="AED"/>
    <n v="0"/>
    <n v="23196.58"/>
    <n v="0"/>
    <n v="0"/>
    <n v="0"/>
    <n v="0"/>
    <n v="23196.58"/>
    <n v="0"/>
    <s v="FAIRMONT MONTE CARLO TACTICAL 2025"/>
    <s v="AE8860"/>
    <s v="Publicis Media Executive UAE"/>
    <s v="CA200"/>
    <n v="23196.58"/>
    <n v="5360.06"/>
    <s v="N° 2510073"/>
    <s v="Chasing Client for Payment timeline."/>
    <b v="0"/>
    <x v="4"/>
    <s v="Chasing Client for Payment timeline."/>
  </r>
  <r>
    <s v="M1140101"/>
    <x v="64"/>
    <s v="(M11)(M11)100108767"/>
    <x v="63"/>
    <n v="9700019169"/>
    <x v="318"/>
    <x v="0"/>
    <n v="3301.79"/>
    <d v="2026-04-04T00:00:00"/>
    <x v="0"/>
    <n v="3301.79"/>
    <x v="14"/>
    <s v="ACCOR"/>
    <s v="ZM"/>
    <s v="Media Interface"/>
    <m/>
    <s v="STARSCAP_MENA"/>
    <s v="AED"/>
    <n v="12125.82"/>
    <n v="0"/>
    <n v="0"/>
    <n v="0"/>
    <n v="0"/>
    <n v="0"/>
    <n v="0"/>
    <n v="0"/>
    <s v="FAIRMONT MONTE CARLO ALWAYS ON 2026"/>
    <s v="AE8860"/>
    <s v="Publicis Media Executive UAE"/>
    <s v="CA200"/>
    <n v="12125.82"/>
    <n v="2822.53"/>
    <s v="APPROVAL - PROPERTY ALWAYS ON"/>
    <e v="#N/A"/>
    <b v="0"/>
    <x v="4"/>
    <s v="Chasing Client for Payment timeline."/>
  </r>
  <r>
    <m/>
    <x v="1"/>
    <m/>
    <x v="63"/>
    <m/>
    <x v="2"/>
    <x v="1"/>
    <n v="9618.08"/>
    <m/>
    <x v="2"/>
    <n v="9618.08"/>
    <x v="2"/>
    <m/>
    <m/>
    <m/>
    <m/>
    <m/>
    <s v="AED"/>
    <n v="12125.82"/>
    <n v="23196.58"/>
    <n v="0"/>
    <n v="0"/>
    <n v="0"/>
    <m/>
    <m/>
    <n v="0"/>
    <m/>
    <m/>
    <m/>
    <m/>
    <n v="35322.400000000001"/>
    <n v="8182.59"/>
    <m/>
    <n v="0"/>
    <n v="0"/>
    <x v="2"/>
    <m/>
  </r>
  <r>
    <s v="M1140101"/>
    <x v="65"/>
    <s v="(M11)(M11)100114076"/>
    <x v="64"/>
    <n v="9700002083"/>
    <x v="319"/>
    <x v="0"/>
    <n v="1427.51"/>
    <d v="2026-02-11T00:00:00"/>
    <x v="3"/>
    <n v="1427.51"/>
    <x v="72"/>
    <s v="ACCOR"/>
    <s v="ZM"/>
    <s v="Media Interface"/>
    <m/>
    <s v="STARSCAP_MENA"/>
    <s v="AED"/>
    <n v="0"/>
    <n v="0"/>
    <n v="5242.53"/>
    <n v="0"/>
    <n v="0"/>
    <n v="0"/>
    <n v="5242.53"/>
    <n v="0"/>
    <s v="FAIRMONT QUASAR ISTANBUL - ALWAYS ON 2025"/>
    <s v="AE8860"/>
    <s v="Publicis Media Executive UAE"/>
    <s v="CA200"/>
    <n v="5242.53"/>
    <n v="1226.17"/>
    <s v="APPROVAL - PROPERTY ALWAYS ON"/>
    <s v="Payment on hold pending CN issuance (USD 116.72) due to overspend. Sent to Ops on 17/02; chasing internally."/>
    <b v="0"/>
    <x v="15"/>
    <s v="Payment on hold due to pending CN issuance (USD 116.72) for overspend; sent to Ops on 17/02 and currently being followed up internally."/>
  </r>
  <r>
    <s v="M1140101"/>
    <x v="65"/>
    <s v="(M11)(M11)100114076"/>
    <x v="64"/>
    <n v="9700005197"/>
    <x v="320"/>
    <x v="0"/>
    <n v="1196.3399999999999"/>
    <d v="2026-02-22T00:00:00"/>
    <x v="3"/>
    <n v="1196.3399999999999"/>
    <x v="27"/>
    <s v="ACCOR"/>
    <s v="ZM"/>
    <s v="Media Interface"/>
    <m/>
    <s v="STARSCAP_MENA"/>
    <s v="AED"/>
    <n v="0"/>
    <n v="0"/>
    <n v="4393.5600000000004"/>
    <n v="0"/>
    <n v="0"/>
    <n v="0"/>
    <n v="4393.5600000000004"/>
    <n v="0"/>
    <s v="FAIRMONT QUASAR ISTANBUL - ALWAYS ON 2025"/>
    <s v="AE8860"/>
    <s v="Publicis Media Executive UAE"/>
    <s v="CA200"/>
    <n v="4393.5600000000004"/>
    <n v="1028.58"/>
    <s v="APPROVAL - PROPERTY ALWAYS ON"/>
    <s v="Payment on hold pending CN issuance (USD 116.72) due to overspend. Sent to Ops on 17/02; chasing internally."/>
    <b v="0"/>
    <x v="15"/>
    <s v="Payment on hold due to pending CN issuance (USD 116.72) for overspend; sent to Ops on 17/02 and currently being followed up internally."/>
  </r>
  <r>
    <s v="M1140101"/>
    <x v="65"/>
    <s v="(M11)(M11)100114076"/>
    <x v="64"/>
    <n v="9700018673"/>
    <x v="321"/>
    <x v="0"/>
    <n v="1612.79"/>
    <d v="2026-04-03T00:00:00"/>
    <x v="0"/>
    <n v="1612.79"/>
    <x v="0"/>
    <s v="ACCOR"/>
    <s v="ZM"/>
    <s v="Media Interface"/>
    <m/>
    <s v="STARSCAP_MENA"/>
    <s v="AED"/>
    <n v="5922.97"/>
    <n v="0"/>
    <n v="0"/>
    <n v="0"/>
    <n v="0"/>
    <n v="0"/>
    <n v="0"/>
    <n v="0"/>
    <s v="FAIRMONT QUASAR ISTANBUL ALWAYS ON 2026"/>
    <s v="AE8860"/>
    <s v="Publicis Media Executive UAE"/>
    <s v="CA200"/>
    <n v="5922.97"/>
    <n v="1366.19"/>
    <s v="APPROVAL - PROPERTY LEVEN"/>
    <e v="#N/A"/>
    <b v="0"/>
    <x v="15"/>
    <s v="Payment on hold due to pending CN issuance (USD 116.72) for overspend; sent to Ops on 17/02 and currently being followed up internally."/>
  </r>
  <r>
    <s v="M1140101"/>
    <x v="65"/>
    <s v="(M11)(M11)100114076"/>
    <x v="64"/>
    <n v="9700025715"/>
    <x v="322"/>
    <x v="0"/>
    <n v="1601.41"/>
    <d v="2026-04-29T00:00:00"/>
    <x v="1"/>
    <n v="1601.41"/>
    <x v="1"/>
    <s v="ACCOR"/>
    <s v="ZM"/>
    <s v="Media Interface"/>
    <m/>
    <s v="STARSCAP_MENA"/>
    <s v="AED"/>
    <n v="5881.18"/>
    <n v="0"/>
    <n v="0"/>
    <n v="0"/>
    <n v="0"/>
    <n v="0"/>
    <n v="0"/>
    <n v="0"/>
    <s v="FAIRMONT QUASAR ISTANBUL ALWAYS ON 2026"/>
    <s v="AE8860"/>
    <s v="Publicis Media Executive UAE"/>
    <s v="CA200"/>
    <n v="5881.18"/>
    <n v="1383.87"/>
    <s v="APPROVAL - PROPERTY LEVEN"/>
    <e v="#N/A"/>
    <b v="0"/>
    <x v="15"/>
    <s v="Payment on hold due to pending CN issuance (USD 116.72) for overspend; sent to Ops on 17/02 and currently being followed up internally."/>
  </r>
  <r>
    <m/>
    <x v="1"/>
    <m/>
    <x v="64"/>
    <m/>
    <x v="2"/>
    <x v="1"/>
    <n v="5838.0499999999993"/>
    <m/>
    <x v="2"/>
    <n v="5838.0499999999993"/>
    <x v="2"/>
    <m/>
    <m/>
    <m/>
    <m/>
    <m/>
    <s v="AED"/>
    <n v="11804.15"/>
    <n v="0"/>
    <n v="9636.09"/>
    <n v="0"/>
    <n v="0"/>
    <m/>
    <m/>
    <n v="0"/>
    <m/>
    <m/>
    <m/>
    <m/>
    <n v="21440.240000000002"/>
    <n v="5004.8100000000004"/>
    <m/>
    <n v="0"/>
    <n v="0"/>
    <x v="2"/>
    <m/>
  </r>
  <r>
    <s v="M1140101"/>
    <x v="66"/>
    <s v="(M11)(M11)100115019"/>
    <x v="65"/>
    <n v="9700003142"/>
    <x v="323"/>
    <x v="0"/>
    <n v="889.76"/>
    <d v="2026-02-15T00:00:00"/>
    <x v="3"/>
    <n v="889.76"/>
    <x v="16"/>
    <s v="ACCOR"/>
    <s v="ZM"/>
    <s v="Media Interface"/>
    <m/>
    <s v="STARSCAP_MENA"/>
    <s v="AED"/>
    <n v="0"/>
    <n v="0"/>
    <n v="3267.64"/>
    <n v="0"/>
    <n v="0"/>
    <n v="0"/>
    <n v="3267.64"/>
    <n v="0"/>
    <s v="FAIRMONT RIYADH - ALWAYS ON 2025"/>
    <s v="AE8860"/>
    <s v="Publicis Media Executive UAE"/>
    <s v="CA200"/>
    <n v="3267.64"/>
    <n v="763.48"/>
    <s v="APPROVAL - PROPERTY ALWAYS ON"/>
    <s v="Collected"/>
    <b v="0"/>
    <x v="0"/>
    <s v="Collected"/>
  </r>
  <r>
    <s v="M1140101"/>
    <x v="66"/>
    <s v="(M11)(M11)100115019"/>
    <x v="65"/>
    <n v="9700004799"/>
    <x v="324"/>
    <x v="0"/>
    <n v="965.09"/>
    <d v="2026-02-21T00:00:00"/>
    <x v="3"/>
    <n v="965.09"/>
    <x v="3"/>
    <s v="ACCOR"/>
    <s v="ZM"/>
    <s v="Media Interface"/>
    <m/>
    <s v="STARSCAP_MENA"/>
    <s v="AED"/>
    <n v="0"/>
    <n v="0"/>
    <n v="3544.29"/>
    <n v="0"/>
    <n v="0"/>
    <n v="0"/>
    <n v="3544.29"/>
    <n v="0"/>
    <s v="FAIRMONT RIYADH - ALWAYS ON 2025"/>
    <s v="AE8860"/>
    <s v="Publicis Media Executive UAE"/>
    <s v="CA200"/>
    <n v="3544.29"/>
    <n v="830.76"/>
    <s v="APPROVAL - PROPERTY ALWAYS ON"/>
    <s v="Collected"/>
    <b v="0"/>
    <x v="0"/>
    <s v="Collected"/>
  </r>
  <r>
    <s v="M1140101"/>
    <x v="66"/>
    <s v="(M11)(M11)100115019"/>
    <x v="65"/>
    <n v="9700023088"/>
    <x v="325"/>
    <x v="0"/>
    <n v="1078.48"/>
    <d v="2026-04-18T00:00:00"/>
    <x v="0"/>
    <n v="1078.48"/>
    <x v="18"/>
    <s v="ACCOR"/>
    <s v="ZM"/>
    <s v="Media Interface"/>
    <m/>
    <s v="STARSCAP_MENA"/>
    <s v="AED"/>
    <n v="3960.72"/>
    <n v="0"/>
    <n v="0"/>
    <n v="0"/>
    <n v="0"/>
    <n v="0"/>
    <n v="0"/>
    <n v="0"/>
    <s v="FAIRMONT RIYADH - ALWAYS ON 2026"/>
    <s v="AE8860"/>
    <s v="Publicis Media Executive UAE"/>
    <s v="CA200"/>
    <n v="3960.72"/>
    <n v="939.61"/>
    <s v="APPROVAL - PROPERTY ALWAYS ON"/>
    <e v="#N/A"/>
    <b v="0"/>
    <x v="4"/>
    <s v="Chasing Client for Payment timeline."/>
  </r>
  <r>
    <m/>
    <x v="1"/>
    <m/>
    <x v="65"/>
    <m/>
    <x v="2"/>
    <x v="1"/>
    <n v="2933.33"/>
    <m/>
    <x v="2"/>
    <n v="2933.33"/>
    <x v="2"/>
    <m/>
    <m/>
    <m/>
    <m/>
    <m/>
    <s v="AED"/>
    <n v="3960.72"/>
    <n v="0"/>
    <n v="6811.93"/>
    <n v="0"/>
    <n v="0"/>
    <m/>
    <m/>
    <n v="0"/>
    <m/>
    <m/>
    <m/>
    <m/>
    <n v="10772.65"/>
    <n v="2533.85"/>
    <m/>
    <n v="0"/>
    <n v="0"/>
    <x v="2"/>
    <m/>
  </r>
  <r>
    <s v="M1140101"/>
    <x v="67"/>
    <s v="(M11)(M11)100115026"/>
    <x v="66"/>
    <n v="9700024354"/>
    <x v="326"/>
    <x v="0"/>
    <n v="1447.27"/>
    <d v="2026-04-22T00:00:00"/>
    <x v="0"/>
    <n v="1447.27"/>
    <x v="5"/>
    <s v="ACCOR"/>
    <s v="ZM"/>
    <s v="Media Interface"/>
    <m/>
    <s v="STARSCAP_MENA"/>
    <s v="AED"/>
    <n v="5315.1"/>
    <n v="0"/>
    <n v="0"/>
    <n v="0"/>
    <n v="0"/>
    <n v="0"/>
    <n v="0"/>
    <n v="0"/>
    <s v="FAIRMONT TOKYO ALWAYS ON 2025"/>
    <s v="AE8860"/>
    <s v="Publicis Media Executive UAE"/>
    <s v="CA200"/>
    <n v="5315.1"/>
    <n v="1252.51"/>
    <s v="EMAIL APPROVAL - PROPERTY ALWAYS ON"/>
    <e v="#N/A"/>
    <b v="1"/>
    <x v="0"/>
    <s v="Collected"/>
  </r>
  <r>
    <s v="M1140101"/>
    <x v="67"/>
    <s v="(M11)(M11)100115026"/>
    <x v="66"/>
    <n v="9700025345"/>
    <x v="327"/>
    <x v="0"/>
    <n v="19916.66"/>
    <d v="2026-04-24T00:00:00"/>
    <x v="0"/>
    <n v="19916.66"/>
    <x v="56"/>
    <s v="ACCOR"/>
    <s v="ZM"/>
    <s v="Media Interface"/>
    <m/>
    <s v="STARSCAP_MENA"/>
    <s v="AED"/>
    <n v="73143.929999999993"/>
    <n v="0"/>
    <n v="0"/>
    <n v="0"/>
    <n v="0"/>
    <n v="0"/>
    <n v="0"/>
    <n v="0"/>
    <s v="FAIRMONT TOKYO TACTICAL 2026"/>
    <s v="AE8860"/>
    <s v="Publicis Media Executive UAE"/>
    <s v="CA200"/>
    <n v="73143.929999999993"/>
    <n v="17175.46"/>
    <s v="Email Approval - Fairmont Tokyo"/>
    <e v="#N/A"/>
    <b v="0"/>
    <x v="13"/>
    <s v="AB Linking"/>
  </r>
  <r>
    <s v="M1140101"/>
    <x v="67"/>
    <s v="(M11)(M11)100115026"/>
    <x v="66"/>
    <n v="9700025716"/>
    <x v="328"/>
    <x v="0"/>
    <n v="6988.55"/>
    <d v="2026-04-29T00:00:00"/>
    <x v="1"/>
    <n v="6988.55"/>
    <x v="1"/>
    <s v="ACCOR"/>
    <s v="ZM"/>
    <s v="Media Interface"/>
    <m/>
    <s v="STARSCAP_MENA"/>
    <s v="AED"/>
    <n v="25665.45"/>
    <n v="0"/>
    <n v="0"/>
    <n v="0"/>
    <n v="0"/>
    <n v="0"/>
    <n v="0"/>
    <n v="0"/>
    <s v="FAIRMONT TOKYO ALWAYS ON 2026"/>
    <s v="AE8860"/>
    <s v="Publicis Media Executive UAE"/>
    <s v="CA200"/>
    <n v="25665.45"/>
    <n v="6039.19"/>
    <s v="EMAIL APPROVAL - PROPERTY ALWAYS ON"/>
    <e v="#N/A"/>
    <b v="1"/>
    <x v="0"/>
    <s v="Collected"/>
  </r>
  <r>
    <m/>
    <x v="1"/>
    <m/>
    <x v="66"/>
    <m/>
    <x v="2"/>
    <x v="1"/>
    <n v="28352.48"/>
    <m/>
    <x v="2"/>
    <n v="28352.48"/>
    <x v="2"/>
    <m/>
    <m/>
    <m/>
    <m/>
    <m/>
    <s v="AED"/>
    <n v="104124.48"/>
    <n v="0"/>
    <n v="0"/>
    <n v="0"/>
    <n v="0"/>
    <m/>
    <m/>
    <n v="0"/>
    <m/>
    <m/>
    <m/>
    <m/>
    <n v="104124.48"/>
    <n v="24467.16"/>
    <m/>
    <n v="7291.7"/>
    <n v="0.29753376071511206"/>
    <x v="2"/>
    <m/>
  </r>
  <r>
    <s v="M1140101"/>
    <x v="68"/>
    <s v="(M11)(M11)100117441"/>
    <x v="67"/>
    <n v="9700017323"/>
    <x v="329"/>
    <x v="0"/>
    <n v="5799.87"/>
    <d v="2026-03-25T00:00:00"/>
    <x v="4"/>
    <n v="5799.87"/>
    <x v="85"/>
    <s v="ACCOR"/>
    <s v="ZM"/>
    <s v="Media Interface"/>
    <m/>
    <s v="STARSCAP_MENA"/>
    <s v="AED"/>
    <n v="0"/>
    <n v="21300.02"/>
    <n v="0"/>
    <n v="0"/>
    <n v="0"/>
    <n v="0"/>
    <n v="21300.02"/>
    <n v="0"/>
    <s v="FAIRMONT SCOTTSDALE PRINCESS ALWAYS ON 2026"/>
    <s v="AE8860"/>
    <s v="Publicis Media Executive UAE"/>
    <s v="CA200"/>
    <n v="21300.02"/>
    <n v="4928.93"/>
    <s v="EMAIL APPROVAL - PROPERTY LEVEL"/>
    <s v="Chasing Client for Payment timeline."/>
    <b v="0"/>
    <x v="4"/>
    <s v="Delayed due to Bank issue Client payment unsuccessful on 24/03 and asking to retrying test transaction again on 08/4 - Chasing client for an update."/>
  </r>
  <r>
    <s v="M1140101"/>
    <x v="68"/>
    <s v="(M11)(M11)100117441"/>
    <x v="67"/>
    <n v="9700018290"/>
    <x v="330"/>
    <x v="0"/>
    <n v="46642.89"/>
    <d v="2026-03-29T00:00:00"/>
    <x v="0"/>
    <n v="46642.89"/>
    <x v="13"/>
    <s v="ACCOR"/>
    <s v="ZM"/>
    <s v="Media Interface"/>
    <m/>
    <s v="STARSCAP_MENA"/>
    <s v="AED"/>
    <n v="0"/>
    <n v="171296.01"/>
    <n v="0"/>
    <n v="0"/>
    <n v="0"/>
    <n v="0"/>
    <n v="171296.01"/>
    <n v="0"/>
    <s v="FAIRMONT SCOTTSDALE PRINCESS ALWAYS ON 2025"/>
    <s v="AE8860"/>
    <s v="Publicis Media Executive UAE"/>
    <s v="CA200"/>
    <n v="171296.01"/>
    <n v="39581.54"/>
    <s v="EMAIL APPROVAL - PROPERTY LEVEL"/>
    <s v="Chasing Client for Payment timeline."/>
    <b v="0"/>
    <x v="4"/>
    <s v="Delayed due to Bank issue Client payment unsuccessful on 24/03 and asking to retrying test transaction again on 08/4 - Chasing client for an update."/>
  </r>
  <r>
    <s v="M1140101"/>
    <x v="68"/>
    <s v="(M11)(M11)100117441"/>
    <x v="67"/>
    <n v="9700025630"/>
    <x v="331"/>
    <x v="0"/>
    <n v="5388.47"/>
    <d v="2026-04-26T00:00:00"/>
    <x v="0"/>
    <n v="5388.47"/>
    <x v="62"/>
    <s v="ACCOR"/>
    <s v="ZM"/>
    <s v="Media Interface"/>
    <m/>
    <s v="STARSCAP_MENA"/>
    <s v="AED"/>
    <n v="19789.16"/>
    <n v="0"/>
    <n v="0"/>
    <n v="0"/>
    <n v="0"/>
    <n v="0"/>
    <n v="0"/>
    <n v="0"/>
    <s v="FAIRMONT SCOTTSDALE PRINCESS ALWAYS ON 2026"/>
    <s v="AE8860"/>
    <s v="Publicis Media Executive UAE"/>
    <s v="CA200"/>
    <n v="19789.16"/>
    <n v="4656.47"/>
    <s v="EMAIL APPROVAL - PROPERTY LEVEL"/>
    <e v="#N/A"/>
    <b v="0"/>
    <x v="4"/>
    <s v="With Bank Issue on Client which possible  delaying payment."/>
  </r>
  <r>
    <s v="M1140101"/>
    <x v="68"/>
    <s v="(M11)(M11)100117441"/>
    <x v="67"/>
    <n v="9700078981"/>
    <x v="332"/>
    <x v="0"/>
    <n v="7948.72"/>
    <d v="2025-12-11T00:00:00"/>
    <x v="5"/>
    <n v="7948.72"/>
    <x v="86"/>
    <s v="ACCOR"/>
    <s v="ZM"/>
    <s v="Media Interface"/>
    <m/>
    <s v="STARSCAP_MENA"/>
    <s v="AED"/>
    <n v="0"/>
    <n v="0"/>
    <n v="0"/>
    <n v="0"/>
    <n v="29191.67"/>
    <n v="0"/>
    <n v="29191.67"/>
    <n v="0"/>
    <s v="FAIRMONT SCOTTSDALE PRINCESS ALWAYS ON 2025"/>
    <s v="AE8860"/>
    <s v="Publicis Media Executive UAE"/>
    <s v="CA200"/>
    <n v="29191.67"/>
    <n v="6869.52"/>
    <s v="EMAIL APPROVAL - PROPERTY LEVEL"/>
    <s v="Client request W9 From on 9/12 - W8 Form provided on 5/2 - On 25/2 Client con payment by 26/2. On 6/3 Client mentioned there are correspondence regarding revision of this invoice since last year."/>
    <b v="0"/>
    <x v="4"/>
    <s v="Client request W9 From on 9/12 - W8 Form provided on 5/2 - On 25/2 Client con payment by 26/2. On 6/3 Client mentioned there are correspondence regarding revision of this invoice since last year."/>
  </r>
  <r>
    <m/>
    <x v="1"/>
    <m/>
    <x v="67"/>
    <m/>
    <x v="2"/>
    <x v="1"/>
    <n v="65779.95"/>
    <m/>
    <x v="2"/>
    <n v="65779.95"/>
    <x v="2"/>
    <m/>
    <m/>
    <m/>
    <m/>
    <m/>
    <s v="AED"/>
    <n v="19789.16"/>
    <n v="192596.03"/>
    <n v="0"/>
    <n v="0"/>
    <n v="29191.67"/>
    <m/>
    <m/>
    <n v="0"/>
    <m/>
    <m/>
    <m/>
    <m/>
    <n v="241576.86"/>
    <n v="56036.46"/>
    <m/>
    <n v="0"/>
    <n v="0"/>
    <x v="2"/>
    <m/>
  </r>
  <r>
    <s v="M1140101"/>
    <x v="69"/>
    <s v="(M11)(M11)100117448"/>
    <x v="68"/>
    <n v="9000005184"/>
    <x v="333"/>
    <x v="2"/>
    <n v="-8692.6"/>
    <d v="2026-02-11T00:00:00"/>
    <x v="3"/>
    <n v="-8692.6"/>
    <x v="87"/>
    <s v="ACCOR"/>
    <s v="GC"/>
    <s v="Clearing Documents"/>
    <s v="9700002084"/>
    <s v="STARSCAP_MENA"/>
    <s v="AED"/>
    <n v="0"/>
    <n v="0"/>
    <n v="-7852.58"/>
    <n v="0"/>
    <n v="0"/>
    <n v="0"/>
    <n v="-7852.58"/>
    <n v="0"/>
    <s v="Partial Allocation of Inv # M11IN26-00000936"/>
    <s v="AE8860"/>
    <s v="Publicis Media Executive UAE"/>
    <s v="CA200"/>
    <n v="-7852.58"/>
    <n v="-1797.72"/>
    <e v="#N/A"/>
    <e v="#N/A"/>
    <b v="1"/>
    <x v="7"/>
    <s v="Cleared"/>
  </r>
  <r>
    <s v="M1140101"/>
    <x v="69"/>
    <s v="(M11)(M11)100117448"/>
    <x v="68"/>
    <n v="9700002084"/>
    <x v="334"/>
    <x v="0"/>
    <n v="2435.46"/>
    <d v="2026-02-11T00:00:00"/>
    <x v="3"/>
    <n v="4573.67"/>
    <x v="72"/>
    <s v="ACCOR"/>
    <s v="ZM"/>
    <s v="Media Interface"/>
    <m/>
    <s v="STARSCAP_MENA"/>
    <s v="AED"/>
    <n v="0"/>
    <n v="0"/>
    <n v="16796.8"/>
    <n v="0"/>
    <n v="0"/>
    <n v="0"/>
    <n v="16796.8"/>
    <n v="0"/>
    <s v="FAIRMONT MUMBAI - ALWAYS ON 2025"/>
    <s v="AE8860"/>
    <s v="Publicis Media Executive UAE"/>
    <s v="CA200"/>
    <n v="16796.8"/>
    <n v="3928.59"/>
    <s v="APPROVAL - PROPERTY - ALWAYS ON"/>
    <s v="Partially paid due to short payment made by client last 3/2 -  and client requesting to issue new invoice against the remaining balance - new invoice shared on 24/03 - Chasing client for Payment Timeline."/>
    <b v="1"/>
    <x v="0"/>
    <s v="Collected"/>
  </r>
  <r>
    <s v="M1140101"/>
    <x v="69"/>
    <s v="(M11)(M11)100117448"/>
    <x v="68"/>
    <n v="9700017859"/>
    <x v="335"/>
    <x v="0"/>
    <n v="20009.34"/>
    <d v="2026-03-26T00:00:00"/>
    <x v="4"/>
    <n v="20009.34"/>
    <x v="79"/>
    <s v="ACCOR"/>
    <s v="ZM"/>
    <s v="Media Interface"/>
    <m/>
    <s v="STARSCAP_MENA"/>
    <s v="AED"/>
    <n v="0"/>
    <n v="73484.3"/>
    <n v="0"/>
    <n v="0"/>
    <n v="0"/>
    <n v="0"/>
    <n v="73484.3"/>
    <n v="0"/>
    <s v="FAIRMONT MUMBAI TACTICAL 2025"/>
    <s v="AE8860"/>
    <s v="Publicis Media Executive UAE"/>
    <s v="CA200"/>
    <n v="73484.3"/>
    <n v="16980.09"/>
    <s v="WOF28-Jul-25000013"/>
    <s v="Chasing Client for Payment timeline."/>
    <b v="0"/>
    <x v="9"/>
    <s v="On 27/03 Client is unable to process payment as the invoice relates to CY2025, was not communicated before books were closed, and is now restricted by audit constraints and limited current‑year activity."/>
  </r>
  <r>
    <s v="M1140101"/>
    <x v="69"/>
    <s v="(M11)(M11)100117448"/>
    <x v="68"/>
    <n v="9700023243"/>
    <x v="336"/>
    <x v="0"/>
    <n v="2435.46"/>
    <d v="2026-04-18T00:00:00"/>
    <x v="0"/>
    <n v="2435.46"/>
    <x v="18"/>
    <s v="ACCOR"/>
    <s v="ZM"/>
    <s v="Media Interface"/>
    <m/>
    <s v="STARSCAP_MENA"/>
    <s v="AED"/>
    <n v="8944.23"/>
    <n v="0"/>
    <n v="0"/>
    <n v="0"/>
    <n v="0"/>
    <n v="0"/>
    <n v="0"/>
    <n v="0"/>
    <s v="FAIRMONT MUMBAI - ALWAYS ON 2025"/>
    <s v="AE8860"/>
    <s v="Publicis Media Executive UAE"/>
    <s v="CA200"/>
    <n v="8944.23"/>
    <n v="2121.85"/>
    <e v="#N/A"/>
    <e v="#N/A"/>
    <b v="0"/>
    <x v="3"/>
    <s v="Invoice created against remaining balance of invoice M11IN26-00000936 to cancel once settled."/>
  </r>
  <r>
    <s v="M1140101"/>
    <x v="69"/>
    <s v="(M11)(M11)100117448"/>
    <x v="68"/>
    <n v="9700026156"/>
    <x v="337"/>
    <x v="0"/>
    <n v="1904.81"/>
    <d v="2026-04-25T00:00:00"/>
    <x v="0"/>
    <n v="1904.81"/>
    <x v="57"/>
    <s v="ACCOR"/>
    <s v="ZM"/>
    <s v="Media Interface"/>
    <m/>
    <s v="STARSCAP_MENA"/>
    <s v="AED"/>
    <n v="6995.41"/>
    <n v="0"/>
    <n v="0"/>
    <n v="0"/>
    <n v="0"/>
    <n v="0"/>
    <n v="0"/>
    <n v="0"/>
    <s v="FAIRMONT MUMBAI ALWAYS ON 2026"/>
    <s v="AE8860"/>
    <s v="Publicis Media Executive UAE"/>
    <s v="CA200"/>
    <n v="6995.41"/>
    <n v="1643.21"/>
    <s v="APPROVAL - PROPERTY - ALWAYS ON"/>
    <e v="#N/A"/>
    <b v="0"/>
    <x v="12"/>
    <s v="Client request documents to process payment on 07/0 such as 4 Tax Residency Certificate (TRC) - 2026, No Permanent Establishment (No PE) Certificate – 2026 Form 10F for FY 2026-27"/>
  </r>
  <r>
    <m/>
    <x v="1"/>
    <m/>
    <x v="68"/>
    <m/>
    <x v="2"/>
    <x v="1"/>
    <n v="18092.47"/>
    <m/>
    <x v="2"/>
    <n v="20230.68"/>
    <x v="2"/>
    <m/>
    <m/>
    <m/>
    <m/>
    <m/>
    <s v="AED"/>
    <n v="15939.64"/>
    <n v="73484.3"/>
    <n v="8944.2199999999993"/>
    <n v="0"/>
    <n v="0"/>
    <m/>
    <m/>
    <n v="0"/>
    <m/>
    <m/>
    <m/>
    <m/>
    <n v="98368.16"/>
    <n v="22876.02"/>
    <m/>
    <n v="2130.87"/>
    <n v="-0.34584222054810648"/>
    <x v="2"/>
    <m/>
  </r>
  <r>
    <s v="M1140101"/>
    <x v="70"/>
    <s v="(M11)(M11)100114309"/>
    <x v="69"/>
    <n v="9700001963"/>
    <x v="338"/>
    <x v="0"/>
    <n v="8469.76"/>
    <d v="2026-02-11T00:00:00"/>
    <x v="3"/>
    <n v="8469.76"/>
    <x v="72"/>
    <s v="ACCOR"/>
    <s v="ZM"/>
    <s v="Media Interface"/>
    <m/>
    <s v="STARSCAP_MENA"/>
    <s v="AED"/>
    <n v="0"/>
    <n v="0"/>
    <n v="31105.19"/>
    <n v="0"/>
    <n v="0"/>
    <n v="0"/>
    <n v="31105.19"/>
    <n v="0"/>
    <s v="RAFFLES PARIS - LE ROYAL MONCEAU - ALWAYS ON 20"/>
    <s v="AE8860"/>
    <s v="Publicis Media Executive UAE"/>
    <s v="CA200"/>
    <n v="31105.19"/>
    <n v="7254.61"/>
    <s v="APPROVAL - PROPERTY ALWAYS ON"/>
    <s v="Client refusing to settle, claiming payment was already made for the same month’s campaign"/>
    <b v="0"/>
    <x v="9"/>
    <s v="Client refusing to settle, claiming payment was already made for the same month’s campaign"/>
  </r>
  <r>
    <s v="M1140101"/>
    <x v="70"/>
    <s v="(M11)(M11)100114309"/>
    <x v="69"/>
    <n v="9700022829"/>
    <x v="339"/>
    <x v="0"/>
    <n v="3424.39"/>
    <d v="2026-04-18T00:00:00"/>
    <x v="0"/>
    <n v="3424.39"/>
    <x v="18"/>
    <s v="ACCOR"/>
    <s v="ZM"/>
    <s v="Media Interface"/>
    <m/>
    <s v="STARSCAP_MENA"/>
    <s v="AED"/>
    <n v="12576.07"/>
    <n v="0"/>
    <n v="0"/>
    <n v="0"/>
    <n v="0"/>
    <n v="0"/>
    <n v="0"/>
    <n v="0"/>
    <s v="RAFFLES PARIS - LE ROYAL MONCEAU - ALWAYS ON 20"/>
    <s v="AE8860"/>
    <s v="Publicis Media Executive UAE"/>
    <s v="CA200"/>
    <n v="12576.07"/>
    <n v="2983.96"/>
    <s v="APPROVAL - PROPERTY ALWAYS ON"/>
    <e v="#N/A"/>
    <b v="0"/>
    <x v="4"/>
    <s v="Chasing Client for Payment timeline."/>
  </r>
  <r>
    <s v="M1140101"/>
    <x v="70"/>
    <s v="(M11)(M11)100114309"/>
    <x v="69"/>
    <n v="9700082101"/>
    <x v="340"/>
    <x v="0"/>
    <n v="4579"/>
    <d v="2025-12-24T00:00:00"/>
    <x v="5"/>
    <n v="4579"/>
    <x v="78"/>
    <s v="ACCOR"/>
    <s v="ZM"/>
    <s v="Media Interface"/>
    <m/>
    <s v="STARSCAP_MENA"/>
    <s v="AED"/>
    <n v="0"/>
    <n v="0"/>
    <n v="0"/>
    <n v="0"/>
    <n v="16816.38"/>
    <n v="0"/>
    <n v="16816.38"/>
    <n v="0"/>
    <s v="RAFFLES PARIS - LE ROYAL MONCEAU - ALWAYS ON 20"/>
    <s v="AE8860"/>
    <s v="Publicis Media Executive UAE"/>
    <s v="CA200"/>
    <n v="16816.38"/>
    <n v="3953.21"/>
    <s v="APPROVAL - PROPERTY ALWAYS ON"/>
    <s v="Client refusing to settle, claiming payment was already made for the same month’s campaign"/>
    <b v="0"/>
    <x v="9"/>
    <s v="Client refusing to settle, claiming payment was already made for the same month’s campaign"/>
  </r>
  <r>
    <m/>
    <x v="1"/>
    <m/>
    <x v="69"/>
    <m/>
    <x v="2"/>
    <x v="1"/>
    <n v="16473.150000000001"/>
    <m/>
    <x v="2"/>
    <n v="16473.150000000001"/>
    <x v="2"/>
    <m/>
    <m/>
    <m/>
    <m/>
    <m/>
    <s v="AED"/>
    <n v="12576.07"/>
    <n v="0"/>
    <n v="31105.19"/>
    <n v="0"/>
    <n v="16816.38"/>
    <m/>
    <m/>
    <n v="0"/>
    <m/>
    <m/>
    <m/>
    <m/>
    <n v="60497.64"/>
    <n v="14191.78"/>
    <m/>
    <n v="0"/>
    <n v="0"/>
    <x v="2"/>
    <m/>
  </r>
  <r>
    <s v="M1140101"/>
    <x v="71"/>
    <s v="(M11)(M11)100111923"/>
    <x v="70"/>
    <n v="9700017530"/>
    <x v="341"/>
    <x v="0"/>
    <n v="2704.8"/>
    <d v="2026-03-28T00:00:00"/>
    <x v="0"/>
    <n v="2704.8"/>
    <x v="38"/>
    <s v="ACCOR"/>
    <s v="ZM"/>
    <s v="Media Interface"/>
    <m/>
    <s v="STARSCAP_MENA"/>
    <s v="AED"/>
    <n v="0"/>
    <n v="9933.3799999999992"/>
    <n v="0"/>
    <n v="0"/>
    <n v="0"/>
    <n v="0"/>
    <n v="9933.3799999999992"/>
    <n v="0"/>
    <s v="FAIRMONT SONOMA MISSION INN AND SPA - ALWAYS ON"/>
    <s v="AE8860"/>
    <s v="Publicis Media Executive UAE"/>
    <s v="CA200"/>
    <n v="9933.3799999999992"/>
    <n v="2298.63"/>
    <s v="APPROVAL - PROPERTY ALWAYS ON"/>
    <s v="Chasing Client for Payment timeline."/>
    <b v="1"/>
    <x v="0"/>
    <s v="Collected"/>
  </r>
  <r>
    <s v="M1140101"/>
    <x v="71"/>
    <s v="(M11)(M11)100111923"/>
    <x v="70"/>
    <n v="9700017667"/>
    <x v="342"/>
    <x v="0"/>
    <n v="3612.95"/>
    <d v="2026-03-28T00:00:00"/>
    <x v="0"/>
    <n v="3612.95"/>
    <x v="38"/>
    <s v="ACCOR"/>
    <s v="ZM"/>
    <s v="Media Interface"/>
    <m/>
    <s v="STARSCAP_MENA"/>
    <s v="AED"/>
    <n v="0"/>
    <n v="13268.56"/>
    <n v="0"/>
    <n v="0"/>
    <n v="0"/>
    <n v="0"/>
    <n v="13268.56"/>
    <n v="0"/>
    <s v="FAIRMONT SONOMA MISSION INN AND SPA - ALWAYS ON"/>
    <s v="AE8860"/>
    <s v="Publicis Media Executive UAE"/>
    <s v="CA200"/>
    <n v="13268.56"/>
    <n v="3070.41"/>
    <s v="APPROVAL - PROPERTY ALWAYS ON"/>
    <s v="Chasing Client for Payment timeline."/>
    <b v="1"/>
    <x v="0"/>
    <s v="Collected"/>
  </r>
  <r>
    <m/>
    <x v="1"/>
    <m/>
    <x v="70"/>
    <m/>
    <x v="2"/>
    <x v="1"/>
    <n v="6317.75"/>
    <m/>
    <x v="2"/>
    <n v="6317.75"/>
    <x v="2"/>
    <m/>
    <m/>
    <m/>
    <m/>
    <m/>
    <s v="AED"/>
    <n v="0"/>
    <n v="23201.94"/>
    <n v="0"/>
    <n v="0"/>
    <n v="0"/>
    <m/>
    <m/>
    <n v="0"/>
    <m/>
    <m/>
    <m/>
    <m/>
    <n v="23201.94"/>
    <n v="5369.04"/>
    <m/>
    <n v="5369.04"/>
    <n v="1"/>
    <x v="2"/>
    <m/>
  </r>
  <r>
    <s v="M1140101"/>
    <x v="72"/>
    <s v="(M11)(M11)100114550"/>
    <x v="71"/>
    <n v="9700003145"/>
    <x v="343"/>
    <x v="0"/>
    <n v="8381.06"/>
    <d v="2026-02-15T00:00:00"/>
    <x v="3"/>
    <n v="8381.06"/>
    <x v="16"/>
    <s v="ACCOR"/>
    <s v="ZM"/>
    <s v="Media Interface"/>
    <m/>
    <s v="STARSCAP_MENA"/>
    <s v="AED"/>
    <n v="0"/>
    <n v="0"/>
    <n v="30779.439999999999"/>
    <n v="0"/>
    <n v="0"/>
    <n v="0"/>
    <n v="30779.439999999999"/>
    <n v="0"/>
    <s v="FAIRMONT ST ANDREWS - ALWAYS ON 2025"/>
    <s v="AE8860"/>
    <s v="Publicis Media Executive UAE"/>
    <s v="CA200"/>
    <n v="30779.439999999999"/>
    <n v="7191.57"/>
    <s v="APPROVAL - PROPERTY ALWAYS ON"/>
    <s v="Client POC unresponsive - keep chsaing for an update."/>
    <b v="0"/>
    <x v="11"/>
    <s v="Client POC unresponsive - keep chsaing for an update."/>
  </r>
  <r>
    <s v="M1140101"/>
    <x v="72"/>
    <s v="(M11)(M11)100114550"/>
    <x v="71"/>
    <n v="9700003898"/>
    <x v="344"/>
    <x v="0"/>
    <n v="8156.56"/>
    <d v="2026-02-18T00:00:00"/>
    <x v="3"/>
    <n v="8156.56"/>
    <x v="17"/>
    <s v="ACCOR"/>
    <s v="ZM"/>
    <s v="Media Interface"/>
    <m/>
    <s v="STARSCAP_MENA"/>
    <s v="AED"/>
    <n v="0"/>
    <n v="0"/>
    <n v="29954.97"/>
    <n v="0"/>
    <n v="0"/>
    <n v="0"/>
    <n v="29954.97"/>
    <n v="0"/>
    <s v="FAIRMONT ST ANDREWS - ALWAYS ON 2025"/>
    <s v="AE8860"/>
    <s v="Publicis Media Executive UAE"/>
    <s v="CA200"/>
    <n v="29954.97"/>
    <n v="7000.74"/>
    <s v="APPROVAL - PROPERTY ALWAYS ON"/>
    <s v="Client POC unresponsive - keep chsaing for an update."/>
    <b v="0"/>
    <x v="11"/>
    <s v="Client POC unresponsive - keep chsaing for an update."/>
  </r>
  <r>
    <s v="M1140101"/>
    <x v="72"/>
    <s v="(M11)(M11)100114550"/>
    <x v="71"/>
    <n v="9700017321"/>
    <x v="345"/>
    <x v="0"/>
    <n v="5686.89"/>
    <d v="2026-03-26T00:00:00"/>
    <x v="4"/>
    <n v="5686.89"/>
    <x v="79"/>
    <s v="ACCOR"/>
    <s v="ZM"/>
    <s v="Media Interface"/>
    <m/>
    <s v="STARSCAP_MENA"/>
    <s v="AED"/>
    <n v="0"/>
    <n v="20885.099999999999"/>
    <n v="0"/>
    <n v="0"/>
    <n v="0"/>
    <n v="0"/>
    <n v="20885.099999999999"/>
    <n v="0"/>
    <s v="FAIRMONT ST ANDREWS ALWAYS ON 2026"/>
    <s v="AE8860"/>
    <s v="Publicis Media Executive UAE"/>
    <s v="CA200"/>
    <n v="20885.099999999999"/>
    <n v="4832.91"/>
    <s v="APPROVAL - PROPERTY LEVEL - ALWAYS ON"/>
    <s v="Client POC unresponsive - keep chsaing for an update."/>
    <b v="0"/>
    <x v="11"/>
    <s v="Client POC unresponsive - keep chsaing for an update."/>
  </r>
  <r>
    <s v="M1140101"/>
    <x v="72"/>
    <s v="(M11)(M11)100114550"/>
    <x v="71"/>
    <n v="9700025717"/>
    <x v="346"/>
    <x v="0"/>
    <n v="4661.5"/>
    <d v="2026-04-29T00:00:00"/>
    <x v="1"/>
    <n v="4661.5"/>
    <x v="1"/>
    <s v="ACCOR"/>
    <s v="ZM"/>
    <s v="Media Interface"/>
    <m/>
    <s v="STARSCAP_MENA"/>
    <s v="AED"/>
    <n v="17119.36"/>
    <n v="0"/>
    <n v="0"/>
    <n v="0"/>
    <n v="0"/>
    <n v="0"/>
    <n v="0"/>
    <n v="0"/>
    <s v="FAIRMONT ST ANDREWS ALWAYS ON 2026"/>
    <s v="AE8860"/>
    <s v="Publicis Media Executive UAE"/>
    <s v="CA200"/>
    <n v="17119.36"/>
    <n v="4028.26"/>
    <s v="APPROVAL - PROPERTY LEVEL - ALWAYS ON"/>
    <e v="#N/A"/>
    <b v="0"/>
    <x v="11"/>
    <s v="Client POC unresponsive - keep chsaing for an update."/>
  </r>
  <r>
    <s v="M1140101"/>
    <x v="72"/>
    <s v="(M11)(M11)100114550"/>
    <x v="71"/>
    <n v="9700031406"/>
    <x v="347"/>
    <x v="0"/>
    <n v="16603.96"/>
    <d v="2025-06-11T00:00:00"/>
    <x v="5"/>
    <n v="16603.96"/>
    <x v="60"/>
    <s v="ACCOR"/>
    <s v="ZM"/>
    <s v="Media Interface"/>
    <m/>
    <s v="STARSCAP_MENA"/>
    <s v="AED"/>
    <n v="0"/>
    <n v="0"/>
    <n v="0"/>
    <n v="0"/>
    <n v="0"/>
    <n v="60978.04"/>
    <n v="60978.04"/>
    <n v="0"/>
    <s v="FAIRMONT_ALWAYS ON_FAIRMONT ST ANDREWS_NON UAE"/>
    <s v="AE8860"/>
    <s v="Publicis Media Executive UAE"/>
    <s v="CA200"/>
    <n v="60978.04"/>
    <n v="14616.16"/>
    <s v="APPROVAL_PROPERTY LEVEL_SEA_00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31407"/>
    <x v="348"/>
    <x v="0"/>
    <n v="7666.32"/>
    <d v="2025-06-11T00:00:00"/>
    <x v="5"/>
    <n v="7666.32"/>
    <x v="60"/>
    <s v="ACCOR"/>
    <s v="ZM"/>
    <s v="Media Interface"/>
    <m/>
    <s v="STARSCAP_MENA"/>
    <s v="AED"/>
    <n v="0"/>
    <n v="0"/>
    <n v="0"/>
    <n v="0"/>
    <n v="0"/>
    <n v="28154.560000000001"/>
    <n v="28154.560000000001"/>
    <n v="0"/>
    <s v="FAIRMONT_ALWAYS ON_FAIRMONT ST ANDREWS"/>
    <s v="AE8860"/>
    <s v="Publicis Media Executive UAE"/>
    <s v="CA200"/>
    <n v="28154.560000000001"/>
    <n v="6748.52"/>
    <s v="APPROVAL_PROPERTY LEVEL_SEA_002"/>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31411"/>
    <x v="349"/>
    <x v="0"/>
    <n v="8009.56"/>
    <d v="2025-06-11T00:00:00"/>
    <x v="5"/>
    <n v="8009.56"/>
    <x v="60"/>
    <s v="ACCOR"/>
    <s v="ZM"/>
    <s v="Media Interface"/>
    <m/>
    <s v="STARSCAP_MENA"/>
    <s v="AED"/>
    <n v="0"/>
    <n v="0"/>
    <n v="0"/>
    <n v="0"/>
    <n v="0"/>
    <n v="29415.11"/>
    <n v="29415.11"/>
    <n v="0"/>
    <s v="FAIRMONT ST ANDREWS - ALWAYS ON 2025"/>
    <s v="AE8860"/>
    <s v="Publicis Media Executive UAE"/>
    <s v="CA200"/>
    <n v="29415.11"/>
    <n v="7050.67"/>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34358"/>
    <x v="350"/>
    <x v="0"/>
    <n v="4653.12"/>
    <d v="2025-06-18T00:00:00"/>
    <x v="5"/>
    <n v="4653.12"/>
    <x v="84"/>
    <s v="ACCOR"/>
    <s v="ZM"/>
    <s v="Media Interface"/>
    <m/>
    <s v="STARSCAP_MENA"/>
    <s v="AED"/>
    <n v="0"/>
    <n v="0"/>
    <n v="0"/>
    <n v="0"/>
    <n v="0"/>
    <n v="17088.580000000002"/>
    <n v="17088.580000000002"/>
    <n v="0"/>
    <s v="FAIRMONT ST ANDREWS - ALWAYS ON 2025"/>
    <s v="AE8860"/>
    <s v="Publicis Media Executive UAE"/>
    <s v="CA200"/>
    <n v="17088.580000000002"/>
    <n v="4160.1400000000003"/>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34714"/>
    <x v="351"/>
    <x v="0"/>
    <n v="6844.02"/>
    <d v="2025-06-20T00:00:00"/>
    <x v="5"/>
    <n v="6844.02"/>
    <x v="30"/>
    <s v="ACCOR"/>
    <s v="ZM"/>
    <s v="Media Interface"/>
    <m/>
    <s v="STARSCAP_MENA"/>
    <s v="AED"/>
    <n v="0"/>
    <n v="0"/>
    <n v="0"/>
    <n v="0"/>
    <n v="0"/>
    <n v="25134.66"/>
    <n v="25134.66"/>
    <n v="0"/>
    <s v="FAIRMONT ST ANDREWS - ALWAYS ON 2025"/>
    <s v="AE8860"/>
    <s v="Publicis Media Executive UAE"/>
    <s v="CA200"/>
    <n v="25134.66"/>
    <n v="6114.01"/>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41210"/>
    <x v="352"/>
    <x v="0"/>
    <n v="6859.05"/>
    <d v="2025-07-18T00:00:00"/>
    <x v="5"/>
    <n v="6859.05"/>
    <x v="31"/>
    <s v="ACCOR"/>
    <s v="ZM"/>
    <s v="Media Interface"/>
    <m/>
    <s v="STARSCAP_MENA"/>
    <s v="AED"/>
    <n v="0"/>
    <n v="0"/>
    <n v="0"/>
    <n v="0"/>
    <n v="0"/>
    <n v="25189.86"/>
    <n v="25189.86"/>
    <n v="0"/>
    <s v="FAIRMONT ST ANDREWS - ALWAYS ON 2025"/>
    <s v="AE8860"/>
    <s v="Publicis Media Executive UAE"/>
    <s v="CA200"/>
    <n v="25189.86"/>
    <n v="5926.26"/>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50807"/>
    <x v="353"/>
    <x v="0"/>
    <n v="6400.14"/>
    <d v="2025-08-24T00:00:00"/>
    <x v="5"/>
    <n v="6400.14"/>
    <x v="48"/>
    <s v="ACCOR"/>
    <s v="ZM"/>
    <s v="Media Interface"/>
    <m/>
    <s v="STARSCAP_MENA"/>
    <s v="AED"/>
    <n v="0"/>
    <n v="0"/>
    <n v="0"/>
    <n v="0"/>
    <n v="0"/>
    <n v="23504.51"/>
    <n v="23504.51"/>
    <n v="0"/>
    <s v="FAIRMONT ST ANDREWS - ALWAYS ON 2025"/>
    <s v="AE8860"/>
    <s v="Publicis Media Executive UAE"/>
    <s v="CA200"/>
    <n v="23504.51"/>
    <n v="5444.15"/>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51370"/>
    <x v="354"/>
    <x v="0"/>
    <n v="-110.39"/>
    <d v="2025-08-27T00:00:00"/>
    <x v="5"/>
    <n v="-110.39"/>
    <x v="33"/>
    <s v="ACCOR"/>
    <s v="ZM"/>
    <s v="Media Interface"/>
    <s v="V"/>
    <s v="STARSCAP_MENA"/>
    <s v="AED"/>
    <n v="-405.41"/>
    <n v="0"/>
    <n v="0"/>
    <n v="0"/>
    <n v="0"/>
    <n v="0"/>
    <n v="0"/>
    <n v="0"/>
    <m/>
    <s v="AE8860"/>
    <s v="Publicis Media Executive UAE"/>
    <s v="CA200"/>
    <n v="-405.41"/>
    <n v="-94.16"/>
    <e v="#N/A"/>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61999"/>
    <x v="355"/>
    <x v="0"/>
    <n v="5552.91"/>
    <d v="2025-10-10T00:00:00"/>
    <x v="5"/>
    <n v="5552.91"/>
    <x v="34"/>
    <s v="ACCOR"/>
    <s v="ZM"/>
    <s v="Media Interface"/>
    <m/>
    <s v="STARSCAP_MENA"/>
    <s v="AED"/>
    <n v="0"/>
    <n v="0"/>
    <n v="0"/>
    <n v="0"/>
    <n v="0"/>
    <n v="20393.060000000001"/>
    <n v="20393.060000000001"/>
    <n v="0"/>
    <s v="FAIRMONT ST ANDREWS - ALWAYS ON 2025"/>
    <s v="AE8860"/>
    <s v="Publicis Media Executive UAE"/>
    <s v="CA200"/>
    <n v="20393.060000000001"/>
    <n v="4728.3"/>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62000"/>
    <x v="356"/>
    <x v="0"/>
    <n v="8176.06"/>
    <d v="2025-10-10T00:00:00"/>
    <x v="5"/>
    <n v="8176.06"/>
    <x v="34"/>
    <s v="ACCOR"/>
    <s v="ZM"/>
    <s v="Media Interface"/>
    <m/>
    <s v="STARSCAP_MENA"/>
    <s v="AED"/>
    <n v="0"/>
    <n v="0"/>
    <n v="0"/>
    <n v="0"/>
    <n v="0"/>
    <n v="30026.58"/>
    <n v="30026.58"/>
    <n v="0"/>
    <s v="FAIRMONT ST ANDREWS - ALWAYS ON 2025"/>
    <s v="AE8860"/>
    <s v="Publicis Media Executive UAE"/>
    <s v="CA200"/>
    <n v="30026.58"/>
    <n v="6961.9"/>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69499"/>
    <x v="357"/>
    <x v="0"/>
    <n v="8322.93"/>
    <d v="2025-11-09T00:00:00"/>
    <x v="5"/>
    <n v="8322.93"/>
    <x v="24"/>
    <s v="ACCOR"/>
    <s v="ZM"/>
    <s v="Media Interface"/>
    <m/>
    <s v="STARSCAP_MENA"/>
    <s v="AED"/>
    <n v="0"/>
    <n v="0"/>
    <n v="0"/>
    <n v="0"/>
    <n v="0"/>
    <n v="30565.96"/>
    <n v="30565.96"/>
    <n v="0"/>
    <s v="FAIRMONT ST ANDREWS - ALWAYS ON 2025"/>
    <s v="AE8860"/>
    <s v="Publicis Media Executive UAE"/>
    <s v="CA200"/>
    <n v="30565.96"/>
    <n v="7134.35"/>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s v="M1140101"/>
    <x v="72"/>
    <s v="(M11)(M11)100114550"/>
    <x v="71"/>
    <n v="9700083305"/>
    <x v="358"/>
    <x v="0"/>
    <n v="8380.2900000000009"/>
    <d v="2025-12-24T00:00:00"/>
    <x v="5"/>
    <n v="8380.2900000000009"/>
    <x v="78"/>
    <s v="ACCOR"/>
    <s v="ZM"/>
    <s v="Media Interface"/>
    <m/>
    <s v="STARSCAP_MENA"/>
    <s v="AED"/>
    <n v="0"/>
    <n v="0"/>
    <n v="0"/>
    <n v="0"/>
    <n v="30776.62"/>
    <n v="0"/>
    <n v="30776.62"/>
    <n v="0"/>
    <s v="FAIRMONT ST ANDREWS - ALWAYS ON 2025"/>
    <s v="AE8860"/>
    <s v="Publicis Media Executive UAE"/>
    <s v="CA200"/>
    <n v="30776.62"/>
    <n v="7274.56"/>
    <s v="APPROVAL - PROPERTY ALWAYS ON"/>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b v="0"/>
    <x v="11"/>
    <s v="On 06/01, client requested a call to discuss invoices already reviewed by Joyce (Client Ecommerce Manager). A new POC was added to the thread on 16/10 but remains unresponsive. Last follow-up was on 08/12, and meeting was declined due to time zone differences. Latest email on 06/01 reiterated request for a call with Corp Team regarding invoices. received email from Client on 11/2 mentioned Finance Director in on AL Leave - still chasing client for an update."/>
  </r>
  <r>
    <m/>
    <x v="1"/>
    <m/>
    <x v="71"/>
    <m/>
    <x v="2"/>
    <x v="1"/>
    <n v="114243.98000000001"/>
    <m/>
    <x v="2"/>
    <n v="114243.98000000001"/>
    <x v="2"/>
    <m/>
    <m/>
    <m/>
    <m/>
    <m/>
    <s v="AED"/>
    <n v="16713.95"/>
    <n v="20885.099999999999"/>
    <n v="60734.41"/>
    <n v="0"/>
    <n v="30776.62"/>
    <m/>
    <m/>
    <n v="0"/>
    <m/>
    <m/>
    <m/>
    <m/>
    <n v="419561"/>
    <n v="99118.34"/>
    <m/>
    <n v="0"/>
    <n v="0"/>
    <x v="2"/>
    <m/>
  </r>
  <r>
    <s v="M1140101"/>
    <x v="73"/>
    <s v="(M11)(M11)100108960"/>
    <x v="72"/>
    <n v="9700016149"/>
    <x v="359"/>
    <x v="0"/>
    <n v="207.66"/>
    <d v="2026-03-22T00:00:00"/>
    <x v="4"/>
    <n v="207.66"/>
    <x v="37"/>
    <s v="ACCOR"/>
    <s v="ZM"/>
    <s v="Media Interface"/>
    <m/>
    <s v="STARSCAP_MENA"/>
    <s v="AED"/>
    <n v="0"/>
    <n v="762.63"/>
    <n v="0"/>
    <n v="0"/>
    <n v="0"/>
    <n v="0"/>
    <n v="762.63"/>
    <n v="0"/>
    <s v="FAIRMONT TAZI PALACE TANGIER ALWAYS ON 2025"/>
    <s v="AE8860"/>
    <s v="Publicis Media Executive UAE"/>
    <s v="CA200"/>
    <n v="762.63"/>
    <n v="175.31"/>
    <s v="APPROVAL - PROPERTY - ALWAYS ON"/>
    <s v="Pending Contract, WIP as per Hadi(Agency) on 12/8 - still chasing for an update internally."/>
    <b v="0"/>
    <x v="8"/>
    <s v="Pending Contract, WIP as per Hadi(Agency) on 12/8 - still chasing for an update internally."/>
  </r>
  <r>
    <s v="M1140101"/>
    <x v="73"/>
    <s v="(M11)(M11)100108960"/>
    <x v="72"/>
    <n v="9700017314"/>
    <x v="360"/>
    <x v="0"/>
    <n v="285.37"/>
    <d v="2026-03-25T00:00:00"/>
    <x v="4"/>
    <n v="285.37"/>
    <x v="85"/>
    <s v="ACCOR"/>
    <s v="ZM"/>
    <s v="Media Interface"/>
    <m/>
    <s v="STARSCAP_MENA"/>
    <s v="AED"/>
    <n v="0"/>
    <n v="1048.02"/>
    <n v="0"/>
    <n v="0"/>
    <n v="0"/>
    <n v="0"/>
    <n v="1048.02"/>
    <n v="0"/>
    <s v="FAIRMONT TAZI PALACE TANGIER ALWAYS ON 2026"/>
    <s v="AE8860"/>
    <s v="Publicis Media Executive UAE"/>
    <s v="CA200"/>
    <n v="1048.02"/>
    <n v="242.52"/>
    <s v="APPROVAL - PROPERTY - ALWAYS ON"/>
    <s v="Pending Contract, WIP as per Hadi(Agency) on 12/8 - still chasing for an update internally."/>
    <b v="0"/>
    <x v="8"/>
    <s v="Pending Contract, WIP as per Hadi(Agency) on 12/8 - still chasing for an update internally."/>
  </r>
  <r>
    <s v="M1140101"/>
    <x v="73"/>
    <s v="(M11)(M11)100108960"/>
    <x v="72"/>
    <n v="9700018965"/>
    <x v="361"/>
    <x v="0"/>
    <n v="405.14"/>
    <d v="2026-04-02T00:00:00"/>
    <x v="0"/>
    <n v="405.14"/>
    <x v="88"/>
    <s v="ACCOR"/>
    <s v="ZM"/>
    <s v="Media Interface"/>
    <m/>
    <s v="STARSCAP_MENA"/>
    <s v="AED"/>
    <n v="1487.88"/>
    <n v="0"/>
    <n v="0"/>
    <n v="0"/>
    <n v="0"/>
    <n v="0"/>
    <n v="0"/>
    <n v="0"/>
    <s v="FAIRMONT TAZI PALACE TANGIER ALWAYS ON 2025"/>
    <s v="AE8860"/>
    <s v="Publicis Media Executive UAE"/>
    <s v="CA200"/>
    <n v="1487.88"/>
    <n v="346.33"/>
    <s v="APPROVAL - PROPERTY - ALWAYS ON"/>
    <e v="#N/A"/>
    <b v="0"/>
    <x v="8"/>
    <s v="Pending Contract, WIP as per Hadi(Agency) on 12/8 - still chasing for an update internally."/>
  </r>
  <r>
    <s v="M1140101"/>
    <x v="73"/>
    <s v="(M11)(M11)100108960"/>
    <x v="72"/>
    <n v="9700025784"/>
    <x v="362"/>
    <x v="0"/>
    <n v="281.52999999999997"/>
    <d v="2026-04-29T00:00:00"/>
    <x v="1"/>
    <n v="281.52999999999997"/>
    <x v="1"/>
    <s v="ACCOR"/>
    <s v="ZM"/>
    <s v="Media Interface"/>
    <m/>
    <s v="STARSCAP_MENA"/>
    <s v="AED"/>
    <n v="1033.92"/>
    <n v="0"/>
    <n v="0"/>
    <n v="0"/>
    <n v="0"/>
    <n v="0"/>
    <n v="0"/>
    <n v="0"/>
    <s v="FAIRMONT TAZI PALACE TANGIER ALWAYS ON 2026"/>
    <s v="AE8860"/>
    <s v="Publicis Media Executive UAE"/>
    <s v="CA200"/>
    <n v="1033.92"/>
    <n v="243.29"/>
    <s v="APPROVAL - PROPERTY - ALWAYS ON"/>
    <e v="#N/A"/>
    <b v="0"/>
    <x v="8"/>
    <s v="Pending Contract, WIP as per Hadi(Agency) on 12/8 - still chasing for an update internally."/>
  </r>
  <r>
    <s v="M1140101"/>
    <x v="73"/>
    <s v="(M11)(M11)100108960"/>
    <x v="72"/>
    <n v="9700032553"/>
    <x v="363"/>
    <x v="0"/>
    <n v="335.53"/>
    <d v="2025-06-14T00:00:00"/>
    <x v="5"/>
    <n v="335.53"/>
    <x v="89"/>
    <s v="ACCOR"/>
    <s v="ZM"/>
    <s v="Media Interface"/>
    <m/>
    <s v="STARSCAP_MENA"/>
    <s v="AED"/>
    <n v="0"/>
    <n v="0"/>
    <n v="0"/>
    <n v="0"/>
    <n v="0"/>
    <n v="1232.23"/>
    <n v="1232.23"/>
    <n v="0"/>
    <s v="FAIRMONT TAZI PALACE TANGIER ALWAYS ON 2025"/>
    <s v="AE8860"/>
    <s v="Publicis Media Executive UAE"/>
    <s v="CA200"/>
    <n v="1232.23"/>
    <n v="302.12"/>
    <s v="APPROVAL - PROPERTY - ALWAYS ON"/>
    <s v="Pending Contract, WIP as per Hadi(Agency) on 12/8 - still chasing for an update internally."/>
    <b v="0"/>
    <x v="8"/>
    <s v="Pending Contract, WIP as per Hadi(Agency) on 12/8 - still chasing for an update internally."/>
  </r>
  <r>
    <s v="M1140101"/>
    <x v="73"/>
    <s v="(M11)(M11)100108960"/>
    <x v="72"/>
    <n v="9700044560"/>
    <x v="364"/>
    <x v="0"/>
    <n v="732.69"/>
    <d v="2025-07-29T00:00:00"/>
    <x v="5"/>
    <n v="732.69"/>
    <x v="90"/>
    <s v="ACCOR"/>
    <s v="ZM"/>
    <s v="Media Interface"/>
    <m/>
    <s v="STARSCAP_MENA"/>
    <s v="AED"/>
    <n v="0"/>
    <n v="0"/>
    <n v="0"/>
    <n v="0"/>
    <n v="0"/>
    <n v="2690.8"/>
    <n v="2690.8"/>
    <n v="0"/>
    <s v="FAIRMONT TAZI PALACE TANGIER ALWAYS ON 2025"/>
    <s v="AE8860"/>
    <s v="Publicis Media Executive UAE"/>
    <s v="CA200"/>
    <n v="2690.8"/>
    <n v="631.25"/>
    <s v="APPROVAL - PROPERTY - ALWAYS ON"/>
    <s v="Pending Contract, WIP as per Hadi(Agency) on 12/8 - still chasing for an update internally."/>
    <b v="0"/>
    <x v="8"/>
    <s v="Pending Contract, WIP as per Hadi(Agency) on 12/8 - still chasing for an update internally."/>
  </r>
  <r>
    <s v="M1140101"/>
    <x v="73"/>
    <s v="(M11)(M11)100108960"/>
    <x v="72"/>
    <n v="9700044561"/>
    <x v="365"/>
    <x v="0"/>
    <n v="266.93"/>
    <d v="2025-07-29T00:00:00"/>
    <x v="5"/>
    <n v="266.93"/>
    <x v="90"/>
    <s v="ACCOR"/>
    <s v="ZM"/>
    <s v="Media Interface"/>
    <m/>
    <s v="STARSCAP_MENA"/>
    <s v="AED"/>
    <n v="0"/>
    <n v="0"/>
    <n v="0"/>
    <n v="0"/>
    <n v="0"/>
    <n v="980.3"/>
    <n v="980.3"/>
    <n v="0"/>
    <s v="FAIRMONT TAZI PALACE TANGIER ALWAYS ON 2025"/>
    <s v="AE8860"/>
    <s v="Publicis Media Executive UAE"/>
    <s v="CA200"/>
    <n v="980.3"/>
    <n v="229.97"/>
    <s v="APPROVAL - PROPERTY - ALWAYS ON"/>
    <s v="Pending Contract, WIP as per Hadi(Agency) on 12/8 - still chasing for an update internally."/>
    <b v="0"/>
    <x v="8"/>
    <s v="Pending Contract, WIP as per Hadi(Agency) on 12/8 - still chasing for an update internally."/>
  </r>
  <r>
    <s v="M1140101"/>
    <x v="73"/>
    <s v="(M11)(M11)100108960"/>
    <x v="72"/>
    <n v="9700058816"/>
    <x v="366"/>
    <x v="0"/>
    <n v="512.36"/>
    <d v="2025-09-25T00:00:00"/>
    <x v="5"/>
    <n v="512.36"/>
    <x v="91"/>
    <s v="ACCOR"/>
    <s v="ZM"/>
    <s v="Media Interface"/>
    <m/>
    <s v="STARSCAP_MENA"/>
    <s v="AED"/>
    <n v="0"/>
    <n v="0"/>
    <n v="0"/>
    <n v="0"/>
    <n v="0"/>
    <n v="1881.64"/>
    <n v="1881.64"/>
    <n v="0"/>
    <s v="FAIRMONT TAZI PALACE TANGIER ALWAYS ON 2025"/>
    <s v="AE8860"/>
    <s v="Publicis Media Executive UAE"/>
    <s v="CA200"/>
    <n v="1881.64"/>
    <n v="441.39"/>
    <s v="APPROVAL - PROPERTY - ALWAYS ON"/>
    <s v="Pending Contract, WIP as per Hadi(Agency) on 12/8 - still chasing for an update internally."/>
    <b v="0"/>
    <x v="8"/>
    <s v="Pending Contract, WIP as per Hadi(Agency) on 12/8 - still chasing for an update internally."/>
  </r>
  <r>
    <s v="M1140101"/>
    <x v="73"/>
    <s v="(M11)(M11)100108960"/>
    <x v="72"/>
    <n v="9700066492"/>
    <x v="367"/>
    <x v="0"/>
    <n v="228.53"/>
    <d v="2025-10-26T00:00:00"/>
    <x v="5"/>
    <n v="228.53"/>
    <x v="92"/>
    <s v="ACCOR"/>
    <s v="ZM"/>
    <s v="Media Interface"/>
    <m/>
    <s v="STARSCAP_MENA"/>
    <s v="AED"/>
    <n v="0"/>
    <n v="0"/>
    <n v="0"/>
    <n v="0"/>
    <n v="0"/>
    <n v="839.28"/>
    <n v="839.28"/>
    <n v="0"/>
    <s v="FAIRMONT TAZI PALACE TANGIER ALWAYS ON 2025"/>
    <s v="AE8860"/>
    <s v="Publicis Media Executive UAE"/>
    <s v="CA200"/>
    <n v="839.28"/>
    <n v="193.78"/>
    <s v="APPROVAL - PROPERTY - ALWAYS ON"/>
    <s v="Pending Contract, WIP as per Hadi(Agency) on 12/8 - still chasing for an update internally."/>
    <b v="0"/>
    <x v="8"/>
    <s v="Pending Contract, WIP as per Hadi(Agency) on 12/8 - still chasing for an update internally."/>
  </r>
  <r>
    <s v="M1140101"/>
    <x v="73"/>
    <s v="(M11)(M11)100108960"/>
    <x v="72"/>
    <n v="9700070450"/>
    <x v="368"/>
    <x v="0"/>
    <n v="221.89"/>
    <d v="2025-11-12T00:00:00"/>
    <x v="5"/>
    <n v="221.89"/>
    <x v="42"/>
    <s v="ACCOR"/>
    <s v="ZM"/>
    <s v="Media Interface"/>
    <m/>
    <s v="STARSCAP_MENA"/>
    <s v="AED"/>
    <n v="0"/>
    <n v="0"/>
    <n v="0"/>
    <n v="0"/>
    <n v="0"/>
    <n v="814.89"/>
    <n v="814.89"/>
    <n v="0"/>
    <s v="FAIRMONT TAZI PALACE TANGIER ALWAYS ON 2025"/>
    <s v="AE8860"/>
    <s v="Publicis Media Executive UAE"/>
    <s v="CA200"/>
    <n v="814.89"/>
    <n v="191.1"/>
    <s v="APPROVAL - PROPERTY - ALWAYS ON"/>
    <s v="Pending Contract, WIP as per Hadi(Agency) on 12/8 - still chasing for an update internally."/>
    <b v="0"/>
    <x v="8"/>
    <s v="Pending Contract, WIP as per Hadi(Agency) on 12/8 - still chasing for an update internally."/>
  </r>
  <r>
    <s v="M1140101"/>
    <x v="73"/>
    <s v="(M11)(M11)100108960"/>
    <x v="72"/>
    <n v="9700083666"/>
    <x v="369"/>
    <x v="0"/>
    <n v="225.56"/>
    <d v="2025-12-25T00:00:00"/>
    <x v="5"/>
    <n v="225.56"/>
    <x v="93"/>
    <s v="ACCOR"/>
    <s v="ZM"/>
    <s v="Media Interface"/>
    <m/>
    <s v="STARSCAP_MENA"/>
    <s v="AED"/>
    <n v="0"/>
    <n v="0"/>
    <n v="0"/>
    <n v="0"/>
    <n v="828.37"/>
    <n v="0"/>
    <n v="828.37"/>
    <n v="0"/>
    <s v="FAIRMONT TAZI PALACE TANGIER ALWAYS ON 2025"/>
    <s v="AE8860"/>
    <s v="Publicis Media Executive UAE"/>
    <s v="CA200"/>
    <n v="828.37"/>
    <n v="195.8"/>
    <s v="APPROVAL - PROPERTY - ALWAYS ON"/>
    <s v="Pending Contract, WIP as per Hadi(Agency) on 12/8 - still chasing for an update internally."/>
    <b v="0"/>
    <x v="8"/>
    <s v="Pending Contract, WIP as per Hadi(Agency) on 12/8 - still chasing for an update internally."/>
  </r>
  <r>
    <m/>
    <x v="1"/>
    <m/>
    <x v="72"/>
    <m/>
    <x v="2"/>
    <x v="1"/>
    <n v="3703.19"/>
    <m/>
    <x v="2"/>
    <n v="3703.19"/>
    <x v="2"/>
    <m/>
    <m/>
    <m/>
    <m/>
    <m/>
    <s v="AED"/>
    <n v="2521.8000000000002"/>
    <n v="1810.65"/>
    <n v="0"/>
    <n v="0"/>
    <n v="828.37"/>
    <m/>
    <m/>
    <n v="0"/>
    <m/>
    <m/>
    <m/>
    <m/>
    <n v="13599.96"/>
    <n v="3192.86"/>
    <m/>
    <n v="0"/>
    <n v="0"/>
    <x v="2"/>
    <m/>
  </r>
  <r>
    <s v="M1140101"/>
    <x v="74"/>
    <s v="(M11)(M11)100108790"/>
    <x v="73"/>
    <n v="2900000694"/>
    <x v="370"/>
    <x v="0"/>
    <n v="-3331.7"/>
    <d v="2026-03-02T00:00:00"/>
    <x v="4"/>
    <n v="-3331.7"/>
    <x v="94"/>
    <s v="ACCOR"/>
    <s v="CP"/>
    <s v="FI-AR payment"/>
    <m/>
    <m/>
    <s v="AED"/>
    <n v="-12235.67"/>
    <n v="0"/>
    <n v="0"/>
    <n v="0"/>
    <n v="0"/>
    <n v="0"/>
    <n v="0"/>
    <n v="0"/>
    <s v="Posted as on account against pay amt 3,331.70"/>
    <s v="AE8860"/>
    <s v="Publicis Media Executive UAE"/>
    <s v="CA200"/>
    <n v="-12235.67"/>
    <n v="-2848.09"/>
    <e v="#N/A"/>
    <e v="#N/A"/>
    <b v="0"/>
    <x v="7"/>
    <s v="Errorneous payment - invoice M11IN25-00033853 under different Entity client were informed and mentioned to process reversal on their end as CN."/>
  </r>
  <r>
    <s v="M1140101"/>
    <x v="74"/>
    <s v="(M11)(M11)100108790"/>
    <x v="73"/>
    <n v="9700017549"/>
    <x v="371"/>
    <x v="0"/>
    <n v="4054.16"/>
    <d v="2026-03-27T00:00:00"/>
    <x v="4"/>
    <n v="4054.16"/>
    <x v="12"/>
    <s v="ACCOR"/>
    <s v="ZM"/>
    <s v="Media Interface"/>
    <m/>
    <s v="STARSCAP_MENA"/>
    <s v="AED"/>
    <n v="0"/>
    <n v="14888.9"/>
    <n v="0"/>
    <n v="0"/>
    <n v="0"/>
    <n v="0"/>
    <n v="14888.9"/>
    <n v="0"/>
    <s v="RAFFLES BOSTON ALWAYS ON 2026"/>
    <s v="AE8860"/>
    <s v="Publicis Media Executive UAE"/>
    <s v="CA200"/>
    <n v="14888.9"/>
    <n v="3445.36"/>
    <s v="APPROVAL - PROPERTY ALWAYS ON"/>
    <s v="Chasing Client for Payment timeline."/>
    <b v="1"/>
    <x v="0"/>
    <s v="Collected"/>
  </r>
  <r>
    <s v="M1140101"/>
    <x v="74"/>
    <s v="(M11)(M11)100108790"/>
    <x v="73"/>
    <n v="9700041212"/>
    <x v="372"/>
    <x v="0"/>
    <n v="3071.36"/>
    <d v="2025-07-19T00:00:00"/>
    <x v="5"/>
    <n v="3071.36"/>
    <x v="66"/>
    <s v="ACCOR"/>
    <s v="ZM"/>
    <s v="Media Interface"/>
    <m/>
    <s v="STARSCAP_MENA"/>
    <s v="AED"/>
    <n v="0"/>
    <n v="0"/>
    <n v="0"/>
    <n v="0"/>
    <n v="0"/>
    <n v="11279.57"/>
    <n v="11279.57"/>
    <n v="0"/>
    <s v="RAFFLES BOSTON - ALWAYS ON 2025"/>
    <s v="AE8860"/>
    <s v="Publicis Media Executive UAE"/>
    <s v="CA200"/>
    <n v="11279.57"/>
    <n v="2653.67"/>
    <s v="APPROVAL - PROPERTY ALWAYS ON"/>
    <s v="New POC added (14/11); invoices reshared (20/11) and forwarded to Finance. Client advised payment in process (29/1); no response since—chasing payment timeline."/>
    <b v="0"/>
    <x v="4"/>
    <s v="Reshared invoice on 08/04 as client mentioned did not received. Chasing Client for Payment timeline."/>
  </r>
  <r>
    <s v="M1140101"/>
    <x v="74"/>
    <s v="(M11)(M11)100108790"/>
    <x v="73"/>
    <n v="9700047501"/>
    <x v="373"/>
    <x v="0"/>
    <n v="3061"/>
    <d v="2025-08-20T00:00:00"/>
    <x v="5"/>
    <n v="3061"/>
    <x v="32"/>
    <s v="ACCOR"/>
    <s v="ZM"/>
    <s v="Media Interface"/>
    <m/>
    <s v="STARSCAP_MENA"/>
    <s v="AED"/>
    <n v="0"/>
    <n v="0"/>
    <n v="0"/>
    <n v="0"/>
    <n v="0"/>
    <n v="11241.52"/>
    <n v="11241.52"/>
    <n v="0"/>
    <s v="RAFFLES BOSTON - ALWAYS ON 2025"/>
    <s v="AE8860"/>
    <s v="Publicis Media Executive UAE"/>
    <s v="CA200"/>
    <n v="11241.52"/>
    <n v="2638.34"/>
    <s v="APPROVAL - PROPERTY ALWAYS ON"/>
    <s v="New POC added (14/11); invoices reshared (20/11) and forwarded to Finance. Client advised payment in process (29/1); no response since—chasing payment timeline."/>
    <b v="0"/>
    <x v="4"/>
    <s v="Reshared invoice on 08/04 as client mentioned did not received. Chasing Client for Payment timeline."/>
  </r>
  <r>
    <m/>
    <x v="1"/>
    <m/>
    <x v="73"/>
    <m/>
    <x v="2"/>
    <x v="1"/>
    <n v="6854.82"/>
    <m/>
    <x v="2"/>
    <n v="6854.82"/>
    <x v="2"/>
    <m/>
    <m/>
    <m/>
    <m/>
    <m/>
    <s v="AED"/>
    <n v="-12235.67"/>
    <n v="14888.9"/>
    <n v="0"/>
    <n v="0"/>
    <n v="0"/>
    <m/>
    <m/>
    <n v="0"/>
    <m/>
    <m/>
    <m/>
    <m/>
    <n v="25174.32"/>
    <n v="5889.28"/>
    <m/>
    <n v="3445.36"/>
    <n v="0.59143201426149772"/>
    <x v="2"/>
    <m/>
  </r>
  <r>
    <s v="M1140101"/>
    <x v="75"/>
    <s v="(M11)(M11)100111613"/>
    <x v="74"/>
    <n v="9700003184"/>
    <x v="374"/>
    <x v="0"/>
    <n v="2005.51"/>
    <d v="2026-02-15T00:00:00"/>
    <x v="3"/>
    <n v="2005.51"/>
    <x v="16"/>
    <s v="ACCOR"/>
    <s v="ZM"/>
    <s v="Media Interface"/>
    <m/>
    <s v="STARSCAP_MENA"/>
    <s v="AED"/>
    <n v="0"/>
    <n v="0"/>
    <n v="7365.24"/>
    <n v="0"/>
    <n v="0"/>
    <n v="0"/>
    <n v="7365.24"/>
    <n v="0"/>
    <s v="RAFFLES DUBAI ALWAYS ON 2025"/>
    <s v="AE8860"/>
    <s v="Publicis Media Executive UAE"/>
    <s v="CA200"/>
    <n v="7365.24"/>
    <n v="1720.88"/>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03943"/>
    <x v="375"/>
    <x v="0"/>
    <n v="2004.91"/>
    <d v="2026-02-18T00:00:00"/>
    <x v="3"/>
    <n v="2004.91"/>
    <x v="17"/>
    <s v="ACCOR"/>
    <s v="ZM"/>
    <s v="Media Interface"/>
    <m/>
    <s v="STARSCAP_MENA"/>
    <s v="AED"/>
    <n v="0"/>
    <n v="0"/>
    <n v="7363.03"/>
    <n v="0"/>
    <n v="0"/>
    <n v="0"/>
    <n v="7363.03"/>
    <n v="0"/>
    <s v="RAFFLES DUBAI ALWAYS ON 2025"/>
    <s v="AE8860"/>
    <s v="Publicis Media Executive UAE"/>
    <s v="CA200"/>
    <n v="7363.03"/>
    <n v="1724.8"/>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14773"/>
    <x v="376"/>
    <x v="0"/>
    <n v="699.04"/>
    <d v="2025-03-28T00:00:00"/>
    <x v="5"/>
    <n v="699.04"/>
    <x v="36"/>
    <s v="ACCOR"/>
    <s v="ZM"/>
    <s v="Media Interface"/>
    <m/>
    <s v="STARSCAP_MENA"/>
    <s v="AED"/>
    <n v="0"/>
    <n v="0"/>
    <n v="0"/>
    <n v="0"/>
    <n v="0"/>
    <n v="2567.2199999999998"/>
    <n v="2567.2199999999998"/>
    <n v="0"/>
    <s v="RAFFLES_ALWAYS ON_Dubai_NON UAE"/>
    <s v="AE8860"/>
    <s v="Publicis Media Executive UAE"/>
    <s v="CA200"/>
    <n v="2567.2199999999998"/>
    <n v="667.98"/>
    <s v="APPROVAL_PROPERTY LEVEL_SEA_001"/>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14774"/>
    <x v="377"/>
    <x v="0"/>
    <n v="380.16"/>
    <d v="2025-03-28T00:00:00"/>
    <x v="5"/>
    <n v="380.16"/>
    <x v="36"/>
    <s v="ACCOR"/>
    <s v="ZM"/>
    <s v="Media Interface"/>
    <m/>
    <s v="STARSCAP_MENA"/>
    <s v="AED"/>
    <n v="0"/>
    <n v="0"/>
    <n v="0"/>
    <n v="0"/>
    <n v="0"/>
    <n v="1396.14"/>
    <n v="1396.14"/>
    <n v="0"/>
    <s v="RAFFLES_ALWAYS ON_Dubai"/>
    <s v="AE8860"/>
    <s v="Publicis Media Executive UAE"/>
    <s v="CA200"/>
    <n v="1396.14"/>
    <n v="363.27"/>
    <s v="APPROVAL_PROPERTY LEVEL_SEA_002"/>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17525"/>
    <x v="378"/>
    <x v="0"/>
    <n v="1972.4"/>
    <d v="2026-03-28T00:00:00"/>
    <x v="0"/>
    <n v="1972.4"/>
    <x v="38"/>
    <s v="ACCOR"/>
    <s v="ZM"/>
    <s v="Media Interface"/>
    <m/>
    <s v="STARSCAP_MENA"/>
    <s v="AED"/>
    <n v="0"/>
    <n v="7243.64"/>
    <n v="0"/>
    <n v="0"/>
    <n v="0"/>
    <n v="0"/>
    <n v="7243.64"/>
    <n v="0"/>
    <s v="RAFFLES DUBAI ALWAYS ON 2026"/>
    <s v="AE8860"/>
    <s v="Publicis Media Executive UAE"/>
    <s v="CA200"/>
    <n v="7243.64"/>
    <n v="1676.21"/>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25560"/>
    <x v="379"/>
    <x v="0"/>
    <n v="203.09"/>
    <d v="2025-05-17T00:00:00"/>
    <x v="5"/>
    <n v="203.09"/>
    <x v="39"/>
    <s v="ACCOR"/>
    <s v="ZM"/>
    <s v="Media Interface"/>
    <m/>
    <s v="STARSCAP_MENA"/>
    <s v="AED"/>
    <n v="0"/>
    <n v="0"/>
    <n v="0"/>
    <n v="0"/>
    <n v="0"/>
    <n v="745.85"/>
    <n v="745.85"/>
    <n v="0"/>
    <s v="RAFFLES DUBAI ALWAYS ON 2025"/>
    <s v="AE8860"/>
    <s v="Publicis Media Executive UAE"/>
    <s v="CA200"/>
    <n v="745.85"/>
    <n v="179"/>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26232"/>
    <x v="380"/>
    <x v="0"/>
    <n v="1975.47"/>
    <d v="2026-04-26T00:00:00"/>
    <x v="0"/>
    <n v="1975.47"/>
    <x v="62"/>
    <s v="ACCOR"/>
    <s v="ZM"/>
    <s v="Media Interface"/>
    <m/>
    <s v="STARSCAP_MENA"/>
    <s v="AED"/>
    <n v="7254.91"/>
    <n v="0"/>
    <n v="0"/>
    <n v="0"/>
    <n v="0"/>
    <n v="0"/>
    <n v="0"/>
    <n v="0"/>
    <s v="RAFFLES DUBAI ALWAYS ON 2026"/>
    <s v="AE8860"/>
    <s v="Publicis Media Executive UAE"/>
    <s v="CA200"/>
    <n v="7254.91"/>
    <n v="1704.17"/>
    <s v="APPROVAL - PROPERTY ALWAYS ON 2025"/>
    <e v="#N/A"/>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29408"/>
    <x v="381"/>
    <x v="0"/>
    <n v="245.25"/>
    <d v="2025-05-28T00:00:00"/>
    <x v="5"/>
    <n v="245.25"/>
    <x v="19"/>
    <s v="ACCOR"/>
    <s v="ZM"/>
    <s v="Media Interface"/>
    <m/>
    <s v="STARSCAP_MENA"/>
    <s v="AED"/>
    <n v="0"/>
    <n v="0"/>
    <n v="0"/>
    <n v="0"/>
    <n v="0"/>
    <n v="900.68"/>
    <n v="900.68"/>
    <n v="0"/>
    <s v="RAFFLES DUBAI ALWAYS ON 2025"/>
    <s v="AE8860"/>
    <s v="Publicis Media Executive UAE"/>
    <s v="CA200"/>
    <n v="900.68"/>
    <n v="215.59"/>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34917"/>
    <x v="382"/>
    <x v="0"/>
    <n v="221.49"/>
    <d v="2025-06-21T00:00:00"/>
    <x v="5"/>
    <n v="221.49"/>
    <x v="47"/>
    <s v="ACCOR"/>
    <s v="ZM"/>
    <s v="Media Interface"/>
    <m/>
    <s v="STARSCAP_MENA"/>
    <s v="AED"/>
    <n v="0"/>
    <n v="0"/>
    <n v="0"/>
    <n v="0"/>
    <n v="0"/>
    <n v="813.42"/>
    <n v="813.42"/>
    <n v="0"/>
    <s v="RAFFLES DUBAI ALWAYS ON 2025"/>
    <s v="AE8860"/>
    <s v="Publicis Media Executive UAE"/>
    <s v="CA200"/>
    <n v="813.42"/>
    <n v="197.86"/>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65540"/>
    <x v="383"/>
    <x v="0"/>
    <n v="2005.85"/>
    <d v="2025-10-23T00:00:00"/>
    <x v="5"/>
    <n v="2005.85"/>
    <x v="95"/>
    <s v="ACCOR"/>
    <s v="ZM"/>
    <s v="Media Interface"/>
    <m/>
    <s v="STARSCAP_MENA"/>
    <s v="AED"/>
    <n v="0"/>
    <n v="0"/>
    <n v="0"/>
    <n v="0"/>
    <n v="0"/>
    <n v="7366.48"/>
    <n v="7366.48"/>
    <n v="0"/>
    <s v="RAFFLES DUBAI ALWAYS ON 2025"/>
    <s v="AE8860"/>
    <s v="Publicis Media Executive UAE"/>
    <s v="CA200"/>
    <n v="7366.48"/>
    <n v="1709.14"/>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70964"/>
    <x v="384"/>
    <x v="0"/>
    <n v="1862.08"/>
    <d v="2025-11-15T00:00:00"/>
    <x v="5"/>
    <n v="1862.08"/>
    <x v="76"/>
    <s v="ACCOR"/>
    <s v="ZM"/>
    <s v="Media Interface"/>
    <m/>
    <s v="STARSCAP_MENA"/>
    <s v="AED"/>
    <n v="0"/>
    <n v="0"/>
    <n v="0"/>
    <n v="0"/>
    <n v="0"/>
    <n v="6838.49"/>
    <n v="6838.49"/>
    <n v="0"/>
    <s v="RAFFLES DUBAI ALWAYS ON 2025"/>
    <s v="AE8860"/>
    <s v="Publicis Media Executive UAE"/>
    <s v="CA200"/>
    <n v="6838.49"/>
    <n v="1609.68"/>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s v="M1140101"/>
    <x v="75"/>
    <s v="(M11)(M11)100111613"/>
    <x v="74"/>
    <n v="9700083445"/>
    <x v="385"/>
    <x v="0"/>
    <n v="2004.08"/>
    <d v="2025-12-25T00:00:00"/>
    <x v="5"/>
    <n v="2004.08"/>
    <x v="93"/>
    <s v="ACCOR"/>
    <s v="ZM"/>
    <s v="Media Interface"/>
    <m/>
    <s v="STARSCAP_MENA"/>
    <s v="AED"/>
    <n v="0"/>
    <n v="0"/>
    <n v="0"/>
    <n v="0"/>
    <n v="7359.98"/>
    <n v="0"/>
    <n v="7359.98"/>
    <n v="0"/>
    <s v="RAFFLES DUBAI ALWAYS ON 2025"/>
    <s v="AE8860"/>
    <s v="Publicis Media Executive UAE"/>
    <s v="CA200"/>
    <n v="7359.98"/>
    <n v="1739.65"/>
    <s v="APPROVAL - PROPERTY ALWAYS ON 2025"/>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b v="0"/>
    <x v="8"/>
    <s v="Hold payment due to pending contract - Keep sending monthly SOA and ask alternative support to proceed payment - reshared invoice copies as requested on 4/2. Client is requesting to revised invoice details to (_x000a_Raffles Dubai Branch of Wafi Property LLC, Dubai,Post Box: 121800, Phone No: +971 43248888,Emailaccountspayable@raffles.com) forwarded to Faraz on 5/2."/>
  </r>
  <r>
    <m/>
    <x v="1"/>
    <m/>
    <x v="74"/>
    <m/>
    <x v="2"/>
    <x v="1"/>
    <n v="15579.33"/>
    <m/>
    <x v="2"/>
    <n v="15579.33"/>
    <x v="2"/>
    <m/>
    <m/>
    <m/>
    <m/>
    <m/>
    <s v="AED"/>
    <n v="7254.91"/>
    <n v="7243.64"/>
    <n v="14728.27"/>
    <n v="0"/>
    <n v="7359.98"/>
    <m/>
    <m/>
    <n v="0"/>
    <m/>
    <m/>
    <m/>
    <m/>
    <n v="57215.08"/>
    <n v="13508.23"/>
    <m/>
    <n v="0"/>
    <n v="0"/>
    <x v="2"/>
    <m/>
  </r>
  <r>
    <s v="M1140101"/>
    <x v="76"/>
    <s v="(M11)(M11)100113203"/>
    <x v="75"/>
    <n v="9700023089"/>
    <x v="386"/>
    <x v="0"/>
    <n v="4021.3"/>
    <d v="2026-04-18T00:00:00"/>
    <x v="0"/>
    <n v="4021.3"/>
    <x v="18"/>
    <s v="ACCOR"/>
    <s v="ZM"/>
    <s v="Media Interface"/>
    <m/>
    <s v="STARSCAP_MENA"/>
    <s v="AED"/>
    <n v="14768.22"/>
    <n v="0"/>
    <n v="0"/>
    <n v="0"/>
    <n v="0"/>
    <n v="0"/>
    <n v="0"/>
    <n v="0"/>
    <s v="RAFFLES LONDON AT OWO - ALWAYS ON 2026"/>
    <s v="AE8860"/>
    <s v="Publicis Media Executive UAE"/>
    <s v="CA200"/>
    <n v="14768.22"/>
    <n v="3503.48"/>
    <s v="APPROVAL - PROPERTY ALWAYS ON"/>
    <e v="#N/A"/>
    <b v="1"/>
    <x v="0"/>
    <s v="Collected"/>
  </r>
  <r>
    <m/>
    <x v="1"/>
    <m/>
    <x v="75"/>
    <m/>
    <x v="2"/>
    <x v="1"/>
    <n v="4021.3"/>
    <m/>
    <x v="2"/>
    <n v="4021.3"/>
    <x v="2"/>
    <m/>
    <m/>
    <m/>
    <m/>
    <m/>
    <s v="AED"/>
    <n v="14768.22"/>
    <n v="0"/>
    <n v="0"/>
    <n v="0"/>
    <n v="0"/>
    <m/>
    <m/>
    <n v="0"/>
    <m/>
    <m/>
    <m/>
    <m/>
    <n v="14768.22"/>
    <n v="3503.48"/>
    <m/>
    <n v="3503.48"/>
    <n v="1"/>
    <x v="2"/>
    <m/>
  </r>
  <r>
    <s v="M1140101"/>
    <x v="77"/>
    <s v="(M11)(M11)100115148"/>
    <x v="76"/>
    <n v="9700017552"/>
    <x v="387"/>
    <x v="0"/>
    <n v="561.41"/>
    <d v="2026-03-27T00:00:00"/>
    <x v="4"/>
    <n v="561.41"/>
    <x v="12"/>
    <s v="ACCOR"/>
    <s v="ZM"/>
    <s v="Media Interface"/>
    <m/>
    <s v="STARSCAP_MENA"/>
    <s v="AED"/>
    <n v="0"/>
    <n v="2061.7800000000002"/>
    <n v="0"/>
    <n v="0"/>
    <n v="0"/>
    <n v="0"/>
    <n v="2061.7800000000002"/>
    <n v="0"/>
    <s v="FAIRMONT GOLDEN PRAGUE ALWAYS ON 2026"/>
    <s v="AE8860"/>
    <s v="Publicis Media Executive UAE"/>
    <s v="CA200"/>
    <n v="2061.7800000000002"/>
    <n v="477.11"/>
    <s v="APPROVAL - PROPERTY LEVEL"/>
    <s v="Chasing Client for Payment timeline."/>
    <b v="0"/>
    <x v="4"/>
    <s v="Chasing Client for Payment timeline."/>
  </r>
  <r>
    <s v="M1140101"/>
    <x v="77"/>
    <s v="(M11)(M11)100115148"/>
    <x v="76"/>
    <n v="9700017851"/>
    <x v="388"/>
    <x v="0"/>
    <n v="2625.3"/>
    <d v="2026-03-27T00:00:00"/>
    <x v="4"/>
    <n v="2625.3"/>
    <x v="12"/>
    <s v="ACCOR"/>
    <s v="ZM"/>
    <s v="Media Interface"/>
    <m/>
    <s v="STARSCAP_MENA"/>
    <s v="AED"/>
    <n v="0"/>
    <n v="9641.41"/>
    <n v="0"/>
    <n v="0"/>
    <n v="0"/>
    <n v="0"/>
    <n v="9641.41"/>
    <n v="0"/>
    <s v="FAIRMONT PRAGUE TACTICAL 2025"/>
    <s v="AE8860"/>
    <s v="Publicis Media Executive UAE"/>
    <s v="CA200"/>
    <n v="9641.41"/>
    <n v="2227.85"/>
    <s v="WIC PRAGUE - 007"/>
    <s v="Chasing Client for Payment timeline."/>
    <b v="0"/>
    <x v="0"/>
    <s v="Collected"/>
  </r>
  <r>
    <s v="M1140101"/>
    <x v="77"/>
    <s v="(M11)(M11)100115148"/>
    <x v="76"/>
    <n v="9700023879"/>
    <x v="389"/>
    <x v="0"/>
    <n v="30688.92"/>
    <d v="2026-04-22T00:00:00"/>
    <x v="0"/>
    <n v="30688.92"/>
    <x v="5"/>
    <s v="ACCOR"/>
    <s v="ZM"/>
    <s v="Media Interface"/>
    <m/>
    <s v="STARSCAP_MENA"/>
    <s v="AED"/>
    <n v="112705.06"/>
    <n v="0"/>
    <n v="0"/>
    <n v="0"/>
    <n v="0"/>
    <n v="0"/>
    <n v="0"/>
    <n v="0"/>
    <s v="FAIRMONT PRAGUE TACTICAL 2025"/>
    <s v="AE8860"/>
    <s v="Publicis Media Executive UAE"/>
    <s v="CA200"/>
    <n v="112705.06"/>
    <n v="26614.27"/>
    <s v="WIC PRAGUE - 007"/>
    <e v="#N/A"/>
    <b v="0"/>
    <x v="0"/>
    <s v="Collected"/>
  </r>
  <r>
    <m/>
    <x v="1"/>
    <m/>
    <x v="76"/>
    <m/>
    <x v="2"/>
    <x v="1"/>
    <n v="33875.629999999997"/>
    <m/>
    <x v="2"/>
    <n v="33875.629999999997"/>
    <x v="2"/>
    <m/>
    <m/>
    <m/>
    <m/>
    <m/>
    <s v="AED"/>
    <n v="112705.06"/>
    <n v="11703.19"/>
    <n v="0"/>
    <n v="0"/>
    <n v="0"/>
    <m/>
    <m/>
    <n v="0"/>
    <m/>
    <m/>
    <m/>
    <m/>
    <n v="124408.25"/>
    <n v="29319.23"/>
    <m/>
    <n v="0"/>
    <n v="0"/>
    <x v="2"/>
    <m/>
  </r>
  <r>
    <s v="M1140101"/>
    <x v="78"/>
    <s v="(M11)(M11)100111939"/>
    <x v="77"/>
    <n v="9700017805"/>
    <x v="390"/>
    <x v="0"/>
    <n v="639.91"/>
    <d v="2026-03-27T00:00:00"/>
    <x v="4"/>
    <n v="639.91"/>
    <x v="12"/>
    <s v="ACCOR"/>
    <s v="ZM"/>
    <s v="Media Interface"/>
    <m/>
    <s v="STARSCAP_MENA"/>
    <s v="AED"/>
    <n v="0"/>
    <n v="2350.0700000000002"/>
    <n v="0"/>
    <n v="0"/>
    <n v="0"/>
    <n v="0"/>
    <n v="2350.0700000000002"/>
    <n v="0"/>
    <s v="FAIRMONT PITTSBURGH - ALWAYS ON 2026"/>
    <s v="AE8860"/>
    <s v="Publicis Media Executive UAE"/>
    <s v="CA200"/>
    <n v="2350.0700000000002"/>
    <n v="543.82000000000005"/>
    <s v="APPROVAL - PROPERTY ALWAYS ON"/>
    <s v="Chasing Client for Payment timeline."/>
    <b v="1"/>
    <x v="0"/>
    <s v="Collected"/>
  </r>
  <r>
    <s v="M1140101"/>
    <x v="78"/>
    <s v="(M11)(M11)100111939"/>
    <x v="77"/>
    <n v="9700025810"/>
    <x v="391"/>
    <x v="0"/>
    <n v="633.16"/>
    <d v="2026-04-29T00:00:00"/>
    <x v="1"/>
    <n v="633.16"/>
    <x v="1"/>
    <s v="ACCOR"/>
    <s v="ZM"/>
    <s v="Media Interface"/>
    <m/>
    <s v="STARSCAP_MENA"/>
    <s v="AED"/>
    <n v="2325.2800000000002"/>
    <n v="0"/>
    <n v="0"/>
    <n v="0"/>
    <n v="0"/>
    <n v="0"/>
    <n v="0"/>
    <n v="0"/>
    <s v="FAIRMONT PITTSBURGH - ALWAYS ON 2026"/>
    <s v="AE8860"/>
    <s v="Publicis Media Executive UAE"/>
    <s v="CA200"/>
    <n v="2325.2800000000002"/>
    <n v="546.20000000000005"/>
    <s v="APPROVAL - PROPERTY ALWAYS ON"/>
    <e v="#N/A"/>
    <b v="0"/>
    <x v="4"/>
    <s v="Chasing Client for Payment timeline."/>
  </r>
  <r>
    <m/>
    <x v="1"/>
    <m/>
    <x v="77"/>
    <m/>
    <x v="2"/>
    <x v="1"/>
    <n v="1273.07"/>
    <m/>
    <x v="2"/>
    <n v="1273.07"/>
    <x v="2"/>
    <m/>
    <m/>
    <m/>
    <m/>
    <m/>
    <s v="AED"/>
    <n v="2325.2800000000002"/>
    <n v="2350.0700000000002"/>
    <n v="0"/>
    <n v="0"/>
    <n v="0"/>
    <m/>
    <m/>
    <n v="0"/>
    <m/>
    <m/>
    <m/>
    <m/>
    <n v="4675.3500000000004"/>
    <n v="1090.02"/>
    <m/>
    <n v="543.82000000000005"/>
    <n v="0.50265107181851743"/>
    <x v="2"/>
    <m/>
  </r>
  <r>
    <s v="M1140101"/>
    <x v="79"/>
    <s v="(M11)(M11)100113894"/>
    <x v="78"/>
    <n v="9700017390"/>
    <x v="392"/>
    <x v="0"/>
    <n v="852.24"/>
    <d v="2026-03-28T00:00:00"/>
    <x v="0"/>
    <n v="852.24"/>
    <x v="38"/>
    <s v="ACCOR"/>
    <s v="ZM"/>
    <s v="Media Interface"/>
    <m/>
    <s v="STARSCAP_MENA"/>
    <s v="AED"/>
    <n v="0"/>
    <n v="3129.85"/>
    <n v="0"/>
    <n v="0"/>
    <n v="0"/>
    <n v="0"/>
    <n v="3129.85"/>
    <n v="0"/>
    <s v="RAFFLES ISTANBUL ALWAYS ON 2026"/>
    <s v="AE8860"/>
    <s v="Publicis Media Executive UAE"/>
    <s v="CA200"/>
    <n v="3129.85"/>
    <n v="724.26"/>
    <s v="APPROVAL - PROPERTY ALWAYS ON"/>
    <s v="P2P. Client confirmed payment to be paid on 18/3 by 27/3."/>
    <b v="1"/>
    <x v="0"/>
    <s v="Collected"/>
  </r>
  <r>
    <s v="M1140101"/>
    <x v="79"/>
    <s v="(M11)(M11)100113894"/>
    <x v="78"/>
    <n v="9700025726"/>
    <x v="393"/>
    <x v="0"/>
    <n v="848.2"/>
    <d v="2026-04-29T00:00:00"/>
    <x v="1"/>
    <n v="848.2"/>
    <x v="1"/>
    <s v="ACCOR"/>
    <s v="ZM"/>
    <s v="Media Interface"/>
    <m/>
    <s v="STARSCAP_MENA"/>
    <s v="AED"/>
    <n v="3115.01"/>
    <n v="0"/>
    <n v="0"/>
    <n v="0"/>
    <n v="0"/>
    <n v="0"/>
    <n v="0"/>
    <n v="0"/>
    <s v="RAFFLES ISTANBUL ALWAYS ON 2026"/>
    <s v="AE8860"/>
    <s v="Publicis Media Executive UAE"/>
    <s v="CA200"/>
    <n v="3115.01"/>
    <n v="732.98"/>
    <s v="APPROVAL - PROPERTY ALWAYS ON"/>
    <e v="#N/A"/>
    <b v="0"/>
    <x v="1"/>
    <s v="P2P. Client confirmed Payment on 07/04 by 15/04."/>
  </r>
  <r>
    <m/>
    <x v="1"/>
    <m/>
    <x v="78"/>
    <m/>
    <x v="2"/>
    <x v="1"/>
    <n v="1700.44"/>
    <m/>
    <x v="2"/>
    <n v="1700.44"/>
    <x v="2"/>
    <m/>
    <m/>
    <m/>
    <m/>
    <m/>
    <s v="AED"/>
    <n v="3115.01"/>
    <n v="3129.85"/>
    <n v="0"/>
    <n v="0"/>
    <n v="0"/>
    <m/>
    <m/>
    <n v="0"/>
    <m/>
    <m/>
    <m/>
    <m/>
    <n v="6244.86"/>
    <n v="1457.24"/>
    <m/>
    <n v="724.26"/>
    <n v="0.50118792783044386"/>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135CDB-E485-4A19-8545-674BA9A50FF1}" name="PivotTable2"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I23" firstHeaderRow="1" firstDataRow="2" firstDataCol="4" rowPageCount="1" colPageCount="1"/>
  <pivotFields count="37">
    <pivotField compact="0" outline="0" showAll="0" defaultSubtotal="0"/>
    <pivotField axis="axisRow" compact="0" outline="0" showAll="0" defaultSubtotal="0">
      <items count="80">
        <item x="3"/>
        <item x="2"/>
        <item x="25"/>
        <item x="4"/>
        <item x="35"/>
        <item x="60"/>
        <item x="49"/>
        <item x="54"/>
        <item x="27"/>
        <item x="37"/>
        <item x="51"/>
        <item x="64"/>
        <item x="50"/>
        <item x="31"/>
        <item x="74"/>
        <item x="48"/>
        <item x="21"/>
        <item x="59"/>
        <item x="11"/>
        <item x="0"/>
        <item x="26"/>
        <item x="73"/>
        <item x="19"/>
        <item x="40"/>
        <item x="75"/>
        <item x="10"/>
        <item x="17"/>
        <item x="23"/>
        <item x="71"/>
        <item x="78"/>
        <item x="46"/>
        <item x="57"/>
        <item x="22"/>
        <item x="12"/>
        <item x="24"/>
        <item x="6"/>
        <item x="15"/>
        <item x="76"/>
        <item x="7"/>
        <item x="39"/>
        <item x="38"/>
        <item x="16"/>
        <item x="79"/>
        <item x="58"/>
        <item x="56"/>
        <item x="65"/>
        <item x="13"/>
        <item x="70"/>
        <item x="62"/>
        <item x="29"/>
        <item x="72"/>
        <item x="44"/>
        <item x="42"/>
        <item x="53"/>
        <item x="9"/>
        <item x="45"/>
        <item x="8"/>
        <item x="41"/>
        <item x="18"/>
        <item x="14"/>
        <item x="28"/>
        <item x="34"/>
        <item x="66"/>
        <item x="67"/>
        <item x="63"/>
        <item x="77"/>
        <item x="32"/>
        <item x="68"/>
        <item x="69"/>
        <item x="61"/>
        <item x="20"/>
        <item x="36"/>
        <item x="47"/>
        <item x="52"/>
        <item x="43"/>
        <item x="55"/>
        <item x="30"/>
        <item x="33"/>
        <item x="1"/>
        <item x="5"/>
      </items>
    </pivotField>
    <pivotField compact="0" outline="0" showAll="0" defaultSubtotal="0"/>
    <pivotField axis="axisRow" compact="0" outline="0" showAll="0" defaultSubtotal="0">
      <items count="80">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s>
    </pivotField>
    <pivotField compact="0" outline="0" showAll="0" defaultSubtotal="0"/>
    <pivotField axis="axisRow" compact="0" outline="0" showAll="0" defaultSubtotal="0">
      <items count="395">
        <item x="333"/>
        <item x="10"/>
        <item x="11"/>
        <item x="12"/>
        <item x="8"/>
        <item x="7"/>
        <item x="9"/>
        <item x="109"/>
        <item x="13"/>
        <item x="14"/>
        <item x="15"/>
        <item x="263"/>
        <item x="153"/>
        <item m="1" x="394"/>
        <item x="4"/>
        <item x="18"/>
        <item x="336"/>
        <item x="148"/>
        <item x="96"/>
        <item x="124"/>
        <item x="370"/>
        <item x="123"/>
        <item x="97"/>
        <item x="174"/>
        <item x="67"/>
        <item x="354"/>
        <item x="47"/>
        <item x="304"/>
        <item x="106"/>
        <item x="289"/>
        <item x="178"/>
        <item x="179"/>
        <item x="290"/>
        <item x="131"/>
        <item x="132"/>
        <item x="133"/>
        <item x="280"/>
        <item x="228"/>
        <item x="165"/>
        <item x="166"/>
        <item x="74"/>
        <item x="376"/>
        <item x="377"/>
        <item x="125"/>
        <item x="55"/>
        <item x="56"/>
        <item x="57"/>
        <item x="169"/>
        <item x="76"/>
        <item x="230"/>
        <item x="379"/>
        <item x="60"/>
        <item x="282"/>
        <item x="61"/>
        <item x="27"/>
        <item x="28"/>
        <item x="29"/>
        <item x="232"/>
        <item x="246"/>
        <item x="247"/>
        <item x="248"/>
        <item x="63"/>
        <item x="381"/>
        <item x="283"/>
        <item x="30"/>
        <item x="295"/>
        <item x="296"/>
        <item x="297"/>
        <item x="347"/>
        <item x="348"/>
        <item x="349"/>
        <item x="135"/>
        <item x="191"/>
        <item x="192"/>
        <item x="363"/>
        <item x="40"/>
        <item x="41"/>
        <item x="42"/>
        <item x="298"/>
        <item x="299"/>
        <item x="136"/>
        <item x="171"/>
        <item x="249"/>
        <item x="77"/>
        <item x="350"/>
        <item x="43"/>
        <item x="351"/>
        <item x="300"/>
        <item x="44"/>
        <item x="137"/>
        <item x="78"/>
        <item x="64"/>
        <item x="284"/>
        <item x="127"/>
        <item x="382"/>
        <item x="250"/>
        <item x="172"/>
        <item x="301"/>
        <item x="193"/>
        <item x="194"/>
        <item x="195"/>
        <item x="308"/>
        <item x="309"/>
        <item x="65"/>
        <item x="310"/>
        <item x="173"/>
        <item x="352"/>
        <item x="138"/>
        <item x="45"/>
        <item x="372"/>
        <item x="311"/>
        <item x="251"/>
        <item x="302"/>
        <item x="31"/>
        <item x="364"/>
        <item x="365"/>
        <item x="285"/>
        <item x="139"/>
        <item x="196"/>
        <item x="252"/>
        <item x="373"/>
        <item x="79"/>
        <item x="66"/>
        <item x="46"/>
        <item x="312"/>
        <item x="286"/>
        <item x="80"/>
        <item x="175"/>
        <item x="353"/>
        <item x="303"/>
        <item x="366"/>
        <item x="197"/>
        <item x="253"/>
        <item x="313"/>
        <item x="48"/>
        <item x="198"/>
        <item x="81"/>
        <item x="233"/>
        <item x="355"/>
        <item x="356"/>
        <item x="140"/>
        <item x="68"/>
        <item x="287"/>
        <item x="32"/>
        <item x="49"/>
        <item x="314"/>
        <item x="234"/>
        <item x="176"/>
        <item x="69"/>
        <item x="254"/>
        <item x="199"/>
        <item x="383"/>
        <item x="33"/>
        <item x="367"/>
        <item x="357"/>
        <item x="34"/>
        <item x="202"/>
        <item x="288"/>
        <item x="141"/>
        <item x="82"/>
        <item x="235"/>
        <item x="177"/>
        <item x="200"/>
        <item x="50"/>
        <item x="368"/>
        <item x="70"/>
        <item x="315"/>
        <item x="384"/>
        <item x="203"/>
        <item x="255"/>
        <item x="107"/>
        <item x="108"/>
        <item x="110"/>
        <item x="332"/>
        <item x="204"/>
        <item x="35"/>
        <item x="201"/>
        <item x="51"/>
        <item x="89"/>
        <item x="316"/>
        <item x="142"/>
        <item x="83"/>
        <item x="119"/>
        <item x="340"/>
        <item x="256"/>
        <item x="242"/>
        <item x="358"/>
        <item x="236"/>
        <item x="71"/>
        <item x="385"/>
        <item x="369"/>
        <item x="291"/>
        <item x="120"/>
        <item x="188"/>
        <item x="305"/>
        <item x="338"/>
        <item x="319"/>
        <item x="226"/>
        <item x="334"/>
        <item x="72"/>
        <item x="111"/>
        <item x="205"/>
        <item x="278"/>
        <item x="112"/>
        <item x="54"/>
        <item x="163"/>
        <item x="258"/>
        <item x="21"/>
        <item x="323"/>
        <item x="243"/>
        <item x="343"/>
        <item x="24"/>
        <item x="36"/>
        <item x="374"/>
        <item x="293"/>
        <item x="52"/>
        <item x="22"/>
        <item x="184"/>
        <item x="244"/>
        <item x="306"/>
        <item x="189"/>
        <item x="164"/>
        <item x="73"/>
        <item x="25"/>
        <item x="113"/>
        <item x="344"/>
        <item x="375"/>
        <item x="259"/>
        <item x="227"/>
        <item x="279"/>
        <item x="129"/>
        <item x="237"/>
        <item x="86"/>
        <item x="324"/>
        <item x="206"/>
        <item x="130"/>
        <item x="114"/>
        <item x="320"/>
        <item x="37"/>
        <item x="185"/>
        <item x="90"/>
        <item x="87"/>
        <item x="359"/>
        <item x="58"/>
        <item x="91"/>
        <item x="360"/>
        <item x="329"/>
        <item x="261"/>
        <item x="260"/>
        <item x="294"/>
        <item x="345"/>
        <item x="392"/>
        <item x="126"/>
        <item x="101"/>
        <item x="378"/>
        <item x="186"/>
        <item x="134"/>
        <item x="341"/>
        <item x="98"/>
        <item x="59"/>
        <item x="387"/>
        <item x="371"/>
        <item x="157"/>
        <item x="342"/>
        <item x="264"/>
        <item x="281"/>
        <item x="229"/>
        <item x="390"/>
        <item x="388"/>
        <item x="317"/>
        <item x="335"/>
        <item x="220"/>
        <item x="16"/>
        <item x="265"/>
        <item x="266"/>
        <item x="330"/>
        <item x="17"/>
        <item x="152"/>
        <item x="23"/>
        <item x="321"/>
        <item x="38"/>
        <item x="0"/>
        <item x="115"/>
        <item x="75"/>
        <item x="88"/>
        <item x="318"/>
        <item x="167"/>
        <item x="116"/>
        <item x="361"/>
        <item x="92"/>
        <item x="93"/>
        <item x="238"/>
        <item x="239"/>
        <item x="182"/>
        <item x="85"/>
        <item x="102"/>
        <item x="155"/>
        <item x="211"/>
        <item x="240"/>
        <item x="154"/>
        <item x="221"/>
        <item x="187"/>
        <item x="208"/>
        <item x="53"/>
        <item x="245"/>
        <item x="26"/>
        <item x="99"/>
        <item x="207"/>
        <item x="307"/>
        <item x="190"/>
        <item x="339"/>
        <item x="217"/>
        <item x="103"/>
        <item x="213"/>
        <item x="159"/>
        <item x="160"/>
        <item x="94"/>
        <item x="180"/>
        <item x="325"/>
        <item x="146"/>
        <item x="386"/>
        <item x="161"/>
        <item x="267"/>
        <item x="268"/>
        <item x="150"/>
        <item x="215"/>
        <item x="269"/>
        <item x="270"/>
        <item x="271"/>
        <item x="272"/>
        <item x="104"/>
        <item x="262"/>
        <item x="389"/>
        <item x="19"/>
        <item x="273"/>
        <item x="274"/>
        <item x="275"/>
        <item x="276"/>
        <item x="121"/>
        <item x="168"/>
        <item x="326"/>
        <item x="222"/>
        <item x="95"/>
        <item x="5"/>
        <item x="147"/>
        <item x="6"/>
        <item x="327"/>
        <item x="100"/>
        <item x="331"/>
        <item x="39"/>
        <item x="328"/>
        <item x="84"/>
        <item x="346"/>
        <item x="322"/>
        <item x="151"/>
        <item x="214"/>
        <item x="218"/>
        <item x="223"/>
        <item x="122"/>
        <item x="183"/>
        <item x="181"/>
        <item x="393"/>
        <item x="209"/>
        <item x="156"/>
        <item x="292"/>
        <item x="219"/>
        <item x="231"/>
        <item x="162"/>
        <item x="216"/>
        <item x="144"/>
        <item x="170"/>
        <item x="149"/>
        <item x="277"/>
        <item x="143"/>
        <item x="1"/>
        <item x="105"/>
        <item x="362"/>
        <item x="212"/>
        <item x="241"/>
        <item x="257"/>
        <item x="210"/>
        <item x="391"/>
        <item x="128"/>
        <item x="224"/>
        <item x="225"/>
        <item x="117"/>
        <item x="118"/>
        <item x="62"/>
        <item x="337"/>
        <item x="145"/>
        <item x="380"/>
        <item x="158"/>
        <item x="2"/>
        <item x="3"/>
        <item x="20"/>
      </items>
    </pivotField>
    <pivotField compact="0" outline="0" showAll="0" defaultSubtotal="0"/>
    <pivotField dataField="1" compact="0" outline="0" showAll="0" defaultSubtotal="0"/>
    <pivotField compact="0" outline="0" showAll="0" defaultSubtotal="0"/>
    <pivotField axis="axisCol" compact="0" outline="0" showAll="0" defaultSubtotal="0">
      <items count="8">
        <item x="2"/>
        <item x="1"/>
        <item x="0"/>
        <item x="4"/>
        <item x="3"/>
        <item x="6"/>
        <item x="5"/>
        <item x="7"/>
      </items>
    </pivotField>
    <pivotField compact="0" outline="0" showAll="0" defaultSubtotal="0"/>
    <pivotField name="Inv Date" axis="axisRow" compact="0" outline="0" showAll="0" defaultSubtotal="0">
      <items count="96">
        <item x="70"/>
        <item x="82"/>
        <item x="64"/>
        <item x="68"/>
        <item x="45"/>
        <item x="36"/>
        <item x="46"/>
        <item x="39"/>
        <item x="19"/>
        <item x="20"/>
        <item x="83"/>
        <item x="60"/>
        <item x="65"/>
        <item x="89"/>
        <item x="28"/>
        <item x="84"/>
        <item x="29"/>
        <item x="30"/>
        <item x="47"/>
        <item x="73"/>
        <item x="31"/>
        <item x="66"/>
        <item x="21"/>
        <item x="90"/>
        <item x="80"/>
        <item x="67"/>
        <item x="74"/>
        <item x="32"/>
        <item x="61"/>
        <item x="48"/>
        <item x="33"/>
        <item x="91"/>
        <item x="75"/>
        <item x="34"/>
        <item x="40"/>
        <item x="41"/>
        <item x="22"/>
        <item x="95"/>
        <item x="23"/>
        <item x="92"/>
        <item x="24"/>
        <item x="81"/>
        <item x="42"/>
        <item x="35"/>
        <item x="69"/>
        <item x="76"/>
        <item x="7"/>
        <item x="58"/>
        <item x="8"/>
        <item x="59"/>
        <item x="86"/>
        <item x="25"/>
        <item x="49"/>
        <item x="78"/>
        <item x="93"/>
        <item x="43"/>
        <item x="9"/>
        <item x="10"/>
        <item x="55"/>
        <item x="11"/>
        <item x="72"/>
        <item x="44"/>
        <item x="26"/>
        <item x="16"/>
        <item x="17"/>
        <item x="71"/>
        <item x="63"/>
        <item x="3"/>
        <item x="27"/>
        <item x="87"/>
        <item x="4"/>
        <item x="51"/>
        <item x="37"/>
        <item x="85"/>
        <item x="79"/>
        <item x="12"/>
        <item x="38"/>
        <item x="13"/>
        <item x="94"/>
        <item x="88"/>
        <item x="0"/>
        <item x="14"/>
        <item x="54"/>
        <item x="52"/>
        <item x="77"/>
        <item x="50"/>
        <item x="53"/>
        <item x="18"/>
        <item x="5"/>
        <item x="6"/>
        <item x="56"/>
        <item x="57"/>
        <item x="62"/>
        <item x="1"/>
        <item x="2"/>
        <item x="1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4">
        <item x="13"/>
        <item h="1" m="1" x="18"/>
        <item h="1" x="5"/>
        <item m="1" x="23"/>
        <item h="1" x="4"/>
        <item h="1" x="11"/>
        <item h="1" m="1" x="20"/>
        <item h="1" x="6"/>
        <item h="1" m="1" x="19"/>
        <item x="3"/>
        <item h="1" x="1"/>
        <item h="1" m="1" x="17"/>
        <item h="1" x="0"/>
        <item h="1" x="7"/>
        <item h="1" x="8"/>
        <item h="1" x="12"/>
        <item h="1" m="1" x="22"/>
        <item h="1" x="10"/>
        <item h="1" x="9"/>
        <item h="1" m="1" x="16"/>
        <item h="1" x="2"/>
        <item h="1" m="1" x="21"/>
        <item h="1" x="15"/>
        <item h="1" x="14"/>
      </items>
    </pivotField>
    <pivotField compact="0" outline="0" subtotalTop="0" showAll="0" defaultSubtotal="0"/>
  </pivotFields>
  <rowFields count="4">
    <field x="1"/>
    <field x="3"/>
    <field x="5"/>
    <field x="11"/>
  </rowFields>
  <rowItems count="19">
    <i>
      <x v="1"/>
      <x v="1"/>
      <x v="4"/>
      <x v="46"/>
    </i>
    <i r="2">
      <x v="5"/>
      <x v="46"/>
    </i>
    <i r="2">
      <x v="6"/>
      <x v="48"/>
    </i>
    <i r="2">
      <x v="9"/>
      <x v="57"/>
    </i>
    <i r="2">
      <x v="10"/>
      <x v="59"/>
    </i>
    <i r="2">
      <x v="393"/>
      <x v="67"/>
    </i>
    <i>
      <x v="17"/>
      <x v="57"/>
      <x v="322"/>
      <x v="87"/>
    </i>
    <i r="2">
      <x v="323"/>
      <x v="87"/>
    </i>
    <i r="2">
      <x v="326"/>
      <x v="86"/>
    </i>
    <i r="2">
      <x v="327"/>
      <x v="86"/>
    </i>
    <i r="2">
      <x v="328"/>
      <x v="86"/>
    </i>
    <i r="2">
      <x v="329"/>
      <x v="86"/>
    </i>
    <i r="2">
      <x v="334"/>
      <x v="88"/>
    </i>
    <i r="2">
      <x v="336"/>
      <x v="88"/>
    </i>
    <i r="2">
      <x v="337"/>
      <x v="88"/>
    </i>
    <i r="2">
      <x v="372"/>
      <x v="90"/>
    </i>
    <i>
      <x v="63"/>
      <x v="65"/>
      <x v="346"/>
      <x v="90"/>
    </i>
    <i>
      <x v="68"/>
      <x v="67"/>
      <x v="16"/>
      <x v="87"/>
    </i>
    <i t="grand">
      <x/>
    </i>
  </rowItems>
  <colFields count="1">
    <field x="9"/>
  </colFields>
  <colItems count="5">
    <i>
      <x v="2"/>
    </i>
    <i>
      <x v="4"/>
    </i>
    <i>
      <x v="5"/>
    </i>
    <i>
      <x v="6"/>
    </i>
    <i t="grand">
      <x/>
    </i>
  </colItems>
  <pageFields count="1">
    <pageField fld="35" hier="-1"/>
  </pageFields>
  <dataFields count="1">
    <dataField name="Sum of Remaining Amount" fld="7" baseField="1" baseItem="0" numFmtId="164"/>
  </dataFields>
  <formats count="34">
    <format dxfId="59">
      <pivotArea type="all" dataOnly="0" outline="0" fieldPosition="0"/>
    </format>
    <format dxfId="58">
      <pivotArea outline="0" collapsedLevelsAreSubtotals="1" fieldPosition="0"/>
    </format>
    <format dxfId="57">
      <pivotArea field="9" type="button" dataOnly="0" labelOnly="1" outline="0" axis="axisCol" fieldPosition="0"/>
    </format>
    <format dxfId="56">
      <pivotArea type="topRight" dataOnly="0" labelOnly="1" outline="0" fieldPosition="0"/>
    </format>
    <format dxfId="55">
      <pivotArea dataOnly="0" labelOnly="1" outline="0" fieldPosition="0">
        <references count="1">
          <reference field="9" count="3">
            <x v="2"/>
            <x v="4"/>
            <x v="6"/>
          </reference>
        </references>
      </pivotArea>
    </format>
    <format dxfId="54">
      <pivotArea dataOnly="0" labelOnly="1" grandCol="1" outline="0" fieldPosition="0"/>
    </format>
    <format dxfId="53">
      <pivotArea outline="0" collapsedLevelsAreSubtotals="1" fieldPosition="0"/>
    </format>
    <format dxfId="52">
      <pivotArea field="9" type="button" dataOnly="0" labelOnly="1" outline="0" axis="axisCol" fieldPosition="0"/>
    </format>
    <format dxfId="51">
      <pivotArea type="topRight" dataOnly="0" labelOnly="1" outline="0" fieldPosition="0"/>
    </format>
    <format dxfId="50">
      <pivotArea dataOnly="0" labelOnly="1" outline="0" fieldPosition="0">
        <references count="1">
          <reference field="9" count="3">
            <x v="2"/>
            <x v="4"/>
            <x v="6"/>
          </reference>
        </references>
      </pivotArea>
    </format>
    <format dxfId="49">
      <pivotArea dataOnly="0" labelOnly="1" grandCol="1" outline="0" fieldPosition="0"/>
    </format>
    <format dxfId="48">
      <pivotArea type="all" dataOnly="0" outline="0" fieldPosition="0"/>
    </format>
    <format dxfId="47">
      <pivotArea outline="0" collapsedLevelsAreSubtotals="1" fieldPosition="0"/>
    </format>
    <format dxfId="46">
      <pivotArea type="origin" dataOnly="0" labelOnly="1" outline="0" fieldPosition="0"/>
    </format>
    <format dxfId="45">
      <pivotArea field="9" type="button" dataOnly="0" labelOnly="1" outline="0" axis="axisCol" fieldPosition="0"/>
    </format>
    <format dxfId="44">
      <pivotArea type="topRight" dataOnly="0" labelOnly="1" outline="0" fieldPosition="0"/>
    </format>
    <format dxfId="43">
      <pivotArea field="1" type="button" dataOnly="0" labelOnly="1" outline="0" axis="axisRow" fieldPosition="0"/>
    </format>
    <format dxfId="42">
      <pivotArea field="3" type="button" dataOnly="0" labelOnly="1" outline="0" axis="axisRow" fieldPosition="1"/>
    </format>
    <format dxfId="41">
      <pivotArea dataOnly="0" labelOnly="1" outline="0" fieldPosition="0">
        <references count="1">
          <reference field="1" count="7">
            <x v="0"/>
            <x v="1"/>
            <x v="3"/>
            <x v="17"/>
            <x v="63"/>
            <x v="68"/>
            <x v="76"/>
          </reference>
        </references>
      </pivotArea>
    </format>
    <format dxfId="40">
      <pivotArea dataOnly="0" labelOnly="1" grandRow="1" outline="0" fieldPosition="0"/>
    </format>
    <format dxfId="39">
      <pivotArea dataOnly="0" labelOnly="1" outline="0" fieldPosition="0">
        <references count="2">
          <reference field="1" count="1" selected="0">
            <x v="0"/>
          </reference>
          <reference field="3" count="1">
            <x v="2"/>
          </reference>
        </references>
      </pivotArea>
    </format>
    <format dxfId="38">
      <pivotArea dataOnly="0" labelOnly="1" outline="0" fieldPosition="0">
        <references count="2">
          <reference field="1" count="1" selected="0">
            <x v="1"/>
          </reference>
          <reference field="3" count="1">
            <x v="1"/>
          </reference>
        </references>
      </pivotArea>
    </format>
    <format dxfId="37">
      <pivotArea dataOnly="0" labelOnly="1" outline="0" fieldPosition="0">
        <references count="2">
          <reference field="1" count="1" selected="0">
            <x v="3"/>
          </reference>
          <reference field="3" count="1">
            <x v="3"/>
          </reference>
        </references>
      </pivotArea>
    </format>
    <format dxfId="36">
      <pivotArea dataOnly="0" labelOnly="1" outline="0" fieldPosition="0">
        <references count="2">
          <reference field="1" count="1" selected="0">
            <x v="17"/>
          </reference>
          <reference field="3" count="1">
            <x v="57"/>
          </reference>
        </references>
      </pivotArea>
    </format>
    <format dxfId="35">
      <pivotArea dataOnly="0" labelOnly="1" outline="0" fieldPosition="0">
        <references count="2">
          <reference field="1" count="1" selected="0">
            <x v="63"/>
          </reference>
          <reference field="3" count="1">
            <x v="65"/>
          </reference>
        </references>
      </pivotArea>
    </format>
    <format dxfId="34">
      <pivotArea dataOnly="0" labelOnly="1" outline="0" fieldPosition="0">
        <references count="2">
          <reference field="1" count="1" selected="0">
            <x v="68"/>
          </reference>
          <reference field="3" count="1">
            <x v="67"/>
          </reference>
        </references>
      </pivotArea>
    </format>
    <format dxfId="33">
      <pivotArea dataOnly="0" labelOnly="1" outline="0" fieldPosition="0">
        <references count="2">
          <reference field="1" count="1" selected="0">
            <x v="76"/>
          </reference>
          <reference field="3" count="1">
            <x v="28"/>
          </reference>
        </references>
      </pivotArea>
    </format>
    <format dxfId="32">
      <pivotArea dataOnly="0" labelOnly="1" outline="0" fieldPosition="0">
        <references count="1">
          <reference field="9" count="3">
            <x v="2"/>
            <x v="4"/>
            <x v="6"/>
          </reference>
        </references>
      </pivotArea>
    </format>
    <format dxfId="31">
      <pivotArea dataOnly="0" labelOnly="1" grandCol="1" outline="0" fieldPosition="0"/>
    </format>
    <format dxfId="30">
      <pivotArea dataOnly="0" labelOnly="1" outline="0" fieldPosition="0">
        <references count="1">
          <reference field="9" count="0"/>
        </references>
      </pivotArea>
    </format>
    <format dxfId="29">
      <pivotArea dataOnly="0" labelOnly="1" outline="0" fieldPosition="0">
        <references count="1">
          <reference field="9" count="1">
            <x v="3"/>
          </reference>
        </references>
      </pivotArea>
    </format>
    <format dxfId="28">
      <pivotArea field="9" type="button" dataOnly="0" labelOnly="1" outline="0" axis="axisCol" fieldPosition="0"/>
    </format>
    <format dxfId="27">
      <pivotArea type="topRight" dataOnly="0" labelOnly="1" outline="0" offset="A1:D1" fieldPosition="0"/>
    </format>
    <format dxfId="26">
      <pivotArea dataOnly="0" labelOnly="1" outline="0" fieldPosition="0">
        <references count="1">
          <reference field="9" count="5">
            <x v="1"/>
            <x v="2"/>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C6FD66-521B-4126-9BAA-12E4B25C5DAE}" name="PivotTable3"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3:AB8" firstHeaderRow="1" firstDataRow="1" firstDataCol="2" rowPageCount="1" colPageCount="1"/>
  <pivotFields count="37">
    <pivotField compact="0" outline="0" showAll="0" defaultSubtotal="0"/>
    <pivotField axis="axisRow" compact="0" outline="0" showAll="0" defaultSubtotal="0">
      <items count="80">
        <item x="3"/>
        <item x="2"/>
        <item x="25"/>
        <item x="4"/>
        <item x="35"/>
        <item x="60"/>
        <item x="49"/>
        <item x="54"/>
        <item x="27"/>
        <item x="37"/>
        <item x="51"/>
        <item x="64"/>
        <item x="50"/>
        <item x="31"/>
        <item x="74"/>
        <item x="48"/>
        <item x="21"/>
        <item x="59"/>
        <item x="11"/>
        <item x="0"/>
        <item x="26"/>
        <item x="73"/>
        <item x="19"/>
        <item x="40"/>
        <item x="75"/>
        <item x="10"/>
        <item x="17"/>
        <item x="23"/>
        <item x="71"/>
        <item x="78"/>
        <item x="46"/>
        <item x="57"/>
        <item x="22"/>
        <item x="12"/>
        <item x="24"/>
        <item x="6"/>
        <item x="15"/>
        <item x="76"/>
        <item x="7"/>
        <item x="39"/>
        <item x="38"/>
        <item x="16"/>
        <item x="79"/>
        <item x="58"/>
        <item x="56"/>
        <item x="65"/>
        <item x="13"/>
        <item x="70"/>
        <item x="62"/>
        <item x="29"/>
        <item x="72"/>
        <item x="44"/>
        <item x="42"/>
        <item x="53"/>
        <item x="9"/>
        <item x="45"/>
        <item x="8"/>
        <item x="41"/>
        <item x="18"/>
        <item x="14"/>
        <item x="28"/>
        <item x="34"/>
        <item x="66"/>
        <item x="67"/>
        <item x="63"/>
        <item x="77"/>
        <item x="32"/>
        <item x="68"/>
        <item x="69"/>
        <item x="61"/>
        <item x="20"/>
        <item x="36"/>
        <item x="47"/>
        <item x="52"/>
        <item x="43"/>
        <item x="55"/>
        <item x="30"/>
        <item x="33"/>
        <item x="1"/>
        <item x="5"/>
      </items>
    </pivotField>
    <pivotField compact="0" outline="0" showAll="0" defaultSubtotal="0"/>
    <pivotField axis="axisRow" compact="0" outline="0" showAll="0" defaultSubtotal="0">
      <items count="80">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8">
        <item x="2"/>
        <item x="0"/>
        <item x="5"/>
        <item x="4"/>
        <item x="3"/>
        <item x="6"/>
        <item x="1"/>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24">
        <item x="13"/>
        <item m="1" x="18"/>
        <item x="5"/>
        <item m="1" x="23"/>
        <item x="4"/>
        <item x="11"/>
        <item m="1" x="20"/>
        <item x="6"/>
        <item m="1" x="19"/>
        <item x="3"/>
        <item x="1"/>
        <item m="1" x="17"/>
        <item x="0"/>
        <item x="7"/>
        <item x="8"/>
        <item x="12"/>
        <item m="1" x="22"/>
        <item x="10"/>
        <item x="9"/>
        <item m="1" x="16"/>
        <item x="2"/>
        <item m="1" x="21"/>
        <item x="15"/>
        <item x="14"/>
      </items>
    </pivotField>
    <pivotField compact="0" outline="0" subtotalTop="0" showAll="0" defaultSubtotal="0"/>
  </pivotFields>
  <rowFields count="2">
    <field x="1"/>
    <field x="3"/>
  </rowFields>
  <rowItems count="5">
    <i>
      <x v="44"/>
      <x v="54"/>
    </i>
    <i>
      <x v="64"/>
      <x v="61"/>
    </i>
    <i>
      <x v="68"/>
      <x v="67"/>
    </i>
    <i>
      <x v="75"/>
      <x v="53"/>
    </i>
    <i t="grand">
      <x/>
    </i>
  </rowItems>
  <colItems count="1">
    <i/>
  </colItems>
  <pageFields count="1">
    <pageField fld="35" item="15" hier="-1"/>
  </pageFields>
  <formats count="26">
    <format dxfId="85">
      <pivotArea type="all" dataOnly="0" outline="0" fieldPosition="0"/>
    </format>
    <format dxfId="84">
      <pivotArea outline="0" collapsedLevelsAreSubtotals="1" fieldPosition="0"/>
    </format>
    <format dxfId="83">
      <pivotArea type="origin" dataOnly="0" labelOnly="1" outline="0" fieldPosition="0"/>
    </format>
    <format dxfId="82">
      <pivotArea field="9" type="button" dataOnly="0" labelOnly="1" outline="0"/>
    </format>
    <format dxfId="81">
      <pivotArea type="topRight" dataOnly="0" labelOnly="1" outline="0" fieldPosition="0"/>
    </format>
    <format dxfId="80">
      <pivotArea dataOnly="0" labelOnly="1" outline="0" fieldPosition="0">
        <references count="1">
          <reference field="1" count="7">
            <x v="0"/>
            <x v="1"/>
            <x v="3"/>
            <x v="17"/>
            <x v="63"/>
            <x v="68"/>
            <x v="76"/>
          </reference>
        </references>
      </pivotArea>
    </format>
    <format dxfId="79">
      <pivotArea dataOnly="0" labelOnly="1" outline="0" fieldPosition="0">
        <references count="2">
          <reference field="1" count="1" selected="0">
            <x v="0"/>
          </reference>
          <reference field="3" count="1">
            <x v="2"/>
          </reference>
        </references>
      </pivotArea>
    </format>
    <format dxfId="78">
      <pivotArea dataOnly="0" labelOnly="1" outline="0" fieldPosition="0">
        <references count="2">
          <reference field="1" count="1" selected="0">
            <x v="1"/>
          </reference>
          <reference field="3" count="1">
            <x v="1"/>
          </reference>
        </references>
      </pivotArea>
    </format>
    <format dxfId="77">
      <pivotArea dataOnly="0" labelOnly="1" outline="0" fieldPosition="0">
        <references count="2">
          <reference field="1" count="1" selected="0">
            <x v="3"/>
          </reference>
          <reference field="3" count="1">
            <x v="3"/>
          </reference>
        </references>
      </pivotArea>
    </format>
    <format dxfId="76">
      <pivotArea dataOnly="0" labelOnly="1" outline="0" fieldPosition="0">
        <references count="2">
          <reference field="1" count="1" selected="0">
            <x v="17"/>
          </reference>
          <reference field="3" count="1">
            <x v="57"/>
          </reference>
        </references>
      </pivotArea>
    </format>
    <format dxfId="75">
      <pivotArea dataOnly="0" labelOnly="1" outline="0" fieldPosition="0">
        <references count="2">
          <reference field="1" count="1" selected="0">
            <x v="63"/>
          </reference>
          <reference field="3" count="1">
            <x v="65"/>
          </reference>
        </references>
      </pivotArea>
    </format>
    <format dxfId="74">
      <pivotArea dataOnly="0" labelOnly="1" outline="0" fieldPosition="0">
        <references count="2">
          <reference field="1" count="1" selected="0">
            <x v="76"/>
          </reference>
          <reference field="3" count="1">
            <x v="28"/>
          </reference>
        </references>
      </pivotArea>
    </format>
    <format dxfId="73">
      <pivotArea dataOnly="0" labelOnly="1" grandCol="1" outline="0" fieldPosition="0"/>
    </format>
    <format dxfId="72">
      <pivotArea outline="0" collapsedLevelsAreSubtotals="1" fieldPosition="0"/>
    </format>
    <format dxfId="71">
      <pivotArea field="9" type="button" dataOnly="0" labelOnly="1" outline="0"/>
    </format>
    <format dxfId="70">
      <pivotArea type="topRight" dataOnly="0" labelOnly="1" outline="0" fieldPosition="0"/>
    </format>
    <format dxfId="69">
      <pivotArea dataOnly="0" labelOnly="1" grandCol="1" outline="0" fieldPosition="0"/>
    </format>
    <format dxfId="68">
      <pivotArea type="all" dataOnly="0" outline="0" fieldPosition="0"/>
    </format>
    <format dxfId="67">
      <pivotArea field="1" type="button" dataOnly="0" labelOnly="1" outline="0" axis="axisRow" fieldPosition="0"/>
    </format>
    <format dxfId="66">
      <pivotArea field="3" type="button" dataOnly="0" labelOnly="1" outline="0" axis="axisRow" fieldPosition="1"/>
    </format>
    <format dxfId="65">
      <pivotArea dataOnly="0" labelOnly="1" outline="0" fieldPosition="0">
        <references count="1">
          <reference field="1" count="4">
            <x v="44"/>
            <x v="64"/>
            <x v="68"/>
            <x v="75"/>
          </reference>
        </references>
      </pivotArea>
    </format>
    <format dxfId="64">
      <pivotArea dataOnly="0" labelOnly="1" grandRow="1" outline="0" fieldPosition="0"/>
    </format>
    <format dxfId="63">
      <pivotArea dataOnly="0" labelOnly="1" outline="0" fieldPosition="0">
        <references count="2">
          <reference field="1" count="1" selected="0">
            <x v="44"/>
          </reference>
          <reference field="3" count="1">
            <x v="54"/>
          </reference>
        </references>
      </pivotArea>
    </format>
    <format dxfId="62">
      <pivotArea dataOnly="0" labelOnly="1" outline="0" fieldPosition="0">
        <references count="2">
          <reference field="1" count="1" selected="0">
            <x v="64"/>
          </reference>
          <reference field="3" count="1">
            <x v="61"/>
          </reference>
        </references>
      </pivotArea>
    </format>
    <format dxfId="61">
      <pivotArea dataOnly="0" labelOnly="1" outline="0" fieldPosition="0">
        <references count="2">
          <reference field="1" count="1" selected="0">
            <x v="68"/>
          </reference>
          <reference field="3" count="1">
            <x v="67"/>
          </reference>
        </references>
      </pivotArea>
    </format>
    <format dxfId="60">
      <pivotArea dataOnly="0" labelOnly="1" outline="0" fieldPosition="0">
        <references count="2">
          <reference field="1" count="1" selected="0">
            <x v="75"/>
          </reference>
          <reference field="3" count="1">
            <x v="53"/>
          </reference>
        </references>
      </pivotArea>
    </format>
  </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FA595E-6FA8-4B7F-BD9D-129F5C546480}" name="PivotTable5"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S3:AZ8" firstHeaderRow="1" firstDataRow="2" firstDataCol="3" rowPageCount="1" colPageCount="1"/>
  <pivotFields count="37">
    <pivotField compact="0" outline="0" showAll="0" defaultSubtotal="0"/>
    <pivotField axis="axisRow" compact="0" outline="0" showAll="0" defaultSubtotal="0">
      <items count="80">
        <item x="3"/>
        <item x="2"/>
        <item x="25"/>
        <item x="4"/>
        <item x="35"/>
        <item x="60"/>
        <item x="49"/>
        <item x="54"/>
        <item x="27"/>
        <item x="37"/>
        <item x="51"/>
        <item x="64"/>
        <item x="50"/>
        <item x="31"/>
        <item x="74"/>
        <item x="48"/>
        <item x="21"/>
        <item x="59"/>
        <item x="11"/>
        <item x="0"/>
        <item x="26"/>
        <item x="73"/>
        <item x="19"/>
        <item x="40"/>
        <item x="75"/>
        <item x="10"/>
        <item x="17"/>
        <item x="23"/>
        <item x="71"/>
        <item x="78"/>
        <item x="46"/>
        <item x="57"/>
        <item x="22"/>
        <item x="12"/>
        <item x="24"/>
        <item x="6"/>
        <item x="15"/>
        <item x="76"/>
        <item x="7"/>
        <item x="39"/>
        <item x="38"/>
        <item x="16"/>
        <item x="79"/>
        <item x="58"/>
        <item x="56"/>
        <item x="65"/>
        <item x="13"/>
        <item x="70"/>
        <item x="62"/>
        <item x="29"/>
        <item x="72"/>
        <item x="44"/>
        <item x="42"/>
        <item x="53"/>
        <item x="9"/>
        <item x="45"/>
        <item x="8"/>
        <item x="41"/>
        <item x="18"/>
        <item x="14"/>
        <item x="28"/>
        <item x="34"/>
        <item x="66"/>
        <item x="67"/>
        <item x="63"/>
        <item x="77"/>
        <item x="32"/>
        <item x="68"/>
        <item x="69"/>
        <item x="61"/>
        <item x="20"/>
        <item x="36"/>
        <item x="47"/>
        <item x="52"/>
        <item x="43"/>
        <item x="55"/>
        <item x="30"/>
        <item x="33"/>
        <item x="1"/>
        <item x="5"/>
      </items>
    </pivotField>
    <pivotField compact="0" outline="0" showAll="0" defaultSubtotal="0"/>
    <pivotField axis="axisRow" compact="0" outline="0" showAll="0" defaultSubtotal="0">
      <items count="80">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s>
    </pivotField>
    <pivotField compact="0" outline="0" showAll="0" defaultSubtotal="0"/>
    <pivotField compact="0" outline="0" showAll="0" defaultSubtotal="0"/>
    <pivotField axis="axisRow" compact="0" outline="0" showAll="0" defaultSubtotal="0">
      <items count="4">
        <item x="2"/>
        <item x="0"/>
        <item m="1" x="3"/>
        <item x="1"/>
      </items>
    </pivotField>
    <pivotField dataField="1" compact="0" outline="0" showAll="0" defaultSubtotal="0"/>
    <pivotField compact="0" outline="0" showAll="0" defaultSubtotal="0"/>
    <pivotField axis="axisCol" compact="0" outline="0" showAll="0" defaultSubtotal="0">
      <items count="8">
        <item x="2"/>
        <item x="1"/>
        <item x="0"/>
        <item x="5"/>
        <item x="4"/>
        <item x="3"/>
        <item x="6"/>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4">
        <item h="1" x="13"/>
        <item h="1" m="1" x="18"/>
        <item h="1" x="5"/>
        <item m="1" x="23"/>
        <item h="1" x="4"/>
        <item h="1" x="11"/>
        <item h="1" m="1" x="20"/>
        <item h="1" x="6"/>
        <item h="1" m="1" x="19"/>
        <item h="1" x="3"/>
        <item h="1" x="1"/>
        <item h="1" m="1" x="17"/>
        <item h="1" x="0"/>
        <item h="1" x="7"/>
        <item h="1" x="8"/>
        <item h="1" x="12"/>
        <item h="1" m="1" x="22"/>
        <item h="1" x="10"/>
        <item x="9"/>
        <item h="1" m="1" x="16"/>
        <item h="1" x="2"/>
        <item h="1" m="1" x="21"/>
        <item h="1" x="15"/>
        <item h="1" x="14"/>
      </items>
    </pivotField>
    <pivotField compact="0" outline="0" subtotalTop="0" showAll="0" defaultSubtotal="0"/>
  </pivotFields>
  <rowFields count="3">
    <field x="1"/>
    <field x="3"/>
    <field x="6"/>
  </rowFields>
  <rowItems count="4">
    <i>
      <x v="47"/>
      <x v="68"/>
      <x v="1"/>
    </i>
    <i>
      <x v="59"/>
      <x v="12"/>
      <x v="1"/>
    </i>
    <i>
      <x v="68"/>
      <x v="67"/>
      <x v="1"/>
    </i>
    <i t="grand">
      <x/>
    </i>
  </rowItems>
  <colFields count="1">
    <field x="9"/>
  </colFields>
  <colItems count="5">
    <i>
      <x v="2"/>
    </i>
    <i>
      <x v="3"/>
    </i>
    <i>
      <x v="4"/>
    </i>
    <i>
      <x v="5"/>
    </i>
    <i t="grand">
      <x/>
    </i>
  </colItems>
  <pageFields count="1">
    <pageField fld="35" hier="-1"/>
  </pageFields>
  <dataFields count="1">
    <dataField name="Sum of Remaining Amount" fld="7" baseField="1" baseItem="0" numFmtId="164"/>
  </dataFields>
  <formats count="29">
    <format dxfId="114">
      <pivotArea type="all" dataOnly="0" outline="0" fieldPosition="0"/>
    </format>
    <format dxfId="113">
      <pivotArea outline="0" collapsedLevelsAreSubtotals="1" fieldPosition="0"/>
    </format>
    <format dxfId="112">
      <pivotArea field="9" type="button" dataOnly="0" labelOnly="1" outline="0" axis="axisCol" fieldPosition="0"/>
    </format>
    <format dxfId="111">
      <pivotArea type="topRight" dataOnly="0" labelOnly="1" outline="0" fieldPosition="0"/>
    </format>
    <format dxfId="110">
      <pivotArea dataOnly="0" labelOnly="1" outline="0" fieldPosition="0">
        <references count="1">
          <reference field="9" count="3">
            <x v="2"/>
            <x v="3"/>
            <x v="5"/>
          </reference>
        </references>
      </pivotArea>
    </format>
    <format dxfId="109">
      <pivotArea dataOnly="0" labelOnly="1" grandCol="1" outline="0" fieldPosition="0"/>
    </format>
    <format dxfId="108">
      <pivotArea outline="0" collapsedLevelsAreSubtotals="1" fieldPosition="0"/>
    </format>
    <format dxfId="107">
      <pivotArea field="9" type="button" dataOnly="0" labelOnly="1" outline="0" axis="axisCol" fieldPosition="0"/>
    </format>
    <format dxfId="106">
      <pivotArea type="topRight" dataOnly="0" labelOnly="1" outline="0" fieldPosition="0"/>
    </format>
    <format dxfId="105">
      <pivotArea dataOnly="0" labelOnly="1" outline="0" fieldPosition="0">
        <references count="1">
          <reference field="9" count="3">
            <x v="2"/>
            <x v="3"/>
            <x v="5"/>
          </reference>
        </references>
      </pivotArea>
    </format>
    <format dxfId="104">
      <pivotArea dataOnly="0" labelOnly="1" grandCol="1" outline="0" fieldPosition="0"/>
    </format>
    <format dxfId="103">
      <pivotArea type="all" dataOnly="0" outline="0" fieldPosition="0"/>
    </format>
    <format dxfId="102">
      <pivotArea outline="0" collapsedLevelsAreSubtotals="1" fieldPosition="0"/>
    </format>
    <format dxfId="101">
      <pivotArea type="origin" dataOnly="0" labelOnly="1" outline="0" fieldPosition="0"/>
    </format>
    <format dxfId="100">
      <pivotArea field="9" type="button" dataOnly="0" labelOnly="1" outline="0" axis="axisCol" fieldPosition="0"/>
    </format>
    <format dxfId="99">
      <pivotArea type="topRight" dataOnly="0" labelOnly="1" outline="0" fieldPosition="0"/>
    </format>
    <format dxfId="98">
      <pivotArea field="1" type="button" dataOnly="0" labelOnly="1" outline="0" axis="axisRow" fieldPosition="0"/>
    </format>
    <format dxfId="97">
      <pivotArea field="3" type="button" dataOnly="0" labelOnly="1" outline="0" axis="axisRow" fieldPosition="1"/>
    </format>
    <format dxfId="96">
      <pivotArea dataOnly="0" labelOnly="1" outline="0" fieldPosition="0">
        <references count="1">
          <reference field="1" count="7">
            <x v="0"/>
            <x v="1"/>
            <x v="3"/>
            <x v="17"/>
            <x v="63"/>
            <x v="68"/>
            <x v="76"/>
          </reference>
        </references>
      </pivotArea>
    </format>
    <format dxfId="95">
      <pivotArea dataOnly="0" labelOnly="1" grandRow="1" outline="0" fieldPosition="0"/>
    </format>
    <format dxfId="94">
      <pivotArea dataOnly="0" labelOnly="1" outline="0" fieldPosition="0">
        <references count="2">
          <reference field="1" count="1" selected="0">
            <x v="0"/>
          </reference>
          <reference field="3" count="1">
            <x v="2"/>
          </reference>
        </references>
      </pivotArea>
    </format>
    <format dxfId="93">
      <pivotArea dataOnly="0" labelOnly="1" outline="0" fieldPosition="0">
        <references count="2">
          <reference field="1" count="1" selected="0">
            <x v="1"/>
          </reference>
          <reference field="3" count="1">
            <x v="1"/>
          </reference>
        </references>
      </pivotArea>
    </format>
    <format dxfId="92">
      <pivotArea dataOnly="0" labelOnly="1" outline="0" fieldPosition="0">
        <references count="2">
          <reference field="1" count="1" selected="0">
            <x v="3"/>
          </reference>
          <reference field="3" count="1">
            <x v="3"/>
          </reference>
        </references>
      </pivotArea>
    </format>
    <format dxfId="91">
      <pivotArea dataOnly="0" labelOnly="1" outline="0" fieldPosition="0">
        <references count="2">
          <reference field="1" count="1" selected="0">
            <x v="17"/>
          </reference>
          <reference field="3" count="1">
            <x v="57"/>
          </reference>
        </references>
      </pivotArea>
    </format>
    <format dxfId="90">
      <pivotArea dataOnly="0" labelOnly="1" outline="0" fieldPosition="0">
        <references count="2">
          <reference field="1" count="1" selected="0">
            <x v="63"/>
          </reference>
          <reference field="3" count="1">
            <x v="65"/>
          </reference>
        </references>
      </pivotArea>
    </format>
    <format dxfId="89">
      <pivotArea dataOnly="0" labelOnly="1" outline="0" fieldPosition="0">
        <references count="2">
          <reference field="1" count="1" selected="0">
            <x v="68"/>
          </reference>
          <reference field="3" count="1">
            <x v="67"/>
          </reference>
        </references>
      </pivotArea>
    </format>
    <format dxfId="88">
      <pivotArea dataOnly="0" labelOnly="1" outline="0" fieldPosition="0">
        <references count="2">
          <reference field="1" count="1" selected="0">
            <x v="76"/>
          </reference>
          <reference field="3" count="1">
            <x v="28"/>
          </reference>
        </references>
      </pivotArea>
    </format>
    <format dxfId="87">
      <pivotArea dataOnly="0" labelOnly="1" outline="0" fieldPosition="0">
        <references count="1">
          <reference field="9" count="3">
            <x v="2"/>
            <x v="3"/>
            <x v="5"/>
          </reference>
        </references>
      </pivotArea>
    </format>
    <format dxfId="86">
      <pivotArea dataOnly="0" labelOnly="1" grandCol="1" outline="0"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93A87E-2FD9-432C-BB19-51DA56597F02}" name="PivotTable4"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G3:AO7" firstHeaderRow="1" firstDataRow="2" firstDataCol="3" rowPageCount="1" colPageCount="1"/>
  <pivotFields count="37">
    <pivotField compact="0" outline="0" showAll="0" defaultSubtotal="0"/>
    <pivotField axis="axisRow" compact="0" outline="0" showAll="0" defaultSubtotal="0">
      <items count="80">
        <item x="3"/>
        <item x="2"/>
        <item x="25"/>
        <item x="4"/>
        <item x="35"/>
        <item x="60"/>
        <item x="49"/>
        <item x="54"/>
        <item x="27"/>
        <item x="37"/>
        <item x="51"/>
        <item x="64"/>
        <item x="50"/>
        <item x="31"/>
        <item x="74"/>
        <item x="48"/>
        <item x="21"/>
        <item x="59"/>
        <item x="11"/>
        <item x="0"/>
        <item x="26"/>
        <item x="73"/>
        <item x="19"/>
        <item x="40"/>
        <item x="75"/>
        <item x="10"/>
        <item x="17"/>
        <item x="23"/>
        <item x="71"/>
        <item x="78"/>
        <item x="46"/>
        <item x="57"/>
        <item x="22"/>
        <item x="12"/>
        <item x="24"/>
        <item x="6"/>
        <item x="15"/>
        <item x="76"/>
        <item x="7"/>
        <item x="39"/>
        <item x="38"/>
        <item x="16"/>
        <item x="79"/>
        <item x="58"/>
        <item x="56"/>
        <item x="65"/>
        <item x="13"/>
        <item x="70"/>
        <item x="62"/>
        <item x="29"/>
        <item x="72"/>
        <item x="44"/>
        <item x="42"/>
        <item x="53"/>
        <item x="9"/>
        <item x="45"/>
        <item x="8"/>
        <item x="41"/>
        <item x="18"/>
        <item x="14"/>
        <item x="28"/>
        <item x="34"/>
        <item x="66"/>
        <item x="67"/>
        <item x="63"/>
        <item x="77"/>
        <item x="32"/>
        <item x="68"/>
        <item x="69"/>
        <item x="61"/>
        <item x="20"/>
        <item x="36"/>
        <item x="47"/>
        <item x="52"/>
        <item x="43"/>
        <item x="55"/>
        <item x="30"/>
        <item x="33"/>
        <item x="1"/>
        <item x="5"/>
      </items>
    </pivotField>
    <pivotField compact="0" outline="0" showAll="0" defaultSubtotal="0"/>
    <pivotField axis="axisRow" compact="0" outline="0" showAll="0" defaultSubtotal="0">
      <items count="80">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s>
    </pivotField>
    <pivotField compact="0" outline="0" showAll="0" defaultSubtotal="0"/>
    <pivotField compact="0" outline="0" showAll="0" defaultSubtotal="0"/>
    <pivotField axis="axisRow" compact="0" outline="0" showAll="0" defaultSubtotal="0">
      <items count="4">
        <item x="2"/>
        <item x="0"/>
        <item m="1" x="3"/>
        <item x="1"/>
      </items>
    </pivotField>
    <pivotField dataField="1" compact="0" outline="0" showAll="0" defaultSubtotal="0"/>
    <pivotField compact="0" outline="0" showAll="0" defaultSubtotal="0"/>
    <pivotField axis="axisCol" compact="0" outline="0" showAll="0" defaultSubtotal="0">
      <items count="8">
        <item x="2"/>
        <item x="1"/>
        <item x="0"/>
        <item x="5"/>
        <item x="4"/>
        <item x="3"/>
        <item x="6"/>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4">
        <item h="1" x="13"/>
        <item h="1" m="1" x="18"/>
        <item h="1" x="5"/>
        <item m="1" x="23"/>
        <item h="1" x="4"/>
        <item x="11"/>
        <item h="1" m="1" x="20"/>
        <item h="1" x="6"/>
        <item h="1" m="1" x="19"/>
        <item h="1" x="3"/>
        <item h="1" x="1"/>
        <item h="1" m="1" x="17"/>
        <item h="1" x="0"/>
        <item h="1" x="7"/>
        <item h="1" x="8"/>
        <item h="1" x="12"/>
        <item h="1" m="1" x="22"/>
        <item h="1" x="10"/>
        <item h="1" x="9"/>
        <item h="1" m="1" x="16"/>
        <item h="1" x="2"/>
        <item h="1" m="1" x="21"/>
        <item h="1" x="15"/>
        <item h="1" x="14"/>
      </items>
    </pivotField>
    <pivotField compact="0" outline="0" subtotalTop="0" showAll="0" defaultSubtotal="0"/>
  </pivotFields>
  <rowFields count="3">
    <field x="1"/>
    <field x="3"/>
    <field x="6"/>
  </rowFields>
  <rowItems count="3">
    <i>
      <x v="16"/>
      <x v="19"/>
      <x v="1"/>
    </i>
    <i>
      <x v="50"/>
      <x v="70"/>
      <x v="1"/>
    </i>
    <i t="grand">
      <x/>
    </i>
  </rowItems>
  <colFields count="1">
    <field x="9"/>
  </colFields>
  <colItems count="6">
    <i>
      <x v="1"/>
    </i>
    <i>
      <x v="2"/>
    </i>
    <i>
      <x v="3"/>
    </i>
    <i>
      <x v="4"/>
    </i>
    <i>
      <x v="5"/>
    </i>
    <i t="grand">
      <x/>
    </i>
  </colItems>
  <pageFields count="1">
    <pageField fld="35" hier="-1"/>
  </pageFields>
  <dataFields count="1">
    <dataField name="Sum of Remaining Amount" fld="7" baseField="1" baseItem="0" numFmtId="164"/>
  </dataFields>
  <formats count="29">
    <format dxfId="143">
      <pivotArea type="all" dataOnly="0" outline="0" fieldPosition="0"/>
    </format>
    <format dxfId="142">
      <pivotArea outline="0" collapsedLevelsAreSubtotals="1" fieldPosition="0"/>
    </format>
    <format dxfId="141">
      <pivotArea field="9" type="button" dataOnly="0" labelOnly="1" outline="0" axis="axisCol" fieldPosition="0"/>
    </format>
    <format dxfId="140">
      <pivotArea type="topRight" dataOnly="0" labelOnly="1" outline="0" fieldPosition="0"/>
    </format>
    <format dxfId="139">
      <pivotArea dataOnly="0" labelOnly="1" outline="0" fieldPosition="0">
        <references count="1">
          <reference field="9" count="3">
            <x v="2"/>
            <x v="3"/>
            <x v="5"/>
          </reference>
        </references>
      </pivotArea>
    </format>
    <format dxfId="138">
      <pivotArea dataOnly="0" labelOnly="1" grandCol="1" outline="0" fieldPosition="0"/>
    </format>
    <format dxfId="137">
      <pivotArea outline="0" collapsedLevelsAreSubtotals="1" fieldPosition="0"/>
    </format>
    <format dxfId="136">
      <pivotArea field="9" type="button" dataOnly="0" labelOnly="1" outline="0" axis="axisCol" fieldPosition="0"/>
    </format>
    <format dxfId="135">
      <pivotArea type="topRight" dataOnly="0" labelOnly="1" outline="0" fieldPosition="0"/>
    </format>
    <format dxfId="134">
      <pivotArea dataOnly="0" labelOnly="1" outline="0" fieldPosition="0">
        <references count="1">
          <reference field="9" count="3">
            <x v="2"/>
            <x v="3"/>
            <x v="5"/>
          </reference>
        </references>
      </pivotArea>
    </format>
    <format dxfId="133">
      <pivotArea dataOnly="0" labelOnly="1" grandCol="1" outline="0" fieldPosition="0"/>
    </format>
    <format dxfId="132">
      <pivotArea type="all" dataOnly="0" outline="0" fieldPosition="0"/>
    </format>
    <format dxfId="131">
      <pivotArea outline="0" collapsedLevelsAreSubtotals="1" fieldPosition="0"/>
    </format>
    <format dxfId="130">
      <pivotArea type="origin" dataOnly="0" labelOnly="1" outline="0" fieldPosition="0"/>
    </format>
    <format dxfId="129">
      <pivotArea field="9" type="button" dataOnly="0" labelOnly="1" outline="0" axis="axisCol" fieldPosition="0"/>
    </format>
    <format dxfId="128">
      <pivotArea type="topRight" dataOnly="0" labelOnly="1" outline="0" fieldPosition="0"/>
    </format>
    <format dxfId="127">
      <pivotArea field="1" type="button" dataOnly="0" labelOnly="1" outline="0" axis="axisRow" fieldPosition="0"/>
    </format>
    <format dxfId="126">
      <pivotArea field="3" type="button" dataOnly="0" labelOnly="1" outline="0" axis="axisRow" fieldPosition="1"/>
    </format>
    <format dxfId="125">
      <pivotArea dataOnly="0" labelOnly="1" outline="0" fieldPosition="0">
        <references count="1">
          <reference field="1" count="7">
            <x v="0"/>
            <x v="1"/>
            <x v="3"/>
            <x v="17"/>
            <x v="63"/>
            <x v="68"/>
            <x v="76"/>
          </reference>
        </references>
      </pivotArea>
    </format>
    <format dxfId="124">
      <pivotArea dataOnly="0" labelOnly="1" grandRow="1" outline="0" fieldPosition="0"/>
    </format>
    <format dxfId="123">
      <pivotArea dataOnly="0" labelOnly="1" outline="0" fieldPosition="0">
        <references count="2">
          <reference field="1" count="1" selected="0">
            <x v="0"/>
          </reference>
          <reference field="3" count="1">
            <x v="2"/>
          </reference>
        </references>
      </pivotArea>
    </format>
    <format dxfId="122">
      <pivotArea dataOnly="0" labelOnly="1" outline="0" fieldPosition="0">
        <references count="2">
          <reference field="1" count="1" selected="0">
            <x v="1"/>
          </reference>
          <reference field="3" count="1">
            <x v="1"/>
          </reference>
        </references>
      </pivotArea>
    </format>
    <format dxfId="121">
      <pivotArea dataOnly="0" labelOnly="1" outline="0" fieldPosition="0">
        <references count="2">
          <reference field="1" count="1" selected="0">
            <x v="3"/>
          </reference>
          <reference field="3" count="1">
            <x v="3"/>
          </reference>
        </references>
      </pivotArea>
    </format>
    <format dxfId="120">
      <pivotArea dataOnly="0" labelOnly="1" outline="0" fieldPosition="0">
        <references count="2">
          <reference field="1" count="1" selected="0">
            <x v="17"/>
          </reference>
          <reference field="3" count="1">
            <x v="57"/>
          </reference>
        </references>
      </pivotArea>
    </format>
    <format dxfId="119">
      <pivotArea dataOnly="0" labelOnly="1" outline="0" fieldPosition="0">
        <references count="2">
          <reference field="1" count="1" selected="0">
            <x v="63"/>
          </reference>
          <reference field="3" count="1">
            <x v="65"/>
          </reference>
        </references>
      </pivotArea>
    </format>
    <format dxfId="118">
      <pivotArea dataOnly="0" labelOnly="1" outline="0" fieldPosition="0">
        <references count="2">
          <reference field="1" count="1" selected="0">
            <x v="68"/>
          </reference>
          <reference field="3" count="1">
            <x v="67"/>
          </reference>
        </references>
      </pivotArea>
    </format>
    <format dxfId="117">
      <pivotArea dataOnly="0" labelOnly="1" outline="0" fieldPosition="0">
        <references count="2">
          <reference field="1" count="1" selected="0">
            <x v="76"/>
          </reference>
          <reference field="3" count="1">
            <x v="28"/>
          </reference>
        </references>
      </pivotArea>
    </format>
    <format dxfId="116">
      <pivotArea dataOnly="0" labelOnly="1" outline="0" fieldPosition="0">
        <references count="1">
          <reference field="9" count="3">
            <x v="2"/>
            <x v="3"/>
            <x v="5"/>
          </reference>
        </references>
      </pivotArea>
    </format>
    <format dxfId="115">
      <pivotArea dataOnly="0" labelOnly="1" grandCol="1" outline="0" fieldPosition="0"/>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1ABAAD-2249-4EF9-B7BB-5EE6BE158DBC}" name="PivotTable1"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3:V16" firstHeaderRow="1" firstDataRow="2" firstDataCol="3" rowPageCount="1" colPageCount="1"/>
  <pivotFields count="37">
    <pivotField compact="0" outline="0" showAll="0" defaultSubtotal="0"/>
    <pivotField axis="axisRow" compact="0" outline="0" showAll="0" defaultSubtotal="0">
      <items count="80">
        <item x="3"/>
        <item x="2"/>
        <item x="25"/>
        <item x="4"/>
        <item x="35"/>
        <item x="60"/>
        <item x="49"/>
        <item x="54"/>
        <item x="27"/>
        <item x="37"/>
        <item x="51"/>
        <item x="64"/>
        <item x="50"/>
        <item x="31"/>
        <item x="74"/>
        <item x="48"/>
        <item x="21"/>
        <item x="59"/>
        <item x="11"/>
        <item x="0"/>
        <item x="26"/>
        <item x="73"/>
        <item x="19"/>
        <item x="40"/>
        <item x="75"/>
        <item x="10"/>
        <item x="17"/>
        <item x="23"/>
        <item x="71"/>
        <item x="78"/>
        <item x="46"/>
        <item x="57"/>
        <item x="22"/>
        <item x="12"/>
        <item x="24"/>
        <item x="6"/>
        <item x="15"/>
        <item x="76"/>
        <item x="7"/>
        <item x="39"/>
        <item x="38"/>
        <item x="16"/>
        <item x="79"/>
        <item x="58"/>
        <item x="56"/>
        <item x="65"/>
        <item x="13"/>
        <item x="70"/>
        <item x="62"/>
        <item x="29"/>
        <item x="72"/>
        <item x="44"/>
        <item x="42"/>
        <item x="53"/>
        <item x="9"/>
        <item x="45"/>
        <item x="8"/>
        <item x="41"/>
        <item x="18"/>
        <item x="14"/>
        <item x="28"/>
        <item x="34"/>
        <item x="66"/>
        <item x="67"/>
        <item x="63"/>
        <item x="77"/>
        <item x="32"/>
        <item x="68"/>
        <item x="69"/>
        <item x="61"/>
        <item x="20"/>
        <item x="36"/>
        <item x="47"/>
        <item x="52"/>
        <item x="43"/>
        <item x="55"/>
        <item x="30"/>
        <item x="33"/>
        <item x="1"/>
        <item x="5"/>
      </items>
    </pivotField>
    <pivotField compact="0" outline="0" showAll="0" defaultSubtotal="0"/>
    <pivotField axis="axisRow" compact="0" outline="0" showAll="0" defaultSubtotal="0">
      <items count="80">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s>
    </pivotField>
    <pivotField compact="0" outline="0" showAll="0" defaultSubtotal="0"/>
    <pivotField compact="0" outline="0" showAll="0" defaultSubtotal="0"/>
    <pivotField axis="axisRow" compact="0" outline="0" showAll="0" defaultSubtotal="0">
      <items count="4">
        <item x="2"/>
        <item x="0"/>
        <item m="1" x="3"/>
        <item x="1"/>
      </items>
    </pivotField>
    <pivotField dataField="1" compact="0" outline="0" showAll="0" defaultSubtotal="0"/>
    <pivotField compact="0" outline="0" showAll="0" defaultSubtotal="0"/>
    <pivotField axis="axisCol" compact="0" outline="0" showAll="0" defaultSubtotal="0">
      <items count="8">
        <item x="2"/>
        <item x="1"/>
        <item x="0"/>
        <item x="5"/>
        <item x="4"/>
        <item x="3"/>
        <item x="6"/>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4">
        <item h="1" x="13"/>
        <item h="1" m="1" x="18"/>
        <item h="1" x="5"/>
        <item m="1" x="23"/>
        <item h="1" x="4"/>
        <item h="1" x="11"/>
        <item h="1" m="1" x="20"/>
        <item h="1" x="6"/>
        <item h="1" m="1" x="19"/>
        <item h="1" x="3"/>
        <item h="1" x="1"/>
        <item h="1" m="1" x="17"/>
        <item h="1" x="0"/>
        <item h="1" x="7"/>
        <item x="8"/>
        <item h="1" x="12"/>
        <item h="1" m="1" x="22"/>
        <item h="1" x="10"/>
        <item h="1" x="9"/>
        <item h="1" m="1" x="16"/>
        <item h="1" x="2"/>
        <item h="1" m="1" x="21"/>
        <item h="1" x="15"/>
        <item h="1" x="14"/>
      </items>
    </pivotField>
    <pivotField compact="0" outline="0" subtotalTop="0" showAll="0" defaultSubtotal="0"/>
  </pivotFields>
  <rowFields count="3">
    <field x="1"/>
    <field x="3"/>
    <field x="6"/>
  </rowFields>
  <rowItems count="12">
    <i>
      <x v="2"/>
      <x v="23"/>
      <x v="1"/>
    </i>
    <i>
      <x v="5"/>
      <x v="58"/>
      <x v="1"/>
    </i>
    <i>
      <x v="7"/>
      <x v="52"/>
      <x v="1"/>
    </i>
    <i>
      <x v="9"/>
      <x v="35"/>
      <x v="1"/>
    </i>
    <i>
      <x v="18"/>
      <x v="9"/>
      <x v="1"/>
    </i>
    <i>
      <x v="21"/>
      <x v="71"/>
      <x v="1"/>
    </i>
    <i>
      <x v="24"/>
      <x v="73"/>
      <x v="1"/>
    </i>
    <i>
      <x v="25"/>
      <x v="8"/>
      <x v="1"/>
    </i>
    <i>
      <x v="52"/>
      <x v="40"/>
      <x v="1"/>
    </i>
    <i>
      <x v="74"/>
      <x v="41"/>
      <x v="1"/>
    </i>
    <i>
      <x v="77"/>
      <x v="31"/>
      <x v="1"/>
    </i>
    <i t="grand">
      <x/>
    </i>
  </rowItems>
  <colFields count="1">
    <field x="9"/>
  </colFields>
  <colItems count="6">
    <i>
      <x v="1"/>
    </i>
    <i>
      <x v="2"/>
    </i>
    <i>
      <x v="3"/>
    </i>
    <i>
      <x v="4"/>
    </i>
    <i>
      <x v="5"/>
    </i>
    <i t="grand">
      <x/>
    </i>
  </colItems>
  <pageFields count="1">
    <pageField fld="35" hier="-1"/>
  </pageFields>
  <dataFields count="1">
    <dataField name="Sum of Remaining Amount" fld="7" baseField="1" baseItem="0" numFmtId="164"/>
  </dataFields>
  <formats count="29">
    <format dxfId="172">
      <pivotArea type="all" dataOnly="0" outline="0" fieldPosition="0"/>
    </format>
    <format dxfId="171">
      <pivotArea outline="0" collapsedLevelsAreSubtotals="1" fieldPosition="0"/>
    </format>
    <format dxfId="170">
      <pivotArea field="9" type="button" dataOnly="0" labelOnly="1" outline="0" axis="axisCol" fieldPosition="0"/>
    </format>
    <format dxfId="169">
      <pivotArea type="topRight" dataOnly="0" labelOnly="1" outline="0" fieldPosition="0"/>
    </format>
    <format dxfId="168">
      <pivotArea dataOnly="0" labelOnly="1" outline="0" fieldPosition="0">
        <references count="1">
          <reference field="9" count="3">
            <x v="2"/>
            <x v="3"/>
            <x v="5"/>
          </reference>
        </references>
      </pivotArea>
    </format>
    <format dxfId="167">
      <pivotArea dataOnly="0" labelOnly="1" grandCol="1" outline="0" fieldPosition="0"/>
    </format>
    <format dxfId="166">
      <pivotArea outline="0" collapsedLevelsAreSubtotals="1" fieldPosition="0"/>
    </format>
    <format dxfId="165">
      <pivotArea field="9" type="button" dataOnly="0" labelOnly="1" outline="0" axis="axisCol" fieldPosition="0"/>
    </format>
    <format dxfId="164">
      <pivotArea type="topRight" dataOnly="0" labelOnly="1" outline="0" fieldPosition="0"/>
    </format>
    <format dxfId="163">
      <pivotArea dataOnly="0" labelOnly="1" outline="0" fieldPosition="0">
        <references count="1">
          <reference field="9" count="3">
            <x v="2"/>
            <x v="3"/>
            <x v="5"/>
          </reference>
        </references>
      </pivotArea>
    </format>
    <format dxfId="162">
      <pivotArea dataOnly="0" labelOnly="1" grandCol="1" outline="0" fieldPosition="0"/>
    </format>
    <format dxfId="161">
      <pivotArea type="all" dataOnly="0" outline="0" fieldPosition="0"/>
    </format>
    <format dxfId="160">
      <pivotArea outline="0" collapsedLevelsAreSubtotals="1" fieldPosition="0"/>
    </format>
    <format dxfId="159">
      <pivotArea type="origin" dataOnly="0" labelOnly="1" outline="0" fieldPosition="0"/>
    </format>
    <format dxfId="158">
      <pivotArea field="9" type="button" dataOnly="0" labelOnly="1" outline="0" axis="axisCol" fieldPosition="0"/>
    </format>
    <format dxfId="157">
      <pivotArea type="topRight" dataOnly="0" labelOnly="1" outline="0" fieldPosition="0"/>
    </format>
    <format dxfId="156">
      <pivotArea field="1" type="button" dataOnly="0" labelOnly="1" outline="0" axis="axisRow" fieldPosition="0"/>
    </format>
    <format dxfId="155">
      <pivotArea field="3" type="button" dataOnly="0" labelOnly="1" outline="0" axis="axisRow" fieldPosition="1"/>
    </format>
    <format dxfId="154">
      <pivotArea dataOnly="0" labelOnly="1" outline="0" fieldPosition="0">
        <references count="1">
          <reference field="1" count="7">
            <x v="0"/>
            <x v="1"/>
            <x v="3"/>
            <x v="17"/>
            <x v="63"/>
            <x v="68"/>
            <x v="76"/>
          </reference>
        </references>
      </pivotArea>
    </format>
    <format dxfId="153">
      <pivotArea dataOnly="0" labelOnly="1" grandRow="1" outline="0" fieldPosition="0"/>
    </format>
    <format dxfId="152">
      <pivotArea dataOnly="0" labelOnly="1" outline="0" fieldPosition="0">
        <references count="2">
          <reference field="1" count="1" selected="0">
            <x v="0"/>
          </reference>
          <reference field="3" count="1">
            <x v="2"/>
          </reference>
        </references>
      </pivotArea>
    </format>
    <format dxfId="151">
      <pivotArea dataOnly="0" labelOnly="1" outline="0" fieldPosition="0">
        <references count="2">
          <reference field="1" count="1" selected="0">
            <x v="1"/>
          </reference>
          <reference field="3" count="1">
            <x v="1"/>
          </reference>
        </references>
      </pivotArea>
    </format>
    <format dxfId="150">
      <pivotArea dataOnly="0" labelOnly="1" outline="0" fieldPosition="0">
        <references count="2">
          <reference field="1" count="1" selected="0">
            <x v="3"/>
          </reference>
          <reference field="3" count="1">
            <x v="3"/>
          </reference>
        </references>
      </pivotArea>
    </format>
    <format dxfId="149">
      <pivotArea dataOnly="0" labelOnly="1" outline="0" fieldPosition="0">
        <references count="2">
          <reference field="1" count="1" selected="0">
            <x v="17"/>
          </reference>
          <reference field="3" count="1">
            <x v="57"/>
          </reference>
        </references>
      </pivotArea>
    </format>
    <format dxfId="148">
      <pivotArea dataOnly="0" labelOnly="1" outline="0" fieldPosition="0">
        <references count="2">
          <reference field="1" count="1" selected="0">
            <x v="63"/>
          </reference>
          <reference field="3" count="1">
            <x v="65"/>
          </reference>
        </references>
      </pivotArea>
    </format>
    <format dxfId="147">
      <pivotArea dataOnly="0" labelOnly="1" outline="0" fieldPosition="0">
        <references count="2">
          <reference field="1" count="1" selected="0">
            <x v="68"/>
          </reference>
          <reference field="3" count="1">
            <x v="67"/>
          </reference>
        </references>
      </pivotArea>
    </format>
    <format dxfId="146">
      <pivotArea dataOnly="0" labelOnly="1" outline="0" fieldPosition="0">
        <references count="2">
          <reference field="1" count="1" selected="0">
            <x v="76"/>
          </reference>
          <reference field="3" count="1">
            <x v="28"/>
          </reference>
        </references>
      </pivotArea>
    </format>
    <format dxfId="145">
      <pivotArea dataOnly="0" labelOnly="1" outline="0" fieldPosition="0">
        <references count="1">
          <reference field="9" count="3">
            <x v="2"/>
            <x v="3"/>
            <x v="5"/>
          </reference>
        </references>
      </pivotArea>
    </format>
    <format dxfId="144">
      <pivotArea dataOnly="0" labelOnly="1" grandCol="1" outline="0" fieldPosition="0"/>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9BE47E-1F95-474B-9BB0-67FB59F3CB40}"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I15" firstHeaderRow="1" firstDataRow="2" firstDataCol="1"/>
  <pivotFields count="37">
    <pivotField showAll="0"/>
    <pivotField showAll="0"/>
    <pivotField showAll="0"/>
    <pivotField axis="axisRow" showAll="0">
      <items count="81">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79"/>
        <item x="4"/>
        <item t="default"/>
      </items>
    </pivotField>
    <pivotField showAll="0"/>
    <pivotField showAll="0"/>
    <pivotField showAll="0"/>
    <pivotField dataField="1" showAll="0"/>
    <pivotField showAll="0"/>
    <pivotField axis="axisCol" showAll="0">
      <items count="9">
        <item x="2"/>
        <item x="1"/>
        <item x="0"/>
        <item x="4"/>
        <item x="3"/>
        <item x="6"/>
        <item x="5"/>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5">
        <item sd="0" x="13"/>
        <item h="1" sd="0" m="1" x="18"/>
        <item h="1" sd="0" x="5"/>
        <item h="1" sd="0" m="1" x="23"/>
        <item h="1" sd="0" x="4"/>
        <item sd="0" x="3"/>
        <item sd="0" x="11"/>
        <item h="1" sd="0" m="1" x="20"/>
        <item sd="0" x="6"/>
        <item h="1" sd="0" m="1" x="19"/>
        <item h="1" sd="0" x="1"/>
        <item h="1" sd="0" m="1" x="17"/>
        <item h="1" sd="0" x="0"/>
        <item h="1" sd="0" x="7"/>
        <item sd="0" x="8"/>
        <item sd="0" x="12"/>
        <item h="1" sd="0" m="1" x="22"/>
        <item sd="0" x="10"/>
        <item sd="0" x="9"/>
        <item h="1" sd="0" m="1" x="16"/>
        <item h="1" sd="0" x="2"/>
        <item sd="0" m="1" x="21"/>
        <item sd="0" x="15"/>
        <item sd="0" x="14"/>
        <item t="default" sd="0"/>
      </items>
    </pivotField>
    <pivotField showAll="0"/>
  </pivotFields>
  <rowFields count="2">
    <field x="35"/>
    <field x="3"/>
  </rowFields>
  <rowItems count="11">
    <i>
      <x/>
    </i>
    <i>
      <x v="5"/>
    </i>
    <i>
      <x v="6"/>
    </i>
    <i>
      <x v="8"/>
    </i>
    <i>
      <x v="14"/>
    </i>
    <i>
      <x v="15"/>
    </i>
    <i>
      <x v="17"/>
    </i>
    <i>
      <x v="18"/>
    </i>
    <i>
      <x v="22"/>
    </i>
    <i>
      <x v="23"/>
    </i>
    <i t="grand">
      <x/>
    </i>
  </rowItems>
  <colFields count="1">
    <field x="9"/>
  </colFields>
  <colItems count="7">
    <i>
      <x v="1"/>
    </i>
    <i>
      <x v="2"/>
    </i>
    <i>
      <x v="3"/>
    </i>
    <i>
      <x v="4"/>
    </i>
    <i>
      <x v="5"/>
    </i>
    <i>
      <x v="6"/>
    </i>
    <i t="grand">
      <x/>
    </i>
  </colItems>
  <dataFields count="1">
    <dataField name="Sum of Remaining Amount" fld="7" baseField="35" baseItem="0"/>
  </dataFields>
  <formats count="15">
    <format dxfId="25">
      <pivotArea type="all" dataOnly="0" outline="0" fieldPosition="0"/>
    </format>
    <format dxfId="24">
      <pivotArea outline="0" collapsedLevelsAreSubtotals="1" fieldPosition="0"/>
    </format>
    <format dxfId="23">
      <pivotArea type="origin" dataOnly="0" labelOnly="1" outline="0" fieldPosition="0"/>
    </format>
    <format dxfId="22">
      <pivotArea field="9" type="button" dataOnly="0" labelOnly="1" outline="0" axis="axisCol" fieldPosition="0"/>
    </format>
    <format dxfId="21">
      <pivotArea type="topRight" dataOnly="0" labelOnly="1" outline="0" fieldPosition="0"/>
    </format>
    <format dxfId="20">
      <pivotArea field="35" type="button" dataOnly="0" labelOnly="1" outline="0" axis="axisRow" fieldPosition="0"/>
    </format>
    <format dxfId="19">
      <pivotArea dataOnly="0" labelOnly="1" fieldPosition="0">
        <references count="1">
          <reference field="35" count="0"/>
        </references>
      </pivotArea>
    </format>
    <format dxfId="18">
      <pivotArea dataOnly="0" labelOnly="1" grandRow="1" outline="0" fieldPosition="0"/>
    </format>
    <format dxfId="17">
      <pivotArea dataOnly="0" labelOnly="1" fieldPosition="0">
        <references count="1">
          <reference field="9" count="0"/>
        </references>
      </pivotArea>
    </format>
    <format dxfId="16">
      <pivotArea dataOnly="0" labelOnly="1" grandCol="1" outline="0" fieldPosition="0"/>
    </format>
    <format dxfId="15">
      <pivotArea outline="0" collapsedLevelsAreSubtotals="1" fieldPosition="0">
        <references count="1">
          <reference field="9" count="5" selected="0">
            <x v="2"/>
            <x v="3"/>
            <x v="4"/>
            <x v="5"/>
            <x v="6"/>
          </reference>
        </references>
      </pivotArea>
    </format>
    <format dxfId="14">
      <pivotArea grandCol="1" outline="0" collapsedLevelsAreSubtotals="1" fieldPosition="0"/>
    </format>
    <format dxfId="13">
      <pivotArea type="topRight" dataOnly="0" labelOnly="1" outline="0" fieldPosition="0"/>
    </format>
    <format dxfId="12">
      <pivotArea dataOnly="0" labelOnly="1" fieldPosition="0">
        <references count="1">
          <reference field="9" count="5">
            <x v="2"/>
            <x v="3"/>
            <x v="4"/>
            <x v="5"/>
            <x v="6"/>
          </reference>
        </references>
      </pivotArea>
    </format>
    <format dxfId="11">
      <pivotArea dataOnly="0" labelOnly="1" grandCol="1" outline="0" fieldPosition="0"/>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hyperlink" Target="mailto:Joyce.Jabbour@Fairmont.com" TargetMode="External"/><Relationship Id="rId1" Type="http://schemas.openxmlformats.org/officeDocument/2006/relationships/hyperlink" Target="mailto:Connie.Marianacci@Fairmont.com" TargetMode="Externa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BDEE4-3A24-4373-96AA-D23BBEEBA8E0}">
  <sheetPr codeName="Sheet1">
    <tabColor theme="7"/>
  </sheetPr>
  <dimension ref="A1:M477"/>
  <sheetViews>
    <sheetView showGridLines="0" zoomScale="60" zoomScaleNormal="60" workbookViewId="0">
      <pane ySplit="1" topLeftCell="A50" activePane="bottomLeft" state="frozen"/>
      <selection pane="bottomLeft" activeCell="K62" sqref="K62"/>
    </sheetView>
  </sheetViews>
  <sheetFormatPr defaultRowHeight="14.5" x14ac:dyDescent="0.35"/>
  <cols>
    <col min="1" max="1" width="11.36328125" style="8" customWidth="1"/>
    <col min="2" max="2" width="20.81640625" bestFit="1" customWidth="1"/>
    <col min="3" max="3" width="34.7265625" customWidth="1"/>
    <col min="4" max="4" width="37.36328125" customWidth="1"/>
  </cols>
  <sheetData>
    <row r="1" spans="1:4" ht="33" x14ac:dyDescent="0.35">
      <c r="A1" s="1" t="s">
        <v>1</v>
      </c>
      <c r="B1" s="1" t="s">
        <v>2</v>
      </c>
      <c r="C1" s="1" t="s">
        <v>3</v>
      </c>
      <c r="D1" s="1" t="s">
        <v>1048</v>
      </c>
    </row>
    <row r="2" spans="1:4" x14ac:dyDescent="0.35">
      <c r="A2" s="12">
        <v>100108890</v>
      </c>
      <c r="B2" s="13" t="s">
        <v>34</v>
      </c>
      <c r="C2" s="13" t="s">
        <v>35</v>
      </c>
      <c r="D2" s="18" t="s">
        <v>1049</v>
      </c>
    </row>
    <row r="3" spans="1:4" x14ac:dyDescent="0.35">
      <c r="A3" s="12">
        <v>100103956</v>
      </c>
      <c r="B3" s="13" t="s">
        <v>48</v>
      </c>
      <c r="C3" s="13" t="s">
        <v>49</v>
      </c>
      <c r="D3" s="18" t="s">
        <v>1050</v>
      </c>
    </row>
    <row r="4" spans="1:4" x14ac:dyDescent="0.35">
      <c r="A4" s="12">
        <v>100103260</v>
      </c>
      <c r="B4" s="13" t="s">
        <v>71</v>
      </c>
      <c r="C4" s="13" t="s">
        <v>72</v>
      </c>
      <c r="D4" s="18" t="s">
        <v>1051</v>
      </c>
    </row>
    <row r="5" spans="1:4" x14ac:dyDescent="0.35">
      <c r="A5" s="12">
        <v>100108092</v>
      </c>
      <c r="B5" s="13" t="s">
        <v>79</v>
      </c>
      <c r="C5" s="13" t="s">
        <v>80</v>
      </c>
      <c r="D5" s="18" t="s">
        <v>1051</v>
      </c>
    </row>
    <row r="6" spans="1:4" x14ac:dyDescent="0.35">
      <c r="A6" s="12">
        <v>100111888</v>
      </c>
      <c r="B6" s="13" t="s">
        <v>1063</v>
      </c>
      <c r="C6" s="13" t="s">
        <v>1064</v>
      </c>
      <c r="D6" s="18" t="s">
        <v>1215</v>
      </c>
    </row>
    <row r="7" spans="1:4" x14ac:dyDescent="0.35">
      <c r="A7" s="12">
        <v>100113182</v>
      </c>
      <c r="B7" s="13" t="s">
        <v>83</v>
      </c>
      <c r="C7" s="13" t="s">
        <v>84</v>
      </c>
      <c r="D7" s="18" t="s">
        <v>1052</v>
      </c>
    </row>
    <row r="8" spans="1:4" x14ac:dyDescent="0.35">
      <c r="A8" s="12">
        <v>100113370</v>
      </c>
      <c r="B8" s="13" t="s">
        <v>90</v>
      </c>
      <c r="C8" s="13" t="s">
        <v>91</v>
      </c>
      <c r="D8" s="18" t="s">
        <v>1052</v>
      </c>
    </row>
    <row r="9" spans="1:4" x14ac:dyDescent="0.35">
      <c r="A9" s="12">
        <v>100114715</v>
      </c>
      <c r="B9" s="13" t="s">
        <v>109</v>
      </c>
      <c r="C9" s="13" t="s">
        <v>110</v>
      </c>
      <c r="D9" s="18" t="s">
        <v>1053</v>
      </c>
    </row>
    <row r="10" spans="1:4" x14ac:dyDescent="0.35">
      <c r="A10" s="12">
        <v>100114688</v>
      </c>
      <c r="B10" s="13" t="s">
        <v>131</v>
      </c>
      <c r="C10" s="13" t="s">
        <v>132</v>
      </c>
      <c r="D10" s="18" t="s">
        <v>1054</v>
      </c>
    </row>
    <row r="11" spans="1:4" x14ac:dyDescent="0.35">
      <c r="A11" s="12">
        <v>100111676</v>
      </c>
      <c r="B11" s="13" t="s">
        <v>137</v>
      </c>
      <c r="C11" s="13" t="s">
        <v>138</v>
      </c>
      <c r="D11" s="18" t="s">
        <v>1055</v>
      </c>
    </row>
    <row r="12" spans="1:4" x14ac:dyDescent="0.35">
      <c r="A12" s="12">
        <v>100108821</v>
      </c>
      <c r="B12" s="13" t="s">
        <v>162</v>
      </c>
      <c r="C12" s="13" t="s">
        <v>163</v>
      </c>
      <c r="D12" s="18" t="s">
        <v>1058</v>
      </c>
    </row>
    <row r="13" spans="1:4" x14ac:dyDescent="0.35">
      <c r="A13" s="12">
        <v>100112183</v>
      </c>
      <c r="B13" s="13" t="s">
        <v>179</v>
      </c>
      <c r="C13" s="13" t="s">
        <v>180</v>
      </c>
      <c r="D13" s="18" t="s">
        <v>1056</v>
      </c>
    </row>
    <row r="14" spans="1:4" x14ac:dyDescent="0.35">
      <c r="A14" s="12">
        <v>100114302</v>
      </c>
      <c r="B14" s="13" t="s">
        <v>183</v>
      </c>
      <c r="C14" s="13" t="s">
        <v>184</v>
      </c>
      <c r="D14" s="18" t="s">
        <v>1057</v>
      </c>
    </row>
    <row r="15" spans="1:4" x14ac:dyDescent="0.35">
      <c r="A15" s="12">
        <v>100114967</v>
      </c>
      <c r="B15" s="13" t="s">
        <v>187</v>
      </c>
      <c r="C15" s="13" t="s">
        <v>188</v>
      </c>
      <c r="D15" s="18" t="s">
        <v>1059</v>
      </c>
    </row>
    <row r="16" spans="1:4" x14ac:dyDescent="0.35">
      <c r="A16" s="12">
        <v>100113198</v>
      </c>
      <c r="B16" s="13" t="s">
        <v>195</v>
      </c>
      <c r="C16" s="13" t="s">
        <v>196</v>
      </c>
      <c r="D16" s="18" t="s">
        <v>1060</v>
      </c>
    </row>
    <row r="17" spans="1:4" x14ac:dyDescent="0.35">
      <c r="A17" s="12">
        <v>100113889</v>
      </c>
      <c r="B17" s="13" t="s">
        <v>206</v>
      </c>
      <c r="C17" s="13" t="s">
        <v>207</v>
      </c>
      <c r="D17" s="18" t="s">
        <v>1061</v>
      </c>
    </row>
    <row r="18" spans="1:4" x14ac:dyDescent="0.35">
      <c r="A18" s="12">
        <v>100111711</v>
      </c>
      <c r="B18" s="13" t="s">
        <v>222</v>
      </c>
      <c r="C18" s="13" t="s">
        <v>223</v>
      </c>
      <c r="D18" s="18" t="s">
        <v>1216</v>
      </c>
    </row>
    <row r="19" spans="1:4" x14ac:dyDescent="0.35">
      <c r="A19" s="12">
        <v>100114939</v>
      </c>
      <c r="B19" s="13" t="s">
        <v>226</v>
      </c>
      <c r="C19" s="13" t="s">
        <v>227</v>
      </c>
      <c r="D19" s="18" t="s">
        <v>1217</v>
      </c>
    </row>
    <row r="20" spans="1:4" x14ac:dyDescent="0.35">
      <c r="A20" s="12">
        <v>100111597</v>
      </c>
      <c r="B20" s="13" t="s">
        <v>230</v>
      </c>
      <c r="C20" s="13" t="s">
        <v>231</v>
      </c>
      <c r="D20" s="18" t="s">
        <v>1051</v>
      </c>
    </row>
    <row r="21" spans="1:4" x14ac:dyDescent="0.35">
      <c r="A21" s="12">
        <v>100117570</v>
      </c>
      <c r="B21" s="13" t="s">
        <v>237</v>
      </c>
      <c r="C21" s="13" t="s">
        <v>238</v>
      </c>
      <c r="D21" s="18" t="s">
        <v>1218</v>
      </c>
    </row>
    <row r="22" spans="1:4" x14ac:dyDescent="0.35">
      <c r="A22" s="12">
        <v>100108810</v>
      </c>
      <c r="B22" s="13" t="s">
        <v>246</v>
      </c>
      <c r="C22" s="13" t="s">
        <v>247</v>
      </c>
      <c r="D22" s="18" t="s">
        <v>1219</v>
      </c>
    </row>
    <row r="23" spans="1:4" x14ac:dyDescent="0.35">
      <c r="A23" s="12">
        <v>100112031</v>
      </c>
      <c r="B23" s="13" t="s">
        <v>261</v>
      </c>
      <c r="C23" s="13" t="s">
        <v>262</v>
      </c>
      <c r="D23" s="18" t="s">
        <v>1220</v>
      </c>
    </row>
    <row r="24" spans="1:4" x14ac:dyDescent="0.35">
      <c r="A24" s="12">
        <v>100111868</v>
      </c>
      <c r="B24" s="13" t="s">
        <v>266</v>
      </c>
      <c r="C24" s="13" t="s">
        <v>267</v>
      </c>
      <c r="D24" s="18" t="s">
        <v>1221</v>
      </c>
    </row>
    <row r="25" spans="1:4" x14ac:dyDescent="0.35">
      <c r="A25" s="12">
        <v>100112490</v>
      </c>
      <c r="B25" s="13" t="s">
        <v>280</v>
      </c>
      <c r="C25" s="13" t="s">
        <v>281</v>
      </c>
      <c r="D25" s="18" t="s">
        <v>1222</v>
      </c>
    </row>
    <row r="26" spans="1:4" x14ac:dyDescent="0.35">
      <c r="A26" s="12">
        <v>100106219</v>
      </c>
      <c r="B26" s="13" t="s">
        <v>284</v>
      </c>
      <c r="C26" s="13" t="s">
        <v>285</v>
      </c>
      <c r="D26" s="18" t="s">
        <v>1223</v>
      </c>
    </row>
    <row r="27" spans="1:4" x14ac:dyDescent="0.35">
      <c r="A27" s="12">
        <v>100108939</v>
      </c>
      <c r="B27" s="13" t="s">
        <v>305</v>
      </c>
      <c r="C27" s="13" t="s">
        <v>306</v>
      </c>
      <c r="D27" s="18" t="s">
        <v>1224</v>
      </c>
    </row>
    <row r="28" spans="1:4" x14ac:dyDescent="0.35">
      <c r="A28" s="12">
        <v>100108737</v>
      </c>
      <c r="B28" s="13" t="s">
        <v>309</v>
      </c>
      <c r="C28" s="13" t="s">
        <v>310</v>
      </c>
      <c r="D28" s="18" t="s">
        <v>1225</v>
      </c>
    </row>
    <row r="29" spans="1:4" x14ac:dyDescent="0.35">
      <c r="A29" s="12">
        <v>100114999</v>
      </c>
      <c r="B29" s="13" t="s">
        <v>313</v>
      </c>
      <c r="C29" s="13" t="s">
        <v>314</v>
      </c>
      <c r="D29" s="18" t="s">
        <v>1226</v>
      </c>
    </row>
    <row r="30" spans="1:4" x14ac:dyDescent="0.35">
      <c r="A30" s="12">
        <v>100114519</v>
      </c>
      <c r="B30" s="13" t="s">
        <v>317</v>
      </c>
      <c r="C30" s="13" t="s">
        <v>318</v>
      </c>
      <c r="D30" s="18" t="s">
        <v>1227</v>
      </c>
    </row>
    <row r="31" spans="1:4" x14ac:dyDescent="0.35">
      <c r="A31" s="12">
        <v>100120310</v>
      </c>
      <c r="B31" s="13" t="s">
        <v>321</v>
      </c>
      <c r="C31" s="13" t="s">
        <v>322</v>
      </c>
      <c r="D31" s="18" t="s">
        <v>1228</v>
      </c>
    </row>
    <row r="32" spans="1:4" x14ac:dyDescent="0.35">
      <c r="A32" s="12">
        <v>100108769</v>
      </c>
      <c r="B32" s="13" t="s">
        <v>329</v>
      </c>
      <c r="C32" s="13" t="s">
        <v>330</v>
      </c>
      <c r="D32" s="18" t="s">
        <v>1049</v>
      </c>
    </row>
    <row r="33" spans="1:4" x14ac:dyDescent="0.35">
      <c r="A33" s="12">
        <v>100115215</v>
      </c>
      <c r="B33" s="13" t="s">
        <v>335</v>
      </c>
      <c r="C33" s="13" t="s">
        <v>336</v>
      </c>
      <c r="D33" s="18" t="s">
        <v>1061</v>
      </c>
    </row>
    <row r="34" spans="1:4" x14ac:dyDescent="0.35">
      <c r="A34" s="12">
        <v>100120687</v>
      </c>
      <c r="B34" s="13" t="s">
        <v>339</v>
      </c>
      <c r="C34" s="13" t="s">
        <v>340</v>
      </c>
      <c r="D34" s="18" t="s">
        <v>1229</v>
      </c>
    </row>
    <row r="35" spans="1:4" x14ac:dyDescent="0.35">
      <c r="A35" s="12">
        <v>100115001</v>
      </c>
      <c r="B35" s="13" t="s">
        <v>345</v>
      </c>
      <c r="C35" s="13" t="s">
        <v>346</v>
      </c>
      <c r="D35" s="18" t="s">
        <v>1230</v>
      </c>
    </row>
    <row r="36" spans="1:4" x14ac:dyDescent="0.35">
      <c r="A36" s="12">
        <v>100108363</v>
      </c>
      <c r="B36" s="13" t="s">
        <v>350</v>
      </c>
      <c r="C36" s="13" t="s">
        <v>351</v>
      </c>
      <c r="D36" s="18" t="s">
        <v>1223</v>
      </c>
    </row>
    <row r="37" spans="1:4" x14ac:dyDescent="0.35">
      <c r="A37" s="12">
        <v>100117719</v>
      </c>
      <c r="B37" s="13" t="s">
        <v>356</v>
      </c>
      <c r="C37" s="13" t="s">
        <v>357</v>
      </c>
      <c r="D37" s="18" t="s">
        <v>1231</v>
      </c>
    </row>
    <row r="38" spans="1:4" x14ac:dyDescent="0.35">
      <c r="A38" s="12">
        <v>100108744</v>
      </c>
      <c r="B38" s="13" t="s">
        <v>365</v>
      </c>
      <c r="C38" s="13" t="s">
        <v>366</v>
      </c>
      <c r="D38" s="18" t="s">
        <v>1232</v>
      </c>
    </row>
    <row r="39" spans="1:4" x14ac:dyDescent="0.35">
      <c r="A39" s="12">
        <v>100113621</v>
      </c>
      <c r="B39" s="13" t="s">
        <v>389</v>
      </c>
      <c r="C39" s="13" t="s">
        <v>390</v>
      </c>
      <c r="D39" s="18" t="s">
        <v>1233</v>
      </c>
    </row>
    <row r="40" spans="1:4" x14ac:dyDescent="0.35">
      <c r="A40" s="12">
        <v>100113609</v>
      </c>
      <c r="B40" s="13" t="s">
        <v>394</v>
      </c>
      <c r="C40" s="13" t="s">
        <v>395</v>
      </c>
      <c r="D40" s="18" t="s">
        <v>1234</v>
      </c>
    </row>
    <row r="41" spans="1:4" x14ac:dyDescent="0.35">
      <c r="A41" s="12">
        <v>100111598</v>
      </c>
      <c r="B41" s="13" t="s">
        <v>399</v>
      </c>
      <c r="C41" s="13" t="s">
        <v>400</v>
      </c>
      <c r="D41" s="18" t="s">
        <v>1235</v>
      </c>
    </row>
    <row r="42" spans="1:4" x14ac:dyDescent="0.35">
      <c r="A42" s="12">
        <v>100114717</v>
      </c>
      <c r="B42" s="13" t="s">
        <v>406</v>
      </c>
      <c r="C42" s="13" t="s">
        <v>407</v>
      </c>
      <c r="D42" s="18" t="s">
        <v>1225</v>
      </c>
    </row>
    <row r="43" spans="1:4" x14ac:dyDescent="0.35">
      <c r="A43" s="12">
        <v>100114607</v>
      </c>
      <c r="B43" s="13" t="s">
        <v>410</v>
      </c>
      <c r="C43" s="13" t="s">
        <v>411</v>
      </c>
      <c r="D43" s="18" t="s">
        <v>1236</v>
      </c>
    </row>
    <row r="44" spans="1:4" x14ac:dyDescent="0.35">
      <c r="A44" s="12">
        <v>100119534</v>
      </c>
      <c r="B44" s="13" t="s">
        <v>432</v>
      </c>
      <c r="C44" s="13" t="s">
        <v>433</v>
      </c>
      <c r="D44" s="18" t="s">
        <v>1237</v>
      </c>
    </row>
    <row r="45" spans="1:4" x14ac:dyDescent="0.35">
      <c r="A45" s="12">
        <v>100114599</v>
      </c>
      <c r="B45" s="13" t="s">
        <v>438</v>
      </c>
      <c r="C45" s="13" t="s">
        <v>439</v>
      </c>
      <c r="D45" s="18" t="s">
        <v>1238</v>
      </c>
    </row>
    <row r="46" spans="1:4" x14ac:dyDescent="0.35">
      <c r="A46" s="12">
        <v>100114693</v>
      </c>
      <c r="B46" s="13" t="s">
        <v>445</v>
      </c>
      <c r="C46" s="13" t="s">
        <v>446</v>
      </c>
      <c r="D46" s="18" t="s">
        <v>1239</v>
      </c>
    </row>
    <row r="47" spans="1:4" x14ac:dyDescent="0.35">
      <c r="A47" s="12">
        <v>100111940</v>
      </c>
      <c r="B47" s="13" t="s">
        <v>450</v>
      </c>
      <c r="C47" s="13" t="s">
        <v>451</v>
      </c>
      <c r="D47" s="18" t="s">
        <v>1240</v>
      </c>
    </row>
    <row r="48" spans="1:4" x14ac:dyDescent="0.35">
      <c r="A48" s="12">
        <v>100118869</v>
      </c>
      <c r="B48" s="13" t="s">
        <v>454</v>
      </c>
      <c r="C48" s="13" t="s">
        <v>455</v>
      </c>
      <c r="D48" s="18" t="s">
        <v>1241</v>
      </c>
    </row>
    <row r="49" spans="1:13" x14ac:dyDescent="0.35">
      <c r="A49" s="12">
        <v>100108800</v>
      </c>
      <c r="B49" s="13" t="s">
        <v>459</v>
      </c>
      <c r="C49" s="13" t="s">
        <v>460</v>
      </c>
      <c r="D49" s="18" t="s">
        <v>1242</v>
      </c>
    </row>
    <row r="50" spans="1:13" x14ac:dyDescent="0.35">
      <c r="A50" s="12">
        <v>100108721</v>
      </c>
      <c r="B50" s="13" t="s">
        <v>465</v>
      </c>
      <c r="C50" s="13" t="s">
        <v>466</v>
      </c>
      <c r="D50" s="18" t="s">
        <v>1243</v>
      </c>
    </row>
    <row r="51" spans="1:13" x14ac:dyDescent="0.35">
      <c r="A51" s="12">
        <v>100108768</v>
      </c>
      <c r="B51" s="13" t="s">
        <v>471</v>
      </c>
      <c r="C51" s="13" t="s">
        <v>472</v>
      </c>
      <c r="D51" s="18" t="s">
        <v>1244</v>
      </c>
    </row>
    <row r="52" spans="1:13" x14ac:dyDescent="0.35">
      <c r="A52" s="12">
        <v>100108755</v>
      </c>
      <c r="B52" s="13" t="s">
        <v>477</v>
      </c>
      <c r="C52" s="13" t="s">
        <v>478</v>
      </c>
      <c r="D52" s="18" t="s">
        <v>1223</v>
      </c>
    </row>
    <row r="53" spans="1:13" x14ac:dyDescent="0.35">
      <c r="A53" s="12">
        <v>100118929</v>
      </c>
      <c r="B53" s="13" t="s">
        <v>481</v>
      </c>
      <c r="C53" s="13" t="s">
        <v>482</v>
      </c>
      <c r="D53" s="18" t="s">
        <v>1245</v>
      </c>
    </row>
    <row r="54" spans="1:13" x14ac:dyDescent="0.35">
      <c r="A54" s="12">
        <v>100114615</v>
      </c>
      <c r="B54" s="13" t="s">
        <v>486</v>
      </c>
      <c r="C54" s="13" t="s">
        <v>487</v>
      </c>
      <c r="D54" s="18" t="s">
        <v>1246</v>
      </c>
    </row>
    <row r="55" spans="1:13" x14ac:dyDescent="0.35">
      <c r="A55" s="12">
        <v>100108732</v>
      </c>
      <c r="B55" s="13" t="s">
        <v>495</v>
      </c>
      <c r="C55" s="13" t="s">
        <v>496</v>
      </c>
      <c r="D55" s="18" t="s">
        <v>1247</v>
      </c>
    </row>
    <row r="56" spans="1:13" x14ac:dyDescent="0.35">
      <c r="A56" s="12">
        <v>100119928</v>
      </c>
      <c r="B56" s="13" t="s">
        <v>511</v>
      </c>
      <c r="C56" s="13" t="s">
        <v>512</v>
      </c>
      <c r="D56" s="18" t="s">
        <v>1248</v>
      </c>
    </row>
    <row r="57" spans="1:13" x14ac:dyDescent="0.35">
      <c r="A57" s="12">
        <v>100113978</v>
      </c>
      <c r="B57" s="13" t="s">
        <v>521</v>
      </c>
      <c r="C57" s="13" t="s">
        <v>522</v>
      </c>
      <c r="D57" s="18" t="s">
        <v>1249</v>
      </c>
    </row>
    <row r="58" spans="1:13" x14ac:dyDescent="0.35">
      <c r="A58" s="12">
        <v>100111977</v>
      </c>
      <c r="B58" s="13" t="s">
        <v>541</v>
      </c>
      <c r="C58" s="13" t="s">
        <v>542</v>
      </c>
      <c r="D58" s="18" t="s">
        <v>1250</v>
      </c>
    </row>
    <row r="59" spans="1:13" x14ac:dyDescent="0.35">
      <c r="A59" s="12">
        <v>100113966</v>
      </c>
      <c r="B59" s="13" t="s">
        <v>545</v>
      </c>
      <c r="C59" s="13" t="s">
        <v>546</v>
      </c>
      <c r="D59" s="18" t="s">
        <v>1251</v>
      </c>
    </row>
    <row r="60" spans="1:13" x14ac:dyDescent="0.35">
      <c r="A60" s="12">
        <v>100108811</v>
      </c>
      <c r="B60" s="13" t="s">
        <v>555</v>
      </c>
      <c r="C60" s="13" t="s">
        <v>556</v>
      </c>
      <c r="D60" s="18" t="s">
        <v>1223</v>
      </c>
    </row>
    <row r="61" spans="1:13" x14ac:dyDescent="0.35">
      <c r="A61" s="12">
        <v>100108704</v>
      </c>
      <c r="B61" s="13" t="s">
        <v>575</v>
      </c>
      <c r="C61" s="13" t="s">
        <v>576</v>
      </c>
      <c r="D61" s="18" t="s">
        <v>1251</v>
      </c>
    </row>
    <row r="62" spans="1:13" x14ac:dyDescent="0.35">
      <c r="A62" s="12">
        <v>100117529</v>
      </c>
      <c r="B62" s="13" t="s">
        <v>595</v>
      </c>
      <c r="C62" s="13" t="s">
        <v>596</v>
      </c>
      <c r="D62" s="18" t="s">
        <v>1061</v>
      </c>
      <c r="M62" t="s">
        <v>1266</v>
      </c>
    </row>
    <row r="63" spans="1:13" x14ac:dyDescent="0.35">
      <c r="A63" s="12">
        <v>100114317</v>
      </c>
      <c r="B63" s="13" t="s">
        <v>599</v>
      </c>
      <c r="C63" s="13" t="s">
        <v>600</v>
      </c>
      <c r="D63" s="18" t="s">
        <v>1252</v>
      </c>
    </row>
    <row r="64" spans="1:13" x14ac:dyDescent="0.35">
      <c r="A64" s="12">
        <v>100115027</v>
      </c>
      <c r="B64" s="13" t="s">
        <v>617</v>
      </c>
      <c r="C64" s="13" t="s">
        <v>618</v>
      </c>
      <c r="D64" s="18" t="s">
        <v>1253</v>
      </c>
    </row>
    <row r="65" spans="1:4" x14ac:dyDescent="0.35">
      <c r="A65" s="12">
        <v>100108767</v>
      </c>
      <c r="B65" s="13" t="s">
        <v>635</v>
      </c>
      <c r="C65" s="13" t="s">
        <v>636</v>
      </c>
      <c r="D65" s="18" t="s">
        <v>1254</v>
      </c>
    </row>
    <row r="66" spans="1:4" x14ac:dyDescent="0.35">
      <c r="A66" s="12">
        <v>100114076</v>
      </c>
      <c r="B66" s="13" t="s">
        <v>641</v>
      </c>
      <c r="C66" s="13" t="s">
        <v>642</v>
      </c>
      <c r="D66" s="18" t="s">
        <v>1255</v>
      </c>
    </row>
    <row r="67" spans="1:4" x14ac:dyDescent="0.35">
      <c r="A67" s="12">
        <v>100115019</v>
      </c>
      <c r="B67" s="13" t="s">
        <v>649</v>
      </c>
      <c r="C67" s="13" t="s">
        <v>650</v>
      </c>
      <c r="D67" s="18" t="s">
        <v>1226</v>
      </c>
    </row>
    <row r="68" spans="1:4" x14ac:dyDescent="0.35">
      <c r="A68" s="12">
        <v>100115026</v>
      </c>
      <c r="B68" s="13" t="s">
        <v>656</v>
      </c>
      <c r="C68" s="13" t="s">
        <v>657</v>
      </c>
      <c r="D68" s="18" t="s">
        <v>1256</v>
      </c>
    </row>
    <row r="69" spans="1:4" x14ac:dyDescent="0.35">
      <c r="A69" s="12">
        <v>100117441</v>
      </c>
      <c r="B69" s="13" t="s">
        <v>664</v>
      </c>
      <c r="C69" s="13" t="s">
        <v>665</v>
      </c>
      <c r="D69" s="18" t="s">
        <v>1257</v>
      </c>
    </row>
    <row r="70" spans="1:4" x14ac:dyDescent="0.35">
      <c r="A70" s="12">
        <v>100117448</v>
      </c>
      <c r="B70" s="13" t="s">
        <v>672</v>
      </c>
      <c r="C70" s="13" t="s">
        <v>673</v>
      </c>
      <c r="D70" s="18" t="s">
        <v>1237</v>
      </c>
    </row>
    <row r="71" spans="1:4" x14ac:dyDescent="0.35">
      <c r="A71" s="12">
        <v>100114309</v>
      </c>
      <c r="B71" s="13" t="s">
        <v>684</v>
      </c>
      <c r="C71" s="13" t="s">
        <v>685</v>
      </c>
      <c r="D71" s="18" t="s">
        <v>1258</v>
      </c>
    </row>
    <row r="72" spans="1:4" x14ac:dyDescent="0.35">
      <c r="A72" s="12">
        <v>100111923</v>
      </c>
      <c r="B72" s="13" t="s">
        <v>690</v>
      </c>
      <c r="C72" s="13" t="s">
        <v>691</v>
      </c>
      <c r="D72" s="18" t="s">
        <v>1259</v>
      </c>
    </row>
    <row r="73" spans="1:4" x14ac:dyDescent="0.35">
      <c r="A73" s="12">
        <v>100114550</v>
      </c>
      <c r="B73" s="13" t="s">
        <v>695</v>
      </c>
      <c r="C73" s="13" t="s">
        <v>696</v>
      </c>
      <c r="D73" s="18" t="s">
        <v>1260</v>
      </c>
    </row>
    <row r="74" spans="1:4" x14ac:dyDescent="0.35">
      <c r="A74" s="12">
        <v>100108960</v>
      </c>
      <c r="B74" s="13" t="s">
        <v>717</v>
      </c>
      <c r="C74" s="13" t="s">
        <v>718</v>
      </c>
      <c r="D74" s="18" t="s">
        <v>1261</v>
      </c>
    </row>
    <row r="75" spans="1:4" x14ac:dyDescent="0.35">
      <c r="A75" s="12">
        <v>100108790</v>
      </c>
      <c r="B75" s="13" t="s">
        <v>732</v>
      </c>
      <c r="C75" s="13" t="s">
        <v>733</v>
      </c>
      <c r="D75" s="18" t="s">
        <v>1215</v>
      </c>
    </row>
    <row r="76" spans="1:4" x14ac:dyDescent="0.35">
      <c r="A76" s="12">
        <v>100111613</v>
      </c>
      <c r="B76" s="13" t="s">
        <v>741</v>
      </c>
      <c r="C76" s="13" t="s">
        <v>742</v>
      </c>
      <c r="D76" s="18" t="s">
        <v>1223</v>
      </c>
    </row>
    <row r="77" spans="1:4" x14ac:dyDescent="0.35">
      <c r="A77" s="12">
        <v>100113203</v>
      </c>
      <c r="B77" s="13" t="s">
        <v>759</v>
      </c>
      <c r="C77" s="13" t="s">
        <v>760</v>
      </c>
      <c r="D77" s="18" t="s">
        <v>1262</v>
      </c>
    </row>
    <row r="78" spans="1:4" x14ac:dyDescent="0.35">
      <c r="A78" s="12">
        <v>100115148</v>
      </c>
      <c r="B78" s="13" t="s">
        <v>763</v>
      </c>
      <c r="C78" s="13" t="s">
        <v>764</v>
      </c>
      <c r="D78" s="18" t="s">
        <v>1263</v>
      </c>
    </row>
    <row r="79" spans="1:4" x14ac:dyDescent="0.35">
      <c r="A79" s="12">
        <v>100111939</v>
      </c>
      <c r="B79" s="13" t="s">
        <v>770</v>
      </c>
      <c r="C79" s="13" t="s">
        <v>771</v>
      </c>
      <c r="D79" s="18" t="s">
        <v>1264</v>
      </c>
    </row>
    <row r="80" spans="1:4" x14ac:dyDescent="0.35">
      <c r="A80" s="12">
        <v>100113894</v>
      </c>
      <c r="B80" s="13" t="s">
        <v>775</v>
      </c>
      <c r="C80" s="13" t="s">
        <v>776</v>
      </c>
      <c r="D80" s="18" t="s">
        <v>1265</v>
      </c>
    </row>
    <row r="81" spans="1:4" x14ac:dyDescent="0.35">
      <c r="A81" s="42"/>
      <c r="B81" s="18"/>
      <c r="C81" s="18"/>
      <c r="D81" s="18"/>
    </row>
    <row r="82" spans="1:4" x14ac:dyDescent="0.35">
      <c r="A82"/>
    </row>
    <row r="83" spans="1:4" x14ac:dyDescent="0.35">
      <c r="A83"/>
    </row>
    <row r="84" spans="1:4" x14ac:dyDescent="0.35">
      <c r="A84"/>
    </row>
    <row r="85" spans="1:4" x14ac:dyDescent="0.35">
      <c r="A85"/>
    </row>
    <row r="86" spans="1:4" x14ac:dyDescent="0.35">
      <c r="A86"/>
    </row>
    <row r="87" spans="1:4" x14ac:dyDescent="0.35">
      <c r="A87"/>
    </row>
    <row r="88" spans="1:4" x14ac:dyDescent="0.35">
      <c r="A88"/>
    </row>
    <row r="89" spans="1:4" x14ac:dyDescent="0.35">
      <c r="A89"/>
    </row>
    <row r="90" spans="1:4" x14ac:dyDescent="0.35">
      <c r="A90"/>
    </row>
    <row r="91" spans="1:4" x14ac:dyDescent="0.35">
      <c r="A91"/>
    </row>
    <row r="92" spans="1:4" x14ac:dyDescent="0.35">
      <c r="A92"/>
    </row>
    <row r="93" spans="1:4" x14ac:dyDescent="0.35">
      <c r="A93"/>
    </row>
    <row r="94" spans="1:4" x14ac:dyDescent="0.35">
      <c r="A94"/>
    </row>
    <row r="95" spans="1:4" x14ac:dyDescent="0.35">
      <c r="A95"/>
    </row>
    <row r="96" spans="1:4" x14ac:dyDescent="0.35">
      <c r="A96"/>
    </row>
    <row r="97" spans="1:1" x14ac:dyDescent="0.35">
      <c r="A97"/>
    </row>
    <row r="98" spans="1:1" x14ac:dyDescent="0.35">
      <c r="A98"/>
    </row>
    <row r="99" spans="1:1" x14ac:dyDescent="0.35">
      <c r="A99"/>
    </row>
    <row r="100" spans="1:1" x14ac:dyDescent="0.35">
      <c r="A100"/>
    </row>
    <row r="101" spans="1:1" x14ac:dyDescent="0.35">
      <c r="A101"/>
    </row>
    <row r="102" spans="1:1" x14ac:dyDescent="0.35">
      <c r="A102"/>
    </row>
    <row r="103" spans="1:1" x14ac:dyDescent="0.35">
      <c r="A103"/>
    </row>
    <row r="104" spans="1:1" x14ac:dyDescent="0.35">
      <c r="A104"/>
    </row>
    <row r="105" spans="1:1" x14ac:dyDescent="0.35">
      <c r="A105"/>
    </row>
    <row r="106" spans="1:1" x14ac:dyDescent="0.35">
      <c r="A106"/>
    </row>
    <row r="107" spans="1:1" x14ac:dyDescent="0.35">
      <c r="A107"/>
    </row>
    <row r="108" spans="1:1" x14ac:dyDescent="0.35">
      <c r="A108"/>
    </row>
    <row r="109" spans="1:1" x14ac:dyDescent="0.35">
      <c r="A109"/>
    </row>
    <row r="110" spans="1:1" x14ac:dyDescent="0.35">
      <c r="A110"/>
    </row>
    <row r="111" spans="1:1" x14ac:dyDescent="0.35">
      <c r="A111"/>
    </row>
    <row r="112" spans="1:1" x14ac:dyDescent="0.35">
      <c r="A112"/>
    </row>
    <row r="113" spans="1:1" x14ac:dyDescent="0.35">
      <c r="A113"/>
    </row>
    <row r="114" spans="1:1" x14ac:dyDescent="0.35">
      <c r="A114"/>
    </row>
    <row r="115" spans="1:1" x14ac:dyDescent="0.35">
      <c r="A115"/>
    </row>
    <row r="116" spans="1:1" x14ac:dyDescent="0.35">
      <c r="A116"/>
    </row>
    <row r="117" spans="1:1" x14ac:dyDescent="0.35">
      <c r="A117"/>
    </row>
    <row r="118" spans="1:1" x14ac:dyDescent="0.35">
      <c r="A118"/>
    </row>
    <row r="119" spans="1:1" x14ac:dyDescent="0.35">
      <c r="A119"/>
    </row>
    <row r="120" spans="1:1" x14ac:dyDescent="0.35">
      <c r="A120"/>
    </row>
    <row r="121" spans="1:1" x14ac:dyDescent="0.35">
      <c r="A121"/>
    </row>
    <row r="122" spans="1:1" x14ac:dyDescent="0.35">
      <c r="A122"/>
    </row>
    <row r="123" spans="1:1" x14ac:dyDescent="0.35">
      <c r="A123"/>
    </row>
    <row r="124" spans="1:1" x14ac:dyDescent="0.35">
      <c r="A124"/>
    </row>
    <row r="125" spans="1:1" x14ac:dyDescent="0.35">
      <c r="A125"/>
    </row>
    <row r="126" spans="1:1" x14ac:dyDescent="0.35">
      <c r="A126"/>
    </row>
    <row r="127" spans="1:1" x14ac:dyDescent="0.35">
      <c r="A127"/>
    </row>
    <row r="128" spans="1:1" x14ac:dyDescent="0.35">
      <c r="A128"/>
    </row>
    <row r="129" spans="1:1" x14ac:dyDescent="0.35">
      <c r="A129"/>
    </row>
    <row r="130" spans="1:1" x14ac:dyDescent="0.35">
      <c r="A130"/>
    </row>
    <row r="131" spans="1:1" x14ac:dyDescent="0.35">
      <c r="A131"/>
    </row>
    <row r="132" spans="1:1" x14ac:dyDescent="0.35">
      <c r="A132"/>
    </row>
    <row r="133" spans="1:1" x14ac:dyDescent="0.35">
      <c r="A133"/>
    </row>
    <row r="134" spans="1:1" x14ac:dyDescent="0.35">
      <c r="A134"/>
    </row>
    <row r="135" spans="1:1" x14ac:dyDescent="0.35">
      <c r="A135"/>
    </row>
    <row r="136" spans="1:1" x14ac:dyDescent="0.35">
      <c r="A136"/>
    </row>
    <row r="137" spans="1:1" x14ac:dyDescent="0.35">
      <c r="A137"/>
    </row>
    <row r="138" spans="1:1" x14ac:dyDescent="0.35">
      <c r="A138"/>
    </row>
    <row r="139" spans="1:1" x14ac:dyDescent="0.35">
      <c r="A139"/>
    </row>
    <row r="140" spans="1:1" x14ac:dyDescent="0.35">
      <c r="A140"/>
    </row>
    <row r="141" spans="1:1" x14ac:dyDescent="0.35">
      <c r="A141"/>
    </row>
    <row r="142" spans="1:1" x14ac:dyDescent="0.35">
      <c r="A142"/>
    </row>
    <row r="143" spans="1:1" x14ac:dyDescent="0.35">
      <c r="A143"/>
    </row>
    <row r="144" spans="1:1" x14ac:dyDescent="0.35">
      <c r="A144"/>
    </row>
    <row r="145" spans="1:1" x14ac:dyDescent="0.35">
      <c r="A145"/>
    </row>
    <row r="146" spans="1:1" x14ac:dyDescent="0.35">
      <c r="A146"/>
    </row>
    <row r="147" spans="1:1" x14ac:dyDescent="0.35">
      <c r="A147"/>
    </row>
    <row r="148" spans="1:1" x14ac:dyDescent="0.35">
      <c r="A148"/>
    </row>
    <row r="149" spans="1:1" x14ac:dyDescent="0.35">
      <c r="A149"/>
    </row>
    <row r="150" spans="1:1" x14ac:dyDescent="0.35">
      <c r="A150"/>
    </row>
    <row r="151" spans="1:1" x14ac:dyDescent="0.35">
      <c r="A151"/>
    </row>
    <row r="152" spans="1:1" x14ac:dyDescent="0.35">
      <c r="A152"/>
    </row>
    <row r="153" spans="1:1" x14ac:dyDescent="0.35">
      <c r="A153"/>
    </row>
    <row r="154" spans="1:1" x14ac:dyDescent="0.35">
      <c r="A154"/>
    </row>
    <row r="155" spans="1:1" x14ac:dyDescent="0.35">
      <c r="A155"/>
    </row>
    <row r="156" spans="1:1" x14ac:dyDescent="0.35">
      <c r="A156"/>
    </row>
    <row r="157" spans="1:1" x14ac:dyDescent="0.35">
      <c r="A157"/>
    </row>
    <row r="158" spans="1:1" x14ac:dyDescent="0.35">
      <c r="A158"/>
    </row>
    <row r="159" spans="1:1" x14ac:dyDescent="0.35">
      <c r="A159"/>
    </row>
    <row r="160" spans="1:1" x14ac:dyDescent="0.35">
      <c r="A160"/>
    </row>
    <row r="161" spans="1:1" x14ac:dyDescent="0.35">
      <c r="A161"/>
    </row>
    <row r="162" spans="1:1" x14ac:dyDescent="0.35">
      <c r="A162"/>
    </row>
    <row r="163" spans="1:1" x14ac:dyDescent="0.35">
      <c r="A163"/>
    </row>
    <row r="164" spans="1:1" x14ac:dyDescent="0.35">
      <c r="A164"/>
    </row>
    <row r="165" spans="1:1" x14ac:dyDescent="0.35">
      <c r="A165"/>
    </row>
    <row r="166" spans="1:1" x14ac:dyDescent="0.35">
      <c r="A166"/>
    </row>
    <row r="167" spans="1:1" x14ac:dyDescent="0.35">
      <c r="A167"/>
    </row>
    <row r="168" spans="1:1" x14ac:dyDescent="0.35">
      <c r="A168"/>
    </row>
    <row r="169" spans="1:1" x14ac:dyDescent="0.35">
      <c r="A169"/>
    </row>
    <row r="170" spans="1:1" x14ac:dyDescent="0.35">
      <c r="A170"/>
    </row>
    <row r="171" spans="1:1" x14ac:dyDescent="0.35">
      <c r="A171"/>
    </row>
    <row r="172" spans="1:1" x14ac:dyDescent="0.35">
      <c r="A172"/>
    </row>
    <row r="173" spans="1:1" x14ac:dyDescent="0.35">
      <c r="A173"/>
    </row>
    <row r="174" spans="1:1" x14ac:dyDescent="0.35">
      <c r="A174"/>
    </row>
    <row r="175" spans="1:1" x14ac:dyDescent="0.35">
      <c r="A175"/>
    </row>
    <row r="176" spans="1:1" x14ac:dyDescent="0.35">
      <c r="A176"/>
    </row>
    <row r="177" spans="1:1" x14ac:dyDescent="0.35">
      <c r="A177"/>
    </row>
    <row r="178" spans="1:1" x14ac:dyDescent="0.35">
      <c r="A178"/>
    </row>
    <row r="179" spans="1:1" x14ac:dyDescent="0.35">
      <c r="A179"/>
    </row>
    <row r="180" spans="1:1" x14ac:dyDescent="0.35">
      <c r="A180"/>
    </row>
    <row r="181" spans="1:1" x14ac:dyDescent="0.35">
      <c r="A181"/>
    </row>
    <row r="182" spans="1:1" x14ac:dyDescent="0.35">
      <c r="A182"/>
    </row>
    <row r="183" spans="1:1" x14ac:dyDescent="0.35">
      <c r="A183"/>
    </row>
    <row r="184" spans="1:1" x14ac:dyDescent="0.35">
      <c r="A184"/>
    </row>
    <row r="185" spans="1:1" x14ac:dyDescent="0.35">
      <c r="A185"/>
    </row>
    <row r="186" spans="1:1" x14ac:dyDescent="0.35">
      <c r="A186"/>
    </row>
    <row r="187" spans="1:1" x14ac:dyDescent="0.35">
      <c r="A187"/>
    </row>
    <row r="188" spans="1:1" x14ac:dyDescent="0.35">
      <c r="A188"/>
    </row>
    <row r="189" spans="1:1" x14ac:dyDescent="0.35">
      <c r="A189"/>
    </row>
    <row r="190" spans="1:1" x14ac:dyDescent="0.35">
      <c r="A190"/>
    </row>
    <row r="191" spans="1:1" x14ac:dyDescent="0.35">
      <c r="A191"/>
    </row>
    <row r="192" spans="1:1" x14ac:dyDescent="0.35">
      <c r="A192"/>
    </row>
    <row r="193" spans="1:1" x14ac:dyDescent="0.35">
      <c r="A193"/>
    </row>
    <row r="194" spans="1:1" x14ac:dyDescent="0.35">
      <c r="A194"/>
    </row>
    <row r="195" spans="1:1" x14ac:dyDescent="0.35">
      <c r="A195"/>
    </row>
    <row r="196" spans="1:1" x14ac:dyDescent="0.35">
      <c r="A196"/>
    </row>
    <row r="197" spans="1:1" x14ac:dyDescent="0.35">
      <c r="A197"/>
    </row>
    <row r="198" spans="1:1" x14ac:dyDescent="0.35">
      <c r="A198"/>
    </row>
    <row r="199" spans="1:1" x14ac:dyDescent="0.35">
      <c r="A199"/>
    </row>
    <row r="200" spans="1:1" x14ac:dyDescent="0.35">
      <c r="A200"/>
    </row>
    <row r="201" spans="1:1" x14ac:dyDescent="0.35">
      <c r="A201"/>
    </row>
    <row r="202" spans="1:1" x14ac:dyDescent="0.35">
      <c r="A202"/>
    </row>
    <row r="203" spans="1:1" x14ac:dyDescent="0.35">
      <c r="A203"/>
    </row>
    <row r="204" spans="1:1" x14ac:dyDescent="0.35">
      <c r="A204"/>
    </row>
    <row r="205" spans="1:1" x14ac:dyDescent="0.35">
      <c r="A205"/>
    </row>
    <row r="206" spans="1:1" x14ac:dyDescent="0.35">
      <c r="A206"/>
    </row>
    <row r="207" spans="1:1" x14ac:dyDescent="0.35">
      <c r="A207"/>
    </row>
    <row r="208" spans="1:1" x14ac:dyDescent="0.35">
      <c r="A208"/>
    </row>
    <row r="209" spans="1:1" x14ac:dyDescent="0.35">
      <c r="A209"/>
    </row>
    <row r="210" spans="1:1" x14ac:dyDescent="0.35">
      <c r="A210"/>
    </row>
    <row r="211" spans="1:1" x14ac:dyDescent="0.35">
      <c r="A211"/>
    </row>
    <row r="212" spans="1:1" x14ac:dyDescent="0.35">
      <c r="A212"/>
    </row>
    <row r="213" spans="1:1" x14ac:dyDescent="0.35">
      <c r="A213"/>
    </row>
    <row r="214" spans="1:1" x14ac:dyDescent="0.35">
      <c r="A214"/>
    </row>
    <row r="215" spans="1:1" x14ac:dyDescent="0.35">
      <c r="A215"/>
    </row>
    <row r="216" spans="1:1" x14ac:dyDescent="0.35">
      <c r="A216"/>
    </row>
    <row r="217" spans="1:1" x14ac:dyDescent="0.35">
      <c r="A217"/>
    </row>
    <row r="218" spans="1:1" x14ac:dyDescent="0.35">
      <c r="A218"/>
    </row>
    <row r="219" spans="1:1" x14ac:dyDescent="0.35">
      <c r="A219"/>
    </row>
    <row r="220" spans="1:1" x14ac:dyDescent="0.35">
      <c r="A220"/>
    </row>
    <row r="221" spans="1:1" x14ac:dyDescent="0.35">
      <c r="A221"/>
    </row>
    <row r="222" spans="1:1" x14ac:dyDescent="0.35">
      <c r="A222"/>
    </row>
    <row r="223" spans="1:1" x14ac:dyDescent="0.35">
      <c r="A223"/>
    </row>
    <row r="224" spans="1:1" x14ac:dyDescent="0.35">
      <c r="A224"/>
    </row>
    <row r="225" spans="1:1" x14ac:dyDescent="0.35">
      <c r="A225"/>
    </row>
    <row r="226" spans="1:1" x14ac:dyDescent="0.35">
      <c r="A226"/>
    </row>
    <row r="227" spans="1:1" x14ac:dyDescent="0.35">
      <c r="A227"/>
    </row>
    <row r="228" spans="1:1" x14ac:dyDescent="0.35">
      <c r="A228"/>
    </row>
    <row r="229" spans="1:1" x14ac:dyDescent="0.35">
      <c r="A229"/>
    </row>
    <row r="230" spans="1:1" x14ac:dyDescent="0.35">
      <c r="A230"/>
    </row>
    <row r="231" spans="1:1" x14ac:dyDescent="0.35">
      <c r="A231"/>
    </row>
    <row r="232" spans="1:1" x14ac:dyDescent="0.35">
      <c r="A232"/>
    </row>
    <row r="233" spans="1:1" x14ac:dyDescent="0.35">
      <c r="A233"/>
    </row>
    <row r="234" spans="1:1" x14ac:dyDescent="0.35">
      <c r="A234"/>
    </row>
    <row r="235" spans="1:1" x14ac:dyDescent="0.35">
      <c r="A235"/>
    </row>
    <row r="236" spans="1:1" x14ac:dyDescent="0.35">
      <c r="A236"/>
    </row>
    <row r="237" spans="1:1" x14ac:dyDescent="0.35">
      <c r="A237"/>
    </row>
    <row r="238" spans="1:1" x14ac:dyDescent="0.35">
      <c r="A238"/>
    </row>
    <row r="239" spans="1:1" x14ac:dyDescent="0.35">
      <c r="A239"/>
    </row>
    <row r="240" spans="1:1" x14ac:dyDescent="0.35">
      <c r="A240"/>
    </row>
    <row r="241" spans="1:1" x14ac:dyDescent="0.35">
      <c r="A241"/>
    </row>
    <row r="242" spans="1:1" x14ac:dyDescent="0.35">
      <c r="A242"/>
    </row>
    <row r="243" spans="1:1" x14ac:dyDescent="0.35">
      <c r="A243"/>
    </row>
    <row r="244" spans="1:1" x14ac:dyDescent="0.35">
      <c r="A244"/>
    </row>
    <row r="245" spans="1:1" x14ac:dyDescent="0.35">
      <c r="A245"/>
    </row>
    <row r="246" spans="1:1" x14ac:dyDescent="0.35">
      <c r="A246"/>
    </row>
    <row r="247" spans="1:1" x14ac:dyDescent="0.35">
      <c r="A247"/>
    </row>
    <row r="248" spans="1:1" x14ac:dyDescent="0.35">
      <c r="A248"/>
    </row>
    <row r="249" spans="1:1" x14ac:dyDescent="0.35">
      <c r="A249"/>
    </row>
    <row r="250" spans="1:1" x14ac:dyDescent="0.35">
      <c r="A250"/>
    </row>
    <row r="251" spans="1:1" x14ac:dyDescent="0.35">
      <c r="A251"/>
    </row>
    <row r="252" spans="1:1" x14ac:dyDescent="0.35">
      <c r="A252"/>
    </row>
    <row r="253" spans="1:1" x14ac:dyDescent="0.35">
      <c r="A253"/>
    </row>
    <row r="254" spans="1:1" x14ac:dyDescent="0.35">
      <c r="A254"/>
    </row>
    <row r="255" spans="1:1" x14ac:dyDescent="0.35">
      <c r="A255"/>
    </row>
    <row r="256" spans="1:1" x14ac:dyDescent="0.35">
      <c r="A256"/>
    </row>
    <row r="257" spans="1:1" x14ac:dyDescent="0.35">
      <c r="A257"/>
    </row>
    <row r="258" spans="1:1" x14ac:dyDescent="0.35">
      <c r="A258"/>
    </row>
    <row r="259" spans="1:1" x14ac:dyDescent="0.35">
      <c r="A259"/>
    </row>
    <row r="260" spans="1:1" x14ac:dyDescent="0.35">
      <c r="A260"/>
    </row>
    <row r="261" spans="1:1" x14ac:dyDescent="0.35">
      <c r="A261"/>
    </row>
    <row r="262" spans="1:1" x14ac:dyDescent="0.35">
      <c r="A262"/>
    </row>
    <row r="263" spans="1:1" x14ac:dyDescent="0.35">
      <c r="A263"/>
    </row>
    <row r="264" spans="1:1" x14ac:dyDescent="0.35">
      <c r="A264"/>
    </row>
    <row r="265" spans="1:1" x14ac:dyDescent="0.35">
      <c r="A265"/>
    </row>
    <row r="266" spans="1:1" x14ac:dyDescent="0.35">
      <c r="A266"/>
    </row>
    <row r="267" spans="1:1" x14ac:dyDescent="0.35">
      <c r="A267"/>
    </row>
    <row r="268" spans="1:1" x14ac:dyDescent="0.35">
      <c r="A268"/>
    </row>
    <row r="269" spans="1:1" x14ac:dyDescent="0.35">
      <c r="A269"/>
    </row>
    <row r="270" spans="1:1" x14ac:dyDescent="0.35">
      <c r="A270"/>
    </row>
    <row r="271" spans="1:1" x14ac:dyDescent="0.35">
      <c r="A271"/>
    </row>
    <row r="272" spans="1:1" x14ac:dyDescent="0.35">
      <c r="A272"/>
    </row>
    <row r="273" spans="1:1" x14ac:dyDescent="0.35">
      <c r="A273"/>
    </row>
    <row r="274" spans="1:1" x14ac:dyDescent="0.35">
      <c r="A274"/>
    </row>
    <row r="275" spans="1:1" x14ac:dyDescent="0.35">
      <c r="A275"/>
    </row>
    <row r="276" spans="1:1" x14ac:dyDescent="0.35">
      <c r="A276"/>
    </row>
    <row r="277" spans="1:1" x14ac:dyDescent="0.35">
      <c r="A277"/>
    </row>
    <row r="278" spans="1:1" x14ac:dyDescent="0.35">
      <c r="A278"/>
    </row>
    <row r="279" spans="1:1" x14ac:dyDescent="0.35">
      <c r="A279"/>
    </row>
    <row r="280" spans="1:1" x14ac:dyDescent="0.35">
      <c r="A280"/>
    </row>
    <row r="281" spans="1:1" x14ac:dyDescent="0.35">
      <c r="A281"/>
    </row>
    <row r="282" spans="1:1" x14ac:dyDescent="0.35">
      <c r="A282"/>
    </row>
    <row r="283" spans="1:1" x14ac:dyDescent="0.35">
      <c r="A283"/>
    </row>
    <row r="284" spans="1:1" x14ac:dyDescent="0.35">
      <c r="A284"/>
    </row>
    <row r="285" spans="1:1" x14ac:dyDescent="0.35">
      <c r="A285"/>
    </row>
    <row r="286" spans="1:1" x14ac:dyDescent="0.35">
      <c r="A286"/>
    </row>
    <row r="287" spans="1:1" x14ac:dyDescent="0.35">
      <c r="A287"/>
    </row>
    <row r="288" spans="1:1" x14ac:dyDescent="0.35">
      <c r="A288"/>
    </row>
    <row r="289" spans="1:1" x14ac:dyDescent="0.35">
      <c r="A289"/>
    </row>
    <row r="290" spans="1:1" x14ac:dyDescent="0.35">
      <c r="A290"/>
    </row>
    <row r="291" spans="1:1" x14ac:dyDescent="0.35">
      <c r="A291"/>
    </row>
    <row r="292" spans="1:1" x14ac:dyDescent="0.35">
      <c r="A292"/>
    </row>
    <row r="293" spans="1:1" x14ac:dyDescent="0.35">
      <c r="A293"/>
    </row>
    <row r="294" spans="1:1" x14ac:dyDescent="0.35">
      <c r="A294"/>
    </row>
    <row r="295" spans="1:1" x14ac:dyDescent="0.35">
      <c r="A295"/>
    </row>
    <row r="296" spans="1:1" x14ac:dyDescent="0.35">
      <c r="A296"/>
    </row>
    <row r="297" spans="1:1" x14ac:dyDescent="0.35">
      <c r="A297"/>
    </row>
    <row r="298" spans="1:1" x14ac:dyDescent="0.35">
      <c r="A298"/>
    </row>
    <row r="299" spans="1:1" x14ac:dyDescent="0.35">
      <c r="A299"/>
    </row>
    <row r="300" spans="1:1" x14ac:dyDescent="0.35">
      <c r="A300"/>
    </row>
    <row r="301" spans="1:1" x14ac:dyDescent="0.35">
      <c r="A301"/>
    </row>
    <row r="302" spans="1:1" x14ac:dyDescent="0.35">
      <c r="A302"/>
    </row>
    <row r="303" spans="1:1" x14ac:dyDescent="0.35">
      <c r="A303"/>
    </row>
    <row r="304" spans="1:1" x14ac:dyDescent="0.35">
      <c r="A304"/>
    </row>
    <row r="305" spans="1:1" x14ac:dyDescent="0.35">
      <c r="A305"/>
    </row>
    <row r="306" spans="1:1" x14ac:dyDescent="0.35">
      <c r="A306"/>
    </row>
    <row r="307" spans="1:1" x14ac:dyDescent="0.35">
      <c r="A307"/>
    </row>
    <row r="308" spans="1:1" x14ac:dyDescent="0.35">
      <c r="A308"/>
    </row>
    <row r="309" spans="1:1" x14ac:dyDescent="0.35">
      <c r="A309"/>
    </row>
    <row r="310" spans="1:1" x14ac:dyDescent="0.35">
      <c r="A310"/>
    </row>
    <row r="311" spans="1:1" x14ac:dyDescent="0.35">
      <c r="A311"/>
    </row>
    <row r="312" spans="1:1" x14ac:dyDescent="0.35">
      <c r="A312"/>
    </row>
    <row r="313" spans="1:1" x14ac:dyDescent="0.35">
      <c r="A313"/>
    </row>
    <row r="314" spans="1:1" x14ac:dyDescent="0.35">
      <c r="A314"/>
    </row>
    <row r="315" spans="1:1" x14ac:dyDescent="0.35">
      <c r="A315"/>
    </row>
    <row r="316" spans="1:1" x14ac:dyDescent="0.35">
      <c r="A316"/>
    </row>
    <row r="317" spans="1:1" x14ac:dyDescent="0.35">
      <c r="A317"/>
    </row>
    <row r="318" spans="1:1" x14ac:dyDescent="0.35">
      <c r="A318"/>
    </row>
    <row r="319" spans="1:1" x14ac:dyDescent="0.35">
      <c r="A319"/>
    </row>
    <row r="320" spans="1:1" x14ac:dyDescent="0.35">
      <c r="A320"/>
    </row>
    <row r="321" spans="1:1" x14ac:dyDescent="0.35">
      <c r="A321"/>
    </row>
    <row r="322" spans="1:1" x14ac:dyDescent="0.35">
      <c r="A322"/>
    </row>
    <row r="323" spans="1:1" x14ac:dyDescent="0.35">
      <c r="A323"/>
    </row>
    <row r="324" spans="1:1" x14ac:dyDescent="0.35">
      <c r="A324"/>
    </row>
    <row r="325" spans="1:1" x14ac:dyDescent="0.35">
      <c r="A325"/>
    </row>
    <row r="326" spans="1:1" x14ac:dyDescent="0.35">
      <c r="A326"/>
    </row>
    <row r="327" spans="1:1" x14ac:dyDescent="0.35">
      <c r="A327"/>
    </row>
    <row r="328" spans="1:1" x14ac:dyDescent="0.35">
      <c r="A328"/>
    </row>
    <row r="329" spans="1:1" x14ac:dyDescent="0.35">
      <c r="A329"/>
    </row>
    <row r="330" spans="1:1" x14ac:dyDescent="0.35">
      <c r="A330"/>
    </row>
    <row r="331" spans="1:1" x14ac:dyDescent="0.35">
      <c r="A331"/>
    </row>
    <row r="332" spans="1:1" x14ac:dyDescent="0.35">
      <c r="A332"/>
    </row>
    <row r="333" spans="1:1" x14ac:dyDescent="0.35">
      <c r="A333"/>
    </row>
    <row r="334" spans="1:1" x14ac:dyDescent="0.35">
      <c r="A334"/>
    </row>
    <row r="335" spans="1:1" x14ac:dyDescent="0.35">
      <c r="A335"/>
    </row>
    <row r="336" spans="1:1" x14ac:dyDescent="0.35">
      <c r="A336"/>
    </row>
    <row r="337" spans="1:1" x14ac:dyDescent="0.35">
      <c r="A337"/>
    </row>
    <row r="338" spans="1:1" x14ac:dyDescent="0.35">
      <c r="A338"/>
    </row>
    <row r="339" spans="1:1" x14ac:dyDescent="0.35">
      <c r="A339"/>
    </row>
    <row r="340" spans="1:1" x14ac:dyDescent="0.35">
      <c r="A340"/>
    </row>
    <row r="341" spans="1:1" x14ac:dyDescent="0.35">
      <c r="A341"/>
    </row>
    <row r="342" spans="1:1" x14ac:dyDescent="0.35">
      <c r="A342"/>
    </row>
    <row r="343" spans="1:1" x14ac:dyDescent="0.35">
      <c r="A343"/>
    </row>
    <row r="344" spans="1:1" x14ac:dyDescent="0.35">
      <c r="A344"/>
    </row>
    <row r="345" spans="1:1" x14ac:dyDescent="0.35">
      <c r="A345"/>
    </row>
    <row r="346" spans="1:1" x14ac:dyDescent="0.35">
      <c r="A346"/>
    </row>
    <row r="347" spans="1:1" x14ac:dyDescent="0.35">
      <c r="A347"/>
    </row>
    <row r="348" spans="1:1" x14ac:dyDescent="0.35">
      <c r="A348"/>
    </row>
    <row r="349" spans="1:1" x14ac:dyDescent="0.35">
      <c r="A349"/>
    </row>
    <row r="350" spans="1:1" x14ac:dyDescent="0.35">
      <c r="A350"/>
    </row>
    <row r="351" spans="1:1" x14ac:dyDescent="0.35">
      <c r="A351"/>
    </row>
    <row r="352" spans="1:1" x14ac:dyDescent="0.35">
      <c r="A352"/>
    </row>
    <row r="353" spans="1:1" x14ac:dyDescent="0.35">
      <c r="A353"/>
    </row>
    <row r="354" spans="1:1" x14ac:dyDescent="0.35">
      <c r="A354"/>
    </row>
    <row r="355" spans="1:1" x14ac:dyDescent="0.35">
      <c r="A355"/>
    </row>
    <row r="356" spans="1:1" x14ac:dyDescent="0.35">
      <c r="A356"/>
    </row>
    <row r="357" spans="1:1" x14ac:dyDescent="0.35">
      <c r="A357"/>
    </row>
    <row r="358" spans="1:1" x14ac:dyDescent="0.35">
      <c r="A358"/>
    </row>
    <row r="359" spans="1:1" x14ac:dyDescent="0.35">
      <c r="A359"/>
    </row>
    <row r="360" spans="1:1" x14ac:dyDescent="0.35">
      <c r="A360"/>
    </row>
    <row r="361" spans="1:1" x14ac:dyDescent="0.35">
      <c r="A361"/>
    </row>
    <row r="362" spans="1:1" x14ac:dyDescent="0.35">
      <c r="A362"/>
    </row>
    <row r="363" spans="1:1" x14ac:dyDescent="0.35">
      <c r="A363"/>
    </row>
    <row r="364" spans="1:1" x14ac:dyDescent="0.35">
      <c r="A364"/>
    </row>
    <row r="365" spans="1:1" x14ac:dyDescent="0.35">
      <c r="A365"/>
    </row>
    <row r="366" spans="1:1" x14ac:dyDescent="0.35">
      <c r="A366"/>
    </row>
    <row r="367" spans="1:1" x14ac:dyDescent="0.35">
      <c r="A367"/>
    </row>
    <row r="368" spans="1:1" x14ac:dyDescent="0.35">
      <c r="A368"/>
    </row>
    <row r="369" spans="1:1" x14ac:dyDescent="0.35">
      <c r="A369"/>
    </row>
    <row r="370" spans="1:1" x14ac:dyDescent="0.35">
      <c r="A370"/>
    </row>
    <row r="371" spans="1:1" x14ac:dyDescent="0.35">
      <c r="A371"/>
    </row>
    <row r="372" spans="1:1" x14ac:dyDescent="0.35">
      <c r="A372"/>
    </row>
    <row r="373" spans="1:1" x14ac:dyDescent="0.35">
      <c r="A373"/>
    </row>
    <row r="374" spans="1:1" x14ac:dyDescent="0.35">
      <c r="A374"/>
    </row>
    <row r="375" spans="1:1" x14ac:dyDescent="0.35">
      <c r="A375"/>
    </row>
    <row r="376" spans="1:1" x14ac:dyDescent="0.35">
      <c r="A376"/>
    </row>
    <row r="377" spans="1:1" x14ac:dyDescent="0.35">
      <c r="A377"/>
    </row>
    <row r="378" spans="1:1" x14ac:dyDescent="0.35">
      <c r="A378"/>
    </row>
    <row r="379" spans="1:1" x14ac:dyDescent="0.35">
      <c r="A379"/>
    </row>
    <row r="380" spans="1:1" x14ac:dyDescent="0.35">
      <c r="A380"/>
    </row>
    <row r="381" spans="1:1" x14ac:dyDescent="0.35">
      <c r="A381"/>
    </row>
    <row r="382" spans="1:1" x14ac:dyDescent="0.35">
      <c r="A382"/>
    </row>
    <row r="383" spans="1:1" x14ac:dyDescent="0.35">
      <c r="A383"/>
    </row>
    <row r="384" spans="1:1" x14ac:dyDescent="0.35">
      <c r="A384"/>
    </row>
    <row r="385" spans="1:1" x14ac:dyDescent="0.35">
      <c r="A385"/>
    </row>
    <row r="386" spans="1:1" x14ac:dyDescent="0.35">
      <c r="A386"/>
    </row>
    <row r="387" spans="1:1" x14ac:dyDescent="0.35">
      <c r="A387"/>
    </row>
    <row r="388" spans="1:1" x14ac:dyDescent="0.35">
      <c r="A388"/>
    </row>
    <row r="389" spans="1:1" x14ac:dyDescent="0.35">
      <c r="A389"/>
    </row>
    <row r="390" spans="1:1" x14ac:dyDescent="0.35">
      <c r="A390"/>
    </row>
    <row r="391" spans="1:1" x14ac:dyDescent="0.35">
      <c r="A391"/>
    </row>
    <row r="392" spans="1:1" x14ac:dyDescent="0.35">
      <c r="A392"/>
    </row>
    <row r="393" spans="1:1" x14ac:dyDescent="0.35">
      <c r="A393"/>
    </row>
    <row r="394" spans="1:1" x14ac:dyDescent="0.35">
      <c r="A394"/>
    </row>
    <row r="395" spans="1:1" x14ac:dyDescent="0.35">
      <c r="A395"/>
    </row>
    <row r="396" spans="1:1" x14ac:dyDescent="0.35">
      <c r="A396"/>
    </row>
    <row r="397" spans="1:1" x14ac:dyDescent="0.35">
      <c r="A397"/>
    </row>
    <row r="398" spans="1:1" x14ac:dyDescent="0.35">
      <c r="A398"/>
    </row>
    <row r="399" spans="1:1" x14ac:dyDescent="0.35">
      <c r="A399"/>
    </row>
    <row r="400" spans="1:1" x14ac:dyDescent="0.35">
      <c r="A400"/>
    </row>
    <row r="401" spans="1:1" x14ac:dyDescent="0.35">
      <c r="A401"/>
    </row>
    <row r="402" spans="1:1" x14ac:dyDescent="0.35">
      <c r="A402"/>
    </row>
    <row r="403" spans="1:1" x14ac:dyDescent="0.35">
      <c r="A403"/>
    </row>
    <row r="404" spans="1:1" x14ac:dyDescent="0.35">
      <c r="A404"/>
    </row>
    <row r="405" spans="1:1" x14ac:dyDescent="0.35">
      <c r="A405"/>
    </row>
    <row r="406" spans="1:1" x14ac:dyDescent="0.35">
      <c r="A406"/>
    </row>
    <row r="407" spans="1:1" x14ac:dyDescent="0.35">
      <c r="A407"/>
    </row>
    <row r="408" spans="1:1" x14ac:dyDescent="0.35">
      <c r="A408"/>
    </row>
    <row r="409" spans="1:1" x14ac:dyDescent="0.35">
      <c r="A409"/>
    </row>
    <row r="410" spans="1:1" x14ac:dyDescent="0.35">
      <c r="A410"/>
    </row>
    <row r="411" spans="1:1" x14ac:dyDescent="0.35">
      <c r="A411"/>
    </row>
    <row r="412" spans="1:1" x14ac:dyDescent="0.35">
      <c r="A412"/>
    </row>
    <row r="413" spans="1:1" x14ac:dyDescent="0.35">
      <c r="A413"/>
    </row>
    <row r="414" spans="1:1" x14ac:dyDescent="0.35">
      <c r="A414"/>
    </row>
    <row r="415" spans="1:1" x14ac:dyDescent="0.35">
      <c r="A415"/>
    </row>
    <row r="416" spans="1:1" x14ac:dyDescent="0.35">
      <c r="A416"/>
    </row>
    <row r="417" spans="1:1" x14ac:dyDescent="0.35">
      <c r="A417"/>
    </row>
    <row r="418" spans="1:1" x14ac:dyDescent="0.35">
      <c r="A418"/>
    </row>
    <row r="419" spans="1:1" x14ac:dyDescent="0.35">
      <c r="A419"/>
    </row>
    <row r="420" spans="1:1" x14ac:dyDescent="0.35">
      <c r="A420"/>
    </row>
    <row r="421" spans="1:1" x14ac:dyDescent="0.35">
      <c r="A421"/>
    </row>
    <row r="422" spans="1:1" x14ac:dyDescent="0.35">
      <c r="A422"/>
    </row>
    <row r="423" spans="1:1" x14ac:dyDescent="0.35">
      <c r="A423"/>
    </row>
    <row r="424" spans="1:1" x14ac:dyDescent="0.35">
      <c r="A424"/>
    </row>
    <row r="425" spans="1:1" x14ac:dyDescent="0.35">
      <c r="A425"/>
    </row>
    <row r="426" spans="1:1" x14ac:dyDescent="0.35">
      <c r="A426"/>
    </row>
    <row r="427" spans="1:1" x14ac:dyDescent="0.35">
      <c r="A427"/>
    </row>
    <row r="428" spans="1:1" x14ac:dyDescent="0.35">
      <c r="A428"/>
    </row>
    <row r="429" spans="1:1" x14ac:dyDescent="0.35">
      <c r="A429"/>
    </row>
    <row r="430" spans="1:1" x14ac:dyDescent="0.35">
      <c r="A430"/>
    </row>
    <row r="431" spans="1:1" x14ac:dyDescent="0.35">
      <c r="A431"/>
    </row>
    <row r="432" spans="1:1" x14ac:dyDescent="0.35">
      <c r="A432"/>
    </row>
    <row r="433" spans="1:1" x14ac:dyDescent="0.35">
      <c r="A433"/>
    </row>
    <row r="434" spans="1:1" x14ac:dyDescent="0.35">
      <c r="A434"/>
    </row>
    <row r="435" spans="1:1" x14ac:dyDescent="0.35">
      <c r="A435"/>
    </row>
    <row r="436" spans="1:1" x14ac:dyDescent="0.35">
      <c r="A436"/>
    </row>
    <row r="437" spans="1:1" x14ac:dyDescent="0.35">
      <c r="A437"/>
    </row>
    <row r="438" spans="1:1" x14ac:dyDescent="0.35">
      <c r="A438"/>
    </row>
    <row r="439" spans="1:1" x14ac:dyDescent="0.35">
      <c r="A439"/>
    </row>
    <row r="440" spans="1:1" x14ac:dyDescent="0.35">
      <c r="A440"/>
    </row>
    <row r="441" spans="1:1" x14ac:dyDescent="0.35">
      <c r="A441"/>
    </row>
    <row r="442" spans="1:1" x14ac:dyDescent="0.35">
      <c r="A442"/>
    </row>
    <row r="443" spans="1:1" x14ac:dyDescent="0.35">
      <c r="A443"/>
    </row>
    <row r="444" spans="1:1" x14ac:dyDescent="0.35">
      <c r="A444"/>
    </row>
    <row r="445" spans="1:1" x14ac:dyDescent="0.35">
      <c r="A445"/>
    </row>
    <row r="446" spans="1:1" x14ac:dyDescent="0.35">
      <c r="A446"/>
    </row>
    <row r="447" spans="1:1" x14ac:dyDescent="0.35">
      <c r="A447"/>
    </row>
    <row r="448" spans="1:1" x14ac:dyDescent="0.35">
      <c r="A448"/>
    </row>
    <row r="449" spans="1:1" x14ac:dyDescent="0.35">
      <c r="A449"/>
    </row>
    <row r="450" spans="1:1" x14ac:dyDescent="0.35">
      <c r="A450"/>
    </row>
    <row r="451" spans="1:1" x14ac:dyDescent="0.35">
      <c r="A451"/>
    </row>
    <row r="452" spans="1:1" x14ac:dyDescent="0.35">
      <c r="A452"/>
    </row>
    <row r="453" spans="1:1" x14ac:dyDescent="0.35">
      <c r="A453"/>
    </row>
    <row r="454" spans="1:1" x14ac:dyDescent="0.35">
      <c r="A454"/>
    </row>
    <row r="455" spans="1:1" x14ac:dyDescent="0.35">
      <c r="A455"/>
    </row>
    <row r="456" spans="1:1" x14ac:dyDescent="0.35">
      <c r="A456"/>
    </row>
    <row r="457" spans="1:1" x14ac:dyDescent="0.35">
      <c r="A457"/>
    </row>
    <row r="458" spans="1:1" x14ac:dyDescent="0.35">
      <c r="A458"/>
    </row>
    <row r="459" spans="1:1" x14ac:dyDescent="0.35">
      <c r="A459"/>
    </row>
    <row r="460" spans="1:1" x14ac:dyDescent="0.35">
      <c r="A460"/>
    </row>
    <row r="461" spans="1:1" x14ac:dyDescent="0.35">
      <c r="A461"/>
    </row>
    <row r="462" spans="1:1" x14ac:dyDescent="0.35">
      <c r="A462"/>
    </row>
    <row r="463" spans="1:1" x14ac:dyDescent="0.35">
      <c r="A463"/>
    </row>
    <row r="464" spans="1:1" x14ac:dyDescent="0.35">
      <c r="A464"/>
    </row>
    <row r="465" spans="1:1" x14ac:dyDescent="0.35">
      <c r="A465"/>
    </row>
    <row r="466" spans="1:1" x14ac:dyDescent="0.35">
      <c r="A466"/>
    </row>
    <row r="467" spans="1:1" x14ac:dyDescent="0.35">
      <c r="A467"/>
    </row>
    <row r="468" spans="1:1" x14ac:dyDescent="0.35">
      <c r="A468"/>
    </row>
    <row r="469" spans="1:1" x14ac:dyDescent="0.35">
      <c r="A469"/>
    </row>
    <row r="470" spans="1:1" x14ac:dyDescent="0.35">
      <c r="A470"/>
    </row>
    <row r="471" spans="1:1" x14ac:dyDescent="0.35">
      <c r="A471"/>
    </row>
    <row r="472" spans="1:1" x14ac:dyDescent="0.35">
      <c r="A472"/>
    </row>
    <row r="473" spans="1:1" x14ac:dyDescent="0.35">
      <c r="A473"/>
    </row>
    <row r="474" spans="1:1" x14ac:dyDescent="0.35">
      <c r="A474"/>
    </row>
    <row r="475" spans="1:1" x14ac:dyDescent="0.35">
      <c r="A475"/>
    </row>
    <row r="476" spans="1:1" x14ac:dyDescent="0.35">
      <c r="A476"/>
    </row>
    <row r="477" spans="1:1" x14ac:dyDescent="0.35">
      <c r="A477"/>
    </row>
  </sheetData>
  <autoFilter ref="A1:C394" xr:uid="{66DBDEE4-3A24-4373-96AA-D23BBEEBA8E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3D5CE-CA67-42D9-ABB9-925AB0CB2DFF}">
  <sheetPr codeName="Sheet2">
    <tabColor theme="8"/>
  </sheetPr>
  <dimension ref="A1:C31"/>
  <sheetViews>
    <sheetView showGridLines="0" zoomScale="70" zoomScaleNormal="70" workbookViewId="0">
      <selection activeCell="B26" sqref="B26:B31"/>
    </sheetView>
  </sheetViews>
  <sheetFormatPr defaultRowHeight="14.5" x14ac:dyDescent="0.35"/>
  <cols>
    <col min="1" max="1" width="46.1796875" customWidth="1"/>
    <col min="2" max="2" width="13.26953125" customWidth="1"/>
    <col min="3" max="3" width="59.26953125" customWidth="1"/>
  </cols>
  <sheetData>
    <row r="1" spans="1:3" ht="19" thickBot="1" x14ac:dyDescent="0.5">
      <c r="A1" s="23" t="s">
        <v>826</v>
      </c>
      <c r="B1" s="178" t="s">
        <v>827</v>
      </c>
      <c r="C1" s="179"/>
    </row>
    <row r="2" spans="1:3" ht="15" thickBot="1" x14ac:dyDescent="0.4">
      <c r="A2" s="24" t="s">
        <v>828</v>
      </c>
      <c r="B2" s="180" t="s">
        <v>829</v>
      </c>
      <c r="C2" s="181"/>
    </row>
    <row r="3" spans="1:3" x14ac:dyDescent="0.35">
      <c r="A3" s="182" t="s">
        <v>830</v>
      </c>
      <c r="B3" s="25">
        <v>100108092</v>
      </c>
      <c r="C3" s="26" t="s">
        <v>831</v>
      </c>
    </row>
    <row r="4" spans="1:3" x14ac:dyDescent="0.35">
      <c r="A4" s="183"/>
      <c r="B4" s="27">
        <v>100103260</v>
      </c>
      <c r="C4" s="28" t="s">
        <v>72</v>
      </c>
    </row>
    <row r="5" spans="1:3" x14ac:dyDescent="0.35">
      <c r="A5" s="183"/>
      <c r="B5" s="27">
        <v>100103956</v>
      </c>
      <c r="C5" s="28" t="s">
        <v>49</v>
      </c>
    </row>
    <row r="6" spans="1:3" ht="15" thickBot="1" x14ac:dyDescent="0.4">
      <c r="A6" s="184"/>
      <c r="B6" s="29">
        <v>100106281</v>
      </c>
      <c r="C6" s="30" t="s">
        <v>832</v>
      </c>
    </row>
    <row r="7" spans="1:3" ht="58.5" thickBot="1" x14ac:dyDescent="0.4">
      <c r="A7" s="31" t="s">
        <v>833</v>
      </c>
      <c r="B7" s="185" t="s">
        <v>834</v>
      </c>
      <c r="C7" s="186"/>
    </row>
    <row r="8" spans="1:3" ht="15" thickBot="1" x14ac:dyDescent="0.4">
      <c r="A8" s="32" t="s">
        <v>835</v>
      </c>
      <c r="B8" s="180" t="s">
        <v>836</v>
      </c>
      <c r="C8" s="181"/>
    </row>
    <row r="9" spans="1:3" ht="49" customHeight="1" thickBot="1" x14ac:dyDescent="0.4">
      <c r="A9" s="32" t="s">
        <v>837</v>
      </c>
      <c r="B9" s="176" t="s">
        <v>838</v>
      </c>
      <c r="C9" s="177"/>
    </row>
    <row r="10" spans="1:3" ht="34.5" customHeight="1" thickBot="1" x14ac:dyDescent="0.4">
      <c r="A10" s="32" t="s">
        <v>839</v>
      </c>
      <c r="B10" s="187" t="s">
        <v>840</v>
      </c>
      <c r="C10" s="188"/>
    </row>
    <row r="11" spans="1:3" ht="29.15" customHeight="1" thickBot="1" x14ac:dyDescent="0.4">
      <c r="A11" s="33" t="s">
        <v>841</v>
      </c>
      <c r="B11" s="189" t="s">
        <v>842</v>
      </c>
      <c r="C11" s="190"/>
    </row>
    <row r="12" spans="1:3" ht="169.5" customHeight="1" thickBot="1" x14ac:dyDescent="0.4">
      <c r="A12" s="34" t="s">
        <v>843</v>
      </c>
      <c r="B12" s="191" t="s">
        <v>844</v>
      </c>
      <c r="C12" s="192"/>
    </row>
    <row r="13" spans="1:3" x14ac:dyDescent="0.35">
      <c r="A13" s="193" t="s">
        <v>845</v>
      </c>
      <c r="B13" s="35">
        <v>100117529</v>
      </c>
      <c r="C13" s="26" t="s">
        <v>846</v>
      </c>
    </row>
    <row r="14" spans="1:3" x14ac:dyDescent="0.35">
      <c r="A14" s="194"/>
      <c r="B14" s="36">
        <v>100113889</v>
      </c>
      <c r="C14" s="28" t="s">
        <v>847</v>
      </c>
    </row>
    <row r="15" spans="1:3" x14ac:dyDescent="0.35">
      <c r="A15" s="194"/>
      <c r="B15" s="36">
        <v>100114384</v>
      </c>
      <c r="C15" s="28" t="s">
        <v>848</v>
      </c>
    </row>
    <row r="16" spans="1:3" x14ac:dyDescent="0.35">
      <c r="A16" s="194"/>
      <c r="B16" s="36">
        <v>100114679</v>
      </c>
      <c r="C16" s="28" t="s">
        <v>849</v>
      </c>
    </row>
    <row r="17" spans="1:3" x14ac:dyDescent="0.35">
      <c r="A17" s="194"/>
      <c r="B17" s="36">
        <v>100111977</v>
      </c>
      <c r="C17" s="28" t="s">
        <v>850</v>
      </c>
    </row>
    <row r="18" spans="1:3" x14ac:dyDescent="0.35">
      <c r="A18" s="194"/>
      <c r="B18" s="36">
        <v>100108737</v>
      </c>
      <c r="C18" s="28" t="s">
        <v>851</v>
      </c>
    </row>
    <row r="19" spans="1:3" x14ac:dyDescent="0.35">
      <c r="A19" s="194"/>
      <c r="B19" s="36">
        <v>100114717</v>
      </c>
      <c r="C19" s="28" t="s">
        <v>852</v>
      </c>
    </row>
    <row r="20" spans="1:3" x14ac:dyDescent="0.35">
      <c r="A20" s="194"/>
      <c r="B20" s="36">
        <v>100114939</v>
      </c>
      <c r="C20" s="28" t="s">
        <v>853</v>
      </c>
    </row>
    <row r="21" spans="1:3" x14ac:dyDescent="0.35">
      <c r="A21" s="194"/>
      <c r="B21" s="36">
        <v>100118869</v>
      </c>
      <c r="C21" s="28" t="s">
        <v>455</v>
      </c>
    </row>
    <row r="22" spans="1:3" x14ac:dyDescent="0.35">
      <c r="A22" s="194"/>
      <c r="B22" s="36">
        <v>100112183</v>
      </c>
      <c r="C22" s="28" t="s">
        <v>854</v>
      </c>
    </row>
    <row r="23" spans="1:3" ht="15" thickBot="1" x14ac:dyDescent="0.4">
      <c r="A23" s="195"/>
      <c r="B23" s="36">
        <v>100114693</v>
      </c>
      <c r="C23" s="28" t="s">
        <v>446</v>
      </c>
    </row>
    <row r="24" spans="1:3" ht="15" thickBot="1" x14ac:dyDescent="0.4">
      <c r="A24" s="37" t="s">
        <v>855</v>
      </c>
      <c r="B24" s="38">
        <v>100111940</v>
      </c>
      <c r="C24" s="39" t="s">
        <v>856</v>
      </c>
    </row>
    <row r="25" spans="1:3" ht="15" thickBot="1" x14ac:dyDescent="0.4">
      <c r="A25" s="40" t="s">
        <v>857</v>
      </c>
      <c r="B25" s="36">
        <v>100111597</v>
      </c>
      <c r="C25" s="28" t="s">
        <v>231</v>
      </c>
    </row>
    <row r="26" spans="1:3" x14ac:dyDescent="0.35">
      <c r="A26" s="196" t="s">
        <v>858</v>
      </c>
      <c r="B26" s="35">
        <v>100103956</v>
      </c>
      <c r="C26" s="26" t="s">
        <v>859</v>
      </c>
    </row>
    <row r="27" spans="1:3" x14ac:dyDescent="0.35">
      <c r="A27" s="197"/>
      <c r="B27" s="36">
        <v>100103260</v>
      </c>
      <c r="C27" s="28" t="s">
        <v>860</v>
      </c>
    </row>
    <row r="28" spans="1:3" x14ac:dyDescent="0.35">
      <c r="A28" s="197"/>
      <c r="B28" s="36">
        <v>100108811</v>
      </c>
      <c r="C28" s="28" t="s">
        <v>861</v>
      </c>
    </row>
    <row r="29" spans="1:3" x14ac:dyDescent="0.35">
      <c r="A29" s="197"/>
      <c r="B29" s="36">
        <v>100106281</v>
      </c>
      <c r="C29" s="28" t="s">
        <v>862</v>
      </c>
    </row>
    <row r="30" spans="1:3" x14ac:dyDescent="0.35">
      <c r="A30" s="197"/>
      <c r="B30" s="36">
        <v>100108092</v>
      </c>
      <c r="C30" s="28" t="s">
        <v>863</v>
      </c>
    </row>
    <row r="31" spans="1:3" ht="15" thickBot="1" x14ac:dyDescent="0.4">
      <c r="A31" s="198"/>
      <c r="B31" s="41">
        <v>100103372</v>
      </c>
      <c r="C31" s="30" t="s">
        <v>864</v>
      </c>
    </row>
  </sheetData>
  <mergeCells count="11">
    <mergeCell ref="B10:C10"/>
    <mergeCell ref="B11:C11"/>
    <mergeCell ref="B12:C12"/>
    <mergeCell ref="A13:A23"/>
    <mergeCell ref="A26:A31"/>
    <mergeCell ref="B9:C9"/>
    <mergeCell ref="B1:C1"/>
    <mergeCell ref="B2:C2"/>
    <mergeCell ref="A3:A6"/>
    <mergeCell ref="B7:C7"/>
    <mergeCell ref="B8:C8"/>
  </mergeCells>
  <hyperlinks>
    <hyperlink ref="B9" r:id="rId1" display="Connie.Marianacci@Fairmont.com" xr:uid="{7EBD3DEE-A614-45BE-8ADD-EBA1E2168E44}"/>
    <hyperlink ref="B10" r:id="rId2" xr:uid="{6274A23B-3B42-4016-A0BE-0C5AB4B75BD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5D779-546E-4308-86F2-4CDF08EC859F}">
  <sheetPr codeName="Sheet4">
    <tabColor theme="9" tint="0.79998168889431442"/>
  </sheetPr>
  <dimension ref="A1:J84"/>
  <sheetViews>
    <sheetView showGridLines="0" zoomScale="70" zoomScaleNormal="70" workbookViewId="0">
      <selection activeCell="I23" sqref="I23"/>
    </sheetView>
  </sheetViews>
  <sheetFormatPr defaultRowHeight="14.5" x14ac:dyDescent="0.35"/>
  <cols>
    <col min="1" max="1" width="35.26953125" bestFit="1" customWidth="1"/>
    <col min="2" max="2" width="18.54296875" bestFit="1" customWidth="1"/>
    <col min="3" max="3" width="11.453125" bestFit="1" customWidth="1"/>
    <col min="4" max="4" width="13.90625" bestFit="1" customWidth="1"/>
    <col min="5" max="5" width="6.453125" bestFit="1" customWidth="1"/>
    <col min="6" max="6" width="11.54296875" bestFit="1" customWidth="1"/>
    <col min="8" max="8" width="32.08984375" bestFit="1" customWidth="1"/>
    <col min="9" max="9" width="11.453125" bestFit="1" customWidth="1"/>
  </cols>
  <sheetData>
    <row r="1" spans="1:10" ht="30" customHeight="1" x14ac:dyDescent="0.5">
      <c r="A1" s="199" t="s">
        <v>965</v>
      </c>
      <c r="B1" s="199"/>
      <c r="C1" s="199"/>
      <c r="D1" s="199"/>
      <c r="E1" s="199"/>
      <c r="F1" s="199"/>
    </row>
    <row r="2" spans="1:10" ht="8" customHeight="1" x14ac:dyDescent="0.35">
      <c r="A2" s="200"/>
      <c r="B2" s="200"/>
      <c r="C2" s="200"/>
      <c r="D2" s="200"/>
      <c r="E2" s="200"/>
      <c r="F2" s="200"/>
    </row>
    <row r="3" spans="1:10" x14ac:dyDescent="0.35">
      <c r="A3" s="201" t="s">
        <v>954</v>
      </c>
      <c r="B3" s="201"/>
      <c r="C3" s="201"/>
      <c r="D3" s="201"/>
      <c r="E3" s="201"/>
      <c r="F3" s="201"/>
    </row>
    <row r="5" spans="1:10" ht="25" customHeight="1" x14ac:dyDescent="0.35">
      <c r="A5" s="63" t="s">
        <v>3</v>
      </c>
      <c r="B5" s="63" t="s">
        <v>964</v>
      </c>
      <c r="C5" s="63" t="s">
        <v>955</v>
      </c>
      <c r="D5" s="63" t="s">
        <v>956</v>
      </c>
      <c r="E5" s="63" t="s">
        <v>957</v>
      </c>
      <c r="F5" s="63" t="s">
        <v>958</v>
      </c>
      <c r="H5" s="202" t="s">
        <v>959</v>
      </c>
      <c r="I5" s="203"/>
      <c r="J5" s="203"/>
    </row>
    <row r="6" spans="1:10" x14ac:dyDescent="0.35">
      <c r="A6" s="64" t="s">
        <v>35</v>
      </c>
      <c r="B6" s="65">
        <f>SUMIF('Consolidated SOA'!D:D,A6,'Consolidated SOA'!AF:AF)</f>
        <v>30384.94</v>
      </c>
      <c r="C6" s="65">
        <f>SUMIFS('Consolidated SOA'!AF:AF,'Consolidated SOA'!D:D,A6,'Consolidated SOA'!AI:AI,TRUE)</f>
        <v>8564.1299999999992</v>
      </c>
      <c r="D6" s="65">
        <f t="shared" ref="D6:D37" si="0">B6-C6</f>
        <v>21820.809999999998</v>
      </c>
      <c r="E6" s="66">
        <f t="shared" ref="E6:E37" si="1">IFERROR(C6/B6,0)</f>
        <v>0.28185443183366493</v>
      </c>
      <c r="F6" s="64" t="str">
        <f t="shared" ref="F6:F37" si="2">IF(B6=0,"No Balance",IF(C6=0,"Unpaid",IF(ABS(D6)&lt;1,"Fully Paid","Partially Paid")))</f>
        <v>Partially Paid</v>
      </c>
      <c r="H6" s="73" t="s">
        <v>960</v>
      </c>
      <c r="I6" s="64">
        <v>78</v>
      </c>
      <c r="J6" s="64"/>
    </row>
    <row r="7" spans="1:10" x14ac:dyDescent="0.35">
      <c r="A7" s="67" t="s">
        <v>49</v>
      </c>
      <c r="B7" s="68">
        <f>SUMIF('Consolidated SOA'!D:D,A7,'Consolidated SOA'!AF:AF)</f>
        <v>4928859.5199999996</v>
      </c>
      <c r="C7" s="68">
        <f>SUMIFS('Consolidated SOA'!AF:AF,'Consolidated SOA'!D:D,A7,'Consolidated SOA'!AI:AI,TRUE)</f>
        <v>715765.69000000006</v>
      </c>
      <c r="D7" s="68">
        <f t="shared" si="0"/>
        <v>4213093.8299999991</v>
      </c>
      <c r="E7" s="69">
        <f t="shared" si="1"/>
        <v>0.1452193326053651</v>
      </c>
      <c r="F7" s="67" t="str">
        <f t="shared" si="2"/>
        <v>Partially Paid</v>
      </c>
      <c r="H7" s="73" t="s">
        <v>961</v>
      </c>
      <c r="I7" s="65">
        <f>B84</f>
        <v>8763361.2000000067</v>
      </c>
      <c r="J7" s="64"/>
    </row>
    <row r="8" spans="1:10" x14ac:dyDescent="0.35">
      <c r="A8" s="64" t="s">
        <v>72</v>
      </c>
      <c r="B8" s="65">
        <f>SUMIF('Consolidated SOA'!D:D,A8,'Consolidated SOA'!AF:AF)</f>
        <v>939191.26</v>
      </c>
      <c r="C8" s="65">
        <f>SUMIFS('Consolidated SOA'!AF:AF,'Consolidated SOA'!D:D,A8,'Consolidated SOA'!AI:AI,TRUE)</f>
        <v>469595.63</v>
      </c>
      <c r="D8" s="65">
        <f t="shared" si="0"/>
        <v>469595.63</v>
      </c>
      <c r="E8" s="66">
        <f t="shared" si="1"/>
        <v>0.5</v>
      </c>
      <c r="F8" s="64" t="str">
        <f t="shared" si="2"/>
        <v>Partially Paid</v>
      </c>
      <c r="H8" s="73" t="s">
        <v>962</v>
      </c>
      <c r="I8" s="65">
        <f>C84</f>
        <v>1675117.5800000005</v>
      </c>
      <c r="J8" s="64"/>
    </row>
    <row r="9" spans="1:10" x14ac:dyDescent="0.35">
      <c r="A9" s="67" t="s">
        <v>80</v>
      </c>
      <c r="B9" s="68">
        <f>SUMIF('Consolidated SOA'!D:D,A9,'Consolidated SOA'!AF:AF)</f>
        <v>86542.62</v>
      </c>
      <c r="C9" s="68">
        <f>SUMIFS('Consolidated SOA'!AF:AF,'Consolidated SOA'!D:D,A9,'Consolidated SOA'!AI:AI,TRUE)</f>
        <v>43271.31</v>
      </c>
      <c r="D9" s="68">
        <f t="shared" si="0"/>
        <v>43271.31</v>
      </c>
      <c r="E9" s="69">
        <f t="shared" si="1"/>
        <v>0.5</v>
      </c>
      <c r="F9" s="67" t="str">
        <f t="shared" si="2"/>
        <v>Partially Paid</v>
      </c>
      <c r="H9" s="73" t="s">
        <v>963</v>
      </c>
      <c r="I9" s="65">
        <f>D84</f>
        <v>7088243.6199999982</v>
      </c>
      <c r="J9" s="64"/>
    </row>
    <row r="10" spans="1:10" x14ac:dyDescent="0.35">
      <c r="A10" s="64" t="s">
        <v>84</v>
      </c>
      <c r="B10" s="65">
        <f>SUMIF('Consolidated SOA'!D:D,A10,'Consolidated SOA'!AF:AF)</f>
        <v>11163.720000000001</v>
      </c>
      <c r="C10" s="65">
        <f>SUMIFS('Consolidated SOA'!AF:AF,'Consolidated SOA'!D:D,A10,'Consolidated SOA'!AI:AI,TRUE)</f>
        <v>0</v>
      </c>
      <c r="D10" s="65">
        <f t="shared" si="0"/>
        <v>11163.720000000001</v>
      </c>
      <c r="E10" s="66">
        <f t="shared" si="1"/>
        <v>0</v>
      </c>
      <c r="F10" s="64" t="str">
        <f t="shared" si="2"/>
        <v>Unpaid</v>
      </c>
      <c r="H10" s="73" t="s">
        <v>1039</v>
      </c>
      <c r="I10" s="74">
        <f>IFERROR(I8/I7,0)</f>
        <v>0.19115012399580189</v>
      </c>
      <c r="J10" s="64"/>
    </row>
    <row r="11" spans="1:10" x14ac:dyDescent="0.35">
      <c r="A11" s="67" t="s">
        <v>91</v>
      </c>
      <c r="B11" s="68">
        <f>SUMIF('Consolidated SOA'!D:D,A11,'Consolidated SOA'!AF:AF)</f>
        <v>56129.4</v>
      </c>
      <c r="C11" s="68">
        <f>SUMIFS('Consolidated SOA'!AF:AF,'Consolidated SOA'!D:D,A11,'Consolidated SOA'!AI:AI,TRUE)</f>
        <v>0</v>
      </c>
      <c r="D11" s="68">
        <f t="shared" si="0"/>
        <v>56129.4</v>
      </c>
      <c r="E11" s="69">
        <f t="shared" si="1"/>
        <v>0</v>
      </c>
      <c r="F11" s="67" t="str">
        <f t="shared" si="2"/>
        <v>Unpaid</v>
      </c>
    </row>
    <row r="12" spans="1:10" x14ac:dyDescent="0.35">
      <c r="A12" s="64" t="s">
        <v>110</v>
      </c>
      <c r="B12" s="65">
        <f>SUMIF('Consolidated SOA'!D:D,A12,'Consolidated SOA'!AF:AF)</f>
        <v>60010.720000000001</v>
      </c>
      <c r="C12" s="65">
        <f>SUMIFS('Consolidated SOA'!AF:AF,'Consolidated SOA'!D:D,A12,'Consolidated SOA'!AI:AI,TRUE)</f>
        <v>0</v>
      </c>
      <c r="D12" s="65">
        <f t="shared" si="0"/>
        <v>60010.720000000001</v>
      </c>
      <c r="E12" s="66">
        <f t="shared" si="1"/>
        <v>0</v>
      </c>
      <c r="F12" s="64" t="str">
        <f t="shared" si="2"/>
        <v>Unpaid</v>
      </c>
      <c r="H12" s="204" t="s">
        <v>1040</v>
      </c>
      <c r="I12" s="205"/>
    </row>
    <row r="13" spans="1:10" x14ac:dyDescent="0.35">
      <c r="A13" s="67" t="s">
        <v>132</v>
      </c>
      <c r="B13" s="68">
        <f>SUMIF('Consolidated SOA'!D:D,A13,'Consolidated SOA'!AF:AF)</f>
        <v>932.74</v>
      </c>
      <c r="C13" s="68">
        <f>SUMIFS('Consolidated SOA'!AF:AF,'Consolidated SOA'!D:D,A13,'Consolidated SOA'!AI:AI,TRUE)</f>
        <v>0</v>
      </c>
      <c r="D13" s="68">
        <f t="shared" si="0"/>
        <v>932.74</v>
      </c>
      <c r="E13" s="69">
        <f t="shared" si="1"/>
        <v>0</v>
      </c>
      <c r="F13" s="67" t="str">
        <f t="shared" si="2"/>
        <v>Unpaid</v>
      </c>
      <c r="H13" s="121" t="s">
        <v>1033</v>
      </c>
      <c r="I13" s="124">
        <f>SUMIF('Consolidated SOA'!AJ:AJ,"AB Linking",'Consolidated SOA'!AF:AF)</f>
        <v>66961.84</v>
      </c>
    </row>
    <row r="14" spans="1:10" x14ac:dyDescent="0.35">
      <c r="A14" s="64" t="s">
        <v>138</v>
      </c>
      <c r="B14" s="65">
        <f>SUMIF('Consolidated SOA'!D:D,A14,'Consolidated SOA'!AF:AF)</f>
        <v>18060.660000000003</v>
      </c>
      <c r="C14" s="65">
        <f>SUMIFS('Consolidated SOA'!AF:AF,'Consolidated SOA'!D:D,A14,'Consolidated SOA'!AI:AI,TRUE)</f>
        <v>0</v>
      </c>
      <c r="D14" s="65">
        <f t="shared" si="0"/>
        <v>18060.660000000003</v>
      </c>
      <c r="E14" s="66">
        <f t="shared" si="1"/>
        <v>0</v>
      </c>
      <c r="F14" s="64" t="str">
        <f t="shared" si="2"/>
        <v>Unpaid</v>
      </c>
      <c r="H14" s="122" t="s">
        <v>1034</v>
      </c>
      <c r="I14" s="125">
        <f>SUMIF('Consolidated SOA'!AJ:AJ,"For Cancellation",'Consolidated SOA'!AF:AF)</f>
        <v>1814309.5100000002</v>
      </c>
    </row>
    <row r="15" spans="1:10" x14ac:dyDescent="0.35">
      <c r="A15" s="67" t="s">
        <v>163</v>
      </c>
      <c r="B15" s="68">
        <f>SUMIF('Consolidated SOA'!D:D,A15,'Consolidated SOA'!AF:AF)</f>
        <v>13667.399999999998</v>
      </c>
      <c r="C15" s="68">
        <f>SUMIFS('Consolidated SOA'!AF:AF,'Consolidated SOA'!D:D,A15,'Consolidated SOA'!AI:AI,TRUE)</f>
        <v>0</v>
      </c>
      <c r="D15" s="68">
        <f t="shared" si="0"/>
        <v>13667.399999999998</v>
      </c>
      <c r="E15" s="69">
        <f t="shared" si="1"/>
        <v>0</v>
      </c>
      <c r="F15" s="67" t="str">
        <f t="shared" si="2"/>
        <v>Unpaid</v>
      </c>
      <c r="H15" s="123" t="s">
        <v>1035</v>
      </c>
      <c r="I15" s="126">
        <f>I13+I14</f>
        <v>1881271.3500000003</v>
      </c>
    </row>
    <row r="16" spans="1:10" x14ac:dyDescent="0.35">
      <c r="A16" s="64" t="s">
        <v>180</v>
      </c>
      <c r="B16" s="65">
        <f>SUMIF('Consolidated SOA'!D:D,A16,'Consolidated SOA'!AF:AF)</f>
        <v>18661.5</v>
      </c>
      <c r="C16" s="65">
        <f>SUMIFS('Consolidated SOA'!AF:AF,'Consolidated SOA'!D:D,A16,'Consolidated SOA'!AI:AI,TRUE)</f>
        <v>9330.75</v>
      </c>
      <c r="D16" s="65">
        <f t="shared" si="0"/>
        <v>9330.75</v>
      </c>
      <c r="E16" s="66">
        <f t="shared" si="1"/>
        <v>0.5</v>
      </c>
      <c r="F16" s="64" t="str">
        <f t="shared" si="2"/>
        <v>Partially Paid</v>
      </c>
    </row>
    <row r="17" spans="1:9" x14ac:dyDescent="0.35">
      <c r="A17" s="67" t="s">
        <v>184</v>
      </c>
      <c r="B17" s="68">
        <f>SUMIF('Consolidated SOA'!D:D,A17,'Consolidated SOA'!AF:AF)</f>
        <v>2358.8200000000002</v>
      </c>
      <c r="C17" s="68">
        <f>SUMIFS('Consolidated SOA'!AF:AF,'Consolidated SOA'!D:D,A17,'Consolidated SOA'!AI:AI,TRUE)</f>
        <v>1179.4100000000001</v>
      </c>
      <c r="D17" s="68">
        <f t="shared" si="0"/>
        <v>1179.4100000000001</v>
      </c>
      <c r="E17" s="69">
        <f t="shared" si="1"/>
        <v>0.5</v>
      </c>
      <c r="F17" s="67" t="str">
        <f t="shared" si="2"/>
        <v>Partially Paid</v>
      </c>
      <c r="H17" s="137" t="s">
        <v>1043</v>
      </c>
      <c r="I17" s="138"/>
    </row>
    <row r="18" spans="1:9" x14ac:dyDescent="0.35">
      <c r="A18" s="64" t="s">
        <v>188</v>
      </c>
      <c r="B18" s="65">
        <f>SUMIF('Consolidated SOA'!D:D,A18,'Consolidated SOA'!AF:AF)</f>
        <v>7040.3799999999992</v>
      </c>
      <c r="C18" s="65">
        <f>SUMIFS('Consolidated SOA'!AF:AF,'Consolidated SOA'!D:D,A18,'Consolidated SOA'!AI:AI,TRUE)</f>
        <v>0</v>
      </c>
      <c r="D18" s="65">
        <f t="shared" si="0"/>
        <v>7040.3799999999992</v>
      </c>
      <c r="E18" s="66">
        <f t="shared" si="1"/>
        <v>0</v>
      </c>
      <c r="F18" s="64" t="str">
        <f t="shared" si="2"/>
        <v>Unpaid</v>
      </c>
      <c r="H18" s="127" t="s">
        <v>1044</v>
      </c>
      <c r="I18" s="129">
        <f>SUMIF('Consolidated SOA'!AJ:AJ,"For Payment",'Consolidated SOA'!AF:AF)</f>
        <v>74238.42</v>
      </c>
    </row>
    <row r="19" spans="1:9" x14ac:dyDescent="0.35">
      <c r="A19" s="67" t="s">
        <v>196</v>
      </c>
      <c r="B19" s="68">
        <f>SUMIF('Consolidated SOA'!D:D,A19,'Consolidated SOA'!AF:AF)</f>
        <v>299401.86</v>
      </c>
      <c r="C19" s="68">
        <f>SUMIFS('Consolidated SOA'!AF:AF,'Consolidated SOA'!D:D,A19,'Consolidated SOA'!AI:AI,TRUE)</f>
        <v>31373.56</v>
      </c>
      <c r="D19" s="68">
        <f t="shared" si="0"/>
        <v>268028.3</v>
      </c>
      <c r="E19" s="69">
        <f t="shared" si="1"/>
        <v>0.10478745856822667</v>
      </c>
      <c r="F19" s="67" t="str">
        <f t="shared" si="2"/>
        <v>Partially Paid</v>
      </c>
      <c r="H19" s="135" t="s">
        <v>1041</v>
      </c>
      <c r="I19" s="136"/>
    </row>
    <row r="20" spans="1:9" x14ac:dyDescent="0.35">
      <c r="A20" s="64" t="s">
        <v>207</v>
      </c>
      <c r="B20" s="65">
        <f>SUMIF('Consolidated SOA'!D:D,A20,'Consolidated SOA'!AF:AF)</f>
        <v>20884.52</v>
      </c>
      <c r="C20" s="65">
        <f>SUMIFS('Consolidated SOA'!AF:AF,'Consolidated SOA'!D:D,A20,'Consolidated SOA'!AI:AI,TRUE)</f>
        <v>13211.24</v>
      </c>
      <c r="D20" s="65">
        <f t="shared" si="0"/>
        <v>7673.2800000000007</v>
      </c>
      <c r="E20" s="66">
        <f t="shared" si="1"/>
        <v>0.63258528326243546</v>
      </c>
      <c r="F20" s="64" t="str">
        <f t="shared" si="2"/>
        <v>Partially Paid</v>
      </c>
      <c r="H20" s="128" t="s">
        <v>1036</v>
      </c>
      <c r="I20" s="130">
        <f>I7-I15-I18</f>
        <v>6807851.4300000062</v>
      </c>
    </row>
    <row r="21" spans="1:9" x14ac:dyDescent="0.35">
      <c r="A21" s="67" t="s">
        <v>223</v>
      </c>
      <c r="B21" s="68">
        <f>SUMIF('Consolidated SOA'!D:D,A21,'Consolidated SOA'!AF:AF)</f>
        <v>938.04</v>
      </c>
      <c r="C21" s="68">
        <f>SUMIFS('Consolidated SOA'!AF:AF,'Consolidated SOA'!D:D,A21,'Consolidated SOA'!AI:AI,TRUE)</f>
        <v>469.02</v>
      </c>
      <c r="D21" s="68">
        <f t="shared" si="0"/>
        <v>469.02</v>
      </c>
      <c r="E21" s="69">
        <f t="shared" si="1"/>
        <v>0.5</v>
      </c>
      <c r="F21" s="67" t="str">
        <f t="shared" si="2"/>
        <v>Partially Paid</v>
      </c>
      <c r="H21" s="128" t="s">
        <v>1037</v>
      </c>
      <c r="I21" s="130">
        <f>I8</f>
        <v>1675117.5800000005</v>
      </c>
    </row>
    <row r="22" spans="1:9" x14ac:dyDescent="0.35">
      <c r="A22" s="64" t="s">
        <v>227</v>
      </c>
      <c r="B22" s="65">
        <f>SUMIF('Consolidated SOA'!D:D,A22,'Consolidated SOA'!AF:AF)</f>
        <v>9892.08</v>
      </c>
      <c r="C22" s="65">
        <f>SUMIFS('Consolidated SOA'!AF:AF,'Consolidated SOA'!D:D,A22,'Consolidated SOA'!AI:AI,TRUE)</f>
        <v>4946.04</v>
      </c>
      <c r="D22" s="65">
        <f t="shared" si="0"/>
        <v>4946.04</v>
      </c>
      <c r="E22" s="66">
        <f t="shared" si="1"/>
        <v>0.5</v>
      </c>
      <c r="F22" s="64" t="str">
        <f t="shared" si="2"/>
        <v>Partially Paid</v>
      </c>
      <c r="H22" s="131" t="s">
        <v>1038</v>
      </c>
      <c r="I22" s="133">
        <f>I20-I21</f>
        <v>5132733.8500000052</v>
      </c>
    </row>
    <row r="23" spans="1:9" x14ac:dyDescent="0.35">
      <c r="A23" s="67" t="s">
        <v>231</v>
      </c>
      <c r="B23" s="68">
        <f>SUMIF('Consolidated SOA'!D:D,A23,'Consolidated SOA'!AF:AF)</f>
        <v>87082.08</v>
      </c>
      <c r="C23" s="68">
        <f>SUMIFS('Consolidated SOA'!AF:AF,'Consolidated SOA'!D:D,A23,'Consolidated SOA'!AI:AI,TRUE)</f>
        <v>43541.04</v>
      </c>
      <c r="D23" s="68">
        <f t="shared" si="0"/>
        <v>43541.04</v>
      </c>
      <c r="E23" s="69">
        <f t="shared" si="1"/>
        <v>0.5</v>
      </c>
      <c r="F23" s="67" t="str">
        <f t="shared" si="2"/>
        <v>Partially Paid</v>
      </c>
      <c r="H23" s="132" t="s">
        <v>1042</v>
      </c>
      <c r="I23" s="134">
        <f>IFERROR(I21/I20,0)</f>
        <v>0.2460567180738254</v>
      </c>
    </row>
    <row r="24" spans="1:9" x14ac:dyDescent="0.35">
      <c r="A24" s="64" t="s">
        <v>238</v>
      </c>
      <c r="B24" s="65">
        <f>SUMIF('Consolidated SOA'!D:D,A24,'Consolidated SOA'!AF:AF)</f>
        <v>23331.22</v>
      </c>
      <c r="C24" s="65">
        <f>SUMIFS('Consolidated SOA'!AF:AF,'Consolidated SOA'!D:D,A24,'Consolidated SOA'!AI:AI,TRUE)</f>
        <v>0</v>
      </c>
      <c r="D24" s="65">
        <f t="shared" si="0"/>
        <v>23331.22</v>
      </c>
      <c r="E24" s="66">
        <f t="shared" si="1"/>
        <v>0</v>
      </c>
      <c r="F24" s="64" t="str">
        <f t="shared" si="2"/>
        <v>Unpaid</v>
      </c>
    </row>
    <row r="25" spans="1:9" x14ac:dyDescent="0.35">
      <c r="A25" s="67" t="s">
        <v>247</v>
      </c>
      <c r="B25" s="68">
        <f>SUMIF('Consolidated SOA'!D:D,A25,'Consolidated SOA'!AF:AF)</f>
        <v>9805.64</v>
      </c>
      <c r="C25" s="68">
        <f>SUMIFS('Consolidated SOA'!AF:AF,'Consolidated SOA'!D:D,A25,'Consolidated SOA'!AI:AI,TRUE)</f>
        <v>0</v>
      </c>
      <c r="D25" s="68">
        <f t="shared" si="0"/>
        <v>9805.64</v>
      </c>
      <c r="E25" s="69">
        <f t="shared" si="1"/>
        <v>0</v>
      </c>
      <c r="F25" s="67" t="str">
        <f t="shared" si="2"/>
        <v>Unpaid</v>
      </c>
    </row>
    <row r="26" spans="1:9" x14ac:dyDescent="0.35">
      <c r="A26" s="64" t="s">
        <v>262</v>
      </c>
      <c r="B26" s="65">
        <f>SUMIF('Consolidated SOA'!D:D,A26,'Consolidated SOA'!AF:AF)</f>
        <v>6342.98</v>
      </c>
      <c r="C26" s="65">
        <f>SUMIFS('Consolidated SOA'!AF:AF,'Consolidated SOA'!D:D,A26,'Consolidated SOA'!AI:AI,TRUE)</f>
        <v>1893</v>
      </c>
      <c r="D26" s="65">
        <f t="shared" si="0"/>
        <v>4449.9799999999996</v>
      </c>
      <c r="E26" s="66">
        <f t="shared" si="1"/>
        <v>0.29844016534814866</v>
      </c>
      <c r="F26" s="64" t="str">
        <f t="shared" si="2"/>
        <v>Partially Paid</v>
      </c>
    </row>
    <row r="27" spans="1:9" x14ac:dyDescent="0.35">
      <c r="A27" s="67" t="s">
        <v>267</v>
      </c>
      <c r="B27" s="68">
        <f>SUMIF('Consolidated SOA'!D:D,A27,'Consolidated SOA'!AF:AF)</f>
        <v>15024.199999999995</v>
      </c>
      <c r="C27" s="68">
        <f>SUMIFS('Consolidated SOA'!AF:AF,'Consolidated SOA'!D:D,A27,'Consolidated SOA'!AI:AI,TRUE)</f>
        <v>7512.0999999999949</v>
      </c>
      <c r="D27" s="68">
        <f t="shared" si="0"/>
        <v>7512.1</v>
      </c>
      <c r="E27" s="69">
        <f t="shared" si="1"/>
        <v>0.49999999999999983</v>
      </c>
      <c r="F27" s="67" t="str">
        <f t="shared" si="2"/>
        <v>Partially Paid</v>
      </c>
    </row>
    <row r="28" spans="1:9" x14ac:dyDescent="0.35">
      <c r="A28" s="64" t="s">
        <v>281</v>
      </c>
      <c r="B28" s="65">
        <f>SUMIF('Consolidated SOA'!D:D,A28,'Consolidated SOA'!AF:AF)</f>
        <v>1999.98</v>
      </c>
      <c r="C28" s="65">
        <f>SUMIFS('Consolidated SOA'!AF:AF,'Consolidated SOA'!D:D,A28,'Consolidated SOA'!AI:AI,TRUE)</f>
        <v>0</v>
      </c>
      <c r="D28" s="65">
        <f t="shared" si="0"/>
        <v>1999.98</v>
      </c>
      <c r="E28" s="66">
        <f t="shared" si="1"/>
        <v>0</v>
      </c>
      <c r="F28" s="64" t="str">
        <f t="shared" si="2"/>
        <v>Unpaid</v>
      </c>
    </row>
    <row r="29" spans="1:9" x14ac:dyDescent="0.35">
      <c r="A29" s="67" t="s">
        <v>285</v>
      </c>
      <c r="B29" s="68">
        <f>SUMIF('Consolidated SOA'!D:D,A29,'Consolidated SOA'!AF:AF)</f>
        <v>55123.48</v>
      </c>
      <c r="C29" s="68">
        <f>SUMIFS('Consolidated SOA'!AF:AF,'Consolidated SOA'!D:D,A29,'Consolidated SOA'!AI:AI,TRUE)</f>
        <v>0</v>
      </c>
      <c r="D29" s="68">
        <f t="shared" si="0"/>
        <v>55123.48</v>
      </c>
      <c r="E29" s="69">
        <f t="shared" si="1"/>
        <v>0</v>
      </c>
      <c r="F29" s="67" t="str">
        <f t="shared" si="2"/>
        <v>Unpaid</v>
      </c>
    </row>
    <row r="30" spans="1:9" x14ac:dyDescent="0.35">
      <c r="A30" s="64" t="s">
        <v>306</v>
      </c>
      <c r="B30" s="65">
        <f>SUMIF('Consolidated SOA'!D:D,A30,'Consolidated SOA'!AF:AF)</f>
        <v>1995.2</v>
      </c>
      <c r="C30" s="65">
        <f>SUMIFS('Consolidated SOA'!AF:AF,'Consolidated SOA'!D:D,A30,'Consolidated SOA'!AI:AI,TRUE)</f>
        <v>997.6</v>
      </c>
      <c r="D30" s="65">
        <f t="shared" si="0"/>
        <v>997.6</v>
      </c>
      <c r="E30" s="66">
        <f t="shared" si="1"/>
        <v>0.5</v>
      </c>
      <c r="F30" s="64" t="str">
        <f t="shared" si="2"/>
        <v>Partially Paid</v>
      </c>
    </row>
    <row r="31" spans="1:9" x14ac:dyDescent="0.35">
      <c r="A31" s="67" t="s">
        <v>310</v>
      </c>
      <c r="B31" s="68">
        <f>SUMIF('Consolidated SOA'!D:D,A31,'Consolidated SOA'!AF:AF)</f>
        <v>8486.36</v>
      </c>
      <c r="C31" s="68">
        <f>SUMIFS('Consolidated SOA'!AF:AF,'Consolidated SOA'!D:D,A31,'Consolidated SOA'!AI:AI,TRUE)</f>
        <v>4243.18</v>
      </c>
      <c r="D31" s="68">
        <f t="shared" si="0"/>
        <v>4243.18</v>
      </c>
      <c r="E31" s="69">
        <f t="shared" si="1"/>
        <v>0.5</v>
      </c>
      <c r="F31" s="67" t="str">
        <f t="shared" si="2"/>
        <v>Partially Paid</v>
      </c>
    </row>
    <row r="32" spans="1:9" x14ac:dyDescent="0.35">
      <c r="A32" s="64" t="s">
        <v>314</v>
      </c>
      <c r="B32" s="65">
        <f>SUMIF('Consolidated SOA'!D:D,A32,'Consolidated SOA'!AF:AF)</f>
        <v>1054.76</v>
      </c>
      <c r="C32" s="65">
        <f>SUMIFS('Consolidated SOA'!AF:AF,'Consolidated SOA'!D:D,A32,'Consolidated SOA'!AI:AI,TRUE)</f>
        <v>527.38</v>
      </c>
      <c r="D32" s="65">
        <f t="shared" si="0"/>
        <v>527.38</v>
      </c>
      <c r="E32" s="66">
        <f t="shared" si="1"/>
        <v>0.5</v>
      </c>
      <c r="F32" s="64" t="str">
        <f t="shared" si="2"/>
        <v>Partially Paid</v>
      </c>
    </row>
    <row r="33" spans="1:6" x14ac:dyDescent="0.35">
      <c r="A33" s="67" t="s">
        <v>318</v>
      </c>
      <c r="B33" s="68">
        <f>SUMIF('Consolidated SOA'!D:D,A33,'Consolidated SOA'!AF:AF)</f>
        <v>12831.52</v>
      </c>
      <c r="C33" s="68">
        <f>SUMIFS('Consolidated SOA'!AF:AF,'Consolidated SOA'!D:D,A33,'Consolidated SOA'!AI:AI,TRUE)</f>
        <v>6415.76</v>
      </c>
      <c r="D33" s="68">
        <f t="shared" si="0"/>
        <v>6415.76</v>
      </c>
      <c r="E33" s="69">
        <f t="shared" si="1"/>
        <v>0.5</v>
      </c>
      <c r="F33" s="67" t="str">
        <f t="shared" si="2"/>
        <v>Partially Paid</v>
      </c>
    </row>
    <row r="34" spans="1:6" x14ac:dyDescent="0.35">
      <c r="A34" s="64" t="s">
        <v>322</v>
      </c>
      <c r="B34" s="65">
        <f>SUMIF('Consolidated SOA'!D:D,A34,'Consolidated SOA'!AF:AF)</f>
        <v>270986.12</v>
      </c>
      <c r="C34" s="65">
        <f>SUMIFS('Consolidated SOA'!AF:AF,'Consolidated SOA'!D:D,A34,'Consolidated SOA'!AI:AI,TRUE)</f>
        <v>132993.47</v>
      </c>
      <c r="D34" s="65">
        <f t="shared" si="0"/>
        <v>137992.65</v>
      </c>
      <c r="E34" s="66">
        <f t="shared" si="1"/>
        <v>0.49077594822937798</v>
      </c>
      <c r="F34" s="64" t="str">
        <f t="shared" si="2"/>
        <v>Partially Paid</v>
      </c>
    </row>
    <row r="35" spans="1:6" x14ac:dyDescent="0.35">
      <c r="A35" s="67" t="s">
        <v>330</v>
      </c>
      <c r="B35" s="68">
        <f>SUMIF('Consolidated SOA'!D:D,A35,'Consolidated SOA'!AF:AF)</f>
        <v>13871.84</v>
      </c>
      <c r="C35" s="68">
        <f>SUMIFS('Consolidated SOA'!AF:AF,'Consolidated SOA'!D:D,A35,'Consolidated SOA'!AI:AI,TRUE)</f>
        <v>6935.92</v>
      </c>
      <c r="D35" s="68">
        <f t="shared" si="0"/>
        <v>6935.92</v>
      </c>
      <c r="E35" s="69">
        <f t="shared" si="1"/>
        <v>0.5</v>
      </c>
      <c r="F35" s="67" t="str">
        <f t="shared" si="2"/>
        <v>Partially Paid</v>
      </c>
    </row>
    <row r="36" spans="1:6" x14ac:dyDescent="0.35">
      <c r="A36" s="64" t="s">
        <v>336</v>
      </c>
      <c r="B36" s="65">
        <f>SUMIF('Consolidated SOA'!D:D,A36,'Consolidated SOA'!AF:AF)</f>
        <v>17742.8</v>
      </c>
      <c r="C36" s="65">
        <f>SUMIFS('Consolidated SOA'!AF:AF,'Consolidated SOA'!D:D,A36,'Consolidated SOA'!AI:AI,TRUE)</f>
        <v>8871.4</v>
      </c>
      <c r="D36" s="65">
        <f t="shared" si="0"/>
        <v>8871.4</v>
      </c>
      <c r="E36" s="66">
        <f t="shared" si="1"/>
        <v>0.5</v>
      </c>
      <c r="F36" s="64" t="str">
        <f t="shared" si="2"/>
        <v>Partially Paid</v>
      </c>
    </row>
    <row r="37" spans="1:6" x14ac:dyDescent="0.35">
      <c r="A37" s="67" t="s">
        <v>340</v>
      </c>
      <c r="B37" s="68">
        <f>SUMIF('Consolidated SOA'!D:D,A37,'Consolidated SOA'!AF:AF)</f>
        <v>102441.82</v>
      </c>
      <c r="C37" s="68">
        <f>SUMIFS('Consolidated SOA'!AF:AF,'Consolidated SOA'!D:D,A37,'Consolidated SOA'!AI:AI,TRUE)</f>
        <v>0</v>
      </c>
      <c r="D37" s="68">
        <f t="shared" si="0"/>
        <v>102441.82</v>
      </c>
      <c r="E37" s="69">
        <f t="shared" si="1"/>
        <v>0</v>
      </c>
      <c r="F37" s="67" t="str">
        <f t="shared" si="2"/>
        <v>Unpaid</v>
      </c>
    </row>
    <row r="38" spans="1:6" x14ac:dyDescent="0.35">
      <c r="A38" s="64" t="s">
        <v>346</v>
      </c>
      <c r="B38" s="65">
        <f>SUMIF('Consolidated SOA'!D:D,A38,'Consolidated SOA'!AF:AF)</f>
        <v>4631.9799999999996</v>
      </c>
      <c r="C38" s="65">
        <f>SUMIFS('Consolidated SOA'!AF:AF,'Consolidated SOA'!D:D,A38,'Consolidated SOA'!AI:AI,TRUE)</f>
        <v>1175.1500000000001</v>
      </c>
      <c r="D38" s="65">
        <f t="shared" ref="D38:D69" si="3">B38-C38</f>
        <v>3456.8299999999995</v>
      </c>
      <c r="E38" s="66">
        <f t="shared" ref="E38:E69" si="4">IFERROR(C38/B38,0)</f>
        <v>0.25370359975647566</v>
      </c>
      <c r="F38" s="64" t="str">
        <f t="shared" ref="F38:F69" si="5">IF(B38=0,"No Balance",IF(C38=0,"Unpaid",IF(ABS(D38)&lt;1,"Fully Paid","Partially Paid")))</f>
        <v>Partially Paid</v>
      </c>
    </row>
    <row r="39" spans="1:6" x14ac:dyDescent="0.35">
      <c r="A39" s="67" t="s">
        <v>351</v>
      </c>
      <c r="B39" s="68">
        <f>SUMIF('Consolidated SOA'!D:D,A39,'Consolidated SOA'!AF:AF)</f>
        <v>19422.22</v>
      </c>
      <c r="C39" s="68">
        <f>SUMIFS('Consolidated SOA'!AF:AF,'Consolidated SOA'!D:D,A39,'Consolidated SOA'!AI:AI,TRUE)</f>
        <v>680.05</v>
      </c>
      <c r="D39" s="68">
        <f t="shared" si="3"/>
        <v>18742.170000000002</v>
      </c>
      <c r="E39" s="69">
        <f t="shared" si="4"/>
        <v>3.5014020024487412E-2</v>
      </c>
      <c r="F39" s="67" t="str">
        <f t="shared" si="5"/>
        <v>Partially Paid</v>
      </c>
    </row>
    <row r="40" spans="1:6" x14ac:dyDescent="0.35">
      <c r="A40" s="64" t="s">
        <v>357</v>
      </c>
      <c r="B40" s="65">
        <f>SUMIF('Consolidated SOA'!D:D,A40,'Consolidated SOA'!AF:AF)</f>
        <v>53407.539999999994</v>
      </c>
      <c r="C40" s="65">
        <f>SUMIFS('Consolidated SOA'!AF:AF,'Consolidated SOA'!D:D,A40,'Consolidated SOA'!AI:AI,TRUE)</f>
        <v>0</v>
      </c>
      <c r="D40" s="65">
        <f t="shared" si="3"/>
        <v>53407.539999999994</v>
      </c>
      <c r="E40" s="66">
        <f t="shared" si="4"/>
        <v>0</v>
      </c>
      <c r="F40" s="64" t="str">
        <f t="shared" si="5"/>
        <v>Unpaid</v>
      </c>
    </row>
    <row r="41" spans="1:6" x14ac:dyDescent="0.35">
      <c r="A41" s="67" t="s">
        <v>366</v>
      </c>
      <c r="B41" s="68">
        <f>SUMIF('Consolidated SOA'!D:D,A41,'Consolidated SOA'!AF:AF)</f>
        <v>4386.3</v>
      </c>
      <c r="C41" s="68">
        <f>SUMIFS('Consolidated SOA'!AF:AF,'Consolidated SOA'!D:D,A41,'Consolidated SOA'!AI:AI,TRUE)</f>
        <v>0</v>
      </c>
      <c r="D41" s="68">
        <f t="shared" si="3"/>
        <v>4386.3</v>
      </c>
      <c r="E41" s="69">
        <f t="shared" si="4"/>
        <v>0</v>
      </c>
      <c r="F41" s="67" t="str">
        <f t="shared" si="5"/>
        <v>Unpaid</v>
      </c>
    </row>
    <row r="42" spans="1:6" x14ac:dyDescent="0.35">
      <c r="A42" s="64" t="s">
        <v>390</v>
      </c>
      <c r="B42" s="65">
        <f>SUMIF('Consolidated SOA'!D:D,A42,'Consolidated SOA'!AF:AF)</f>
        <v>3917.26</v>
      </c>
      <c r="C42" s="65">
        <f>SUMIFS('Consolidated SOA'!AF:AF,'Consolidated SOA'!D:D,A42,'Consolidated SOA'!AI:AI,TRUE)</f>
        <v>1958.63</v>
      </c>
      <c r="D42" s="65">
        <f t="shared" si="3"/>
        <v>1958.63</v>
      </c>
      <c r="E42" s="66">
        <f t="shared" si="4"/>
        <v>0.5</v>
      </c>
      <c r="F42" s="64" t="str">
        <f t="shared" si="5"/>
        <v>Partially Paid</v>
      </c>
    </row>
    <row r="43" spans="1:6" x14ac:dyDescent="0.35">
      <c r="A43" s="67" t="s">
        <v>395</v>
      </c>
      <c r="B43" s="68">
        <f>SUMIF('Consolidated SOA'!D:D,A43,'Consolidated SOA'!AF:AF)</f>
        <v>4163.2999999999993</v>
      </c>
      <c r="C43" s="68">
        <f>SUMIFS('Consolidated SOA'!AF:AF,'Consolidated SOA'!D:D,A43,'Consolidated SOA'!AI:AI,TRUE)</f>
        <v>2081.6499999999996</v>
      </c>
      <c r="D43" s="68">
        <f t="shared" si="3"/>
        <v>2081.6499999999996</v>
      </c>
      <c r="E43" s="69">
        <f t="shared" si="4"/>
        <v>0.5</v>
      </c>
      <c r="F43" s="67" t="str">
        <f t="shared" si="5"/>
        <v>Partially Paid</v>
      </c>
    </row>
    <row r="44" spans="1:6" x14ac:dyDescent="0.35">
      <c r="A44" s="64" t="s">
        <v>400</v>
      </c>
      <c r="B44" s="65">
        <f>SUMIF('Consolidated SOA'!D:D,A44,'Consolidated SOA'!AF:AF)</f>
        <v>3508.58</v>
      </c>
      <c r="C44" s="65">
        <f>SUMIFS('Consolidated SOA'!AF:AF,'Consolidated SOA'!D:D,A44,'Consolidated SOA'!AI:AI,TRUE)</f>
        <v>0</v>
      </c>
      <c r="D44" s="65">
        <f t="shared" si="3"/>
        <v>3508.58</v>
      </c>
      <c r="E44" s="66">
        <f t="shared" si="4"/>
        <v>0</v>
      </c>
      <c r="F44" s="64" t="str">
        <f t="shared" si="5"/>
        <v>Unpaid</v>
      </c>
    </row>
    <row r="45" spans="1:6" x14ac:dyDescent="0.35">
      <c r="A45" s="67" t="s">
        <v>407</v>
      </c>
      <c r="B45" s="68">
        <f>SUMIF('Consolidated SOA'!D:D,A45,'Consolidated SOA'!AF:AF)</f>
        <v>17827.72</v>
      </c>
      <c r="C45" s="68">
        <f>SUMIFS('Consolidated SOA'!AF:AF,'Consolidated SOA'!D:D,A45,'Consolidated SOA'!AI:AI,TRUE)</f>
        <v>0</v>
      </c>
      <c r="D45" s="68">
        <f t="shared" si="3"/>
        <v>17827.72</v>
      </c>
      <c r="E45" s="69">
        <f t="shared" si="4"/>
        <v>0</v>
      </c>
      <c r="F45" s="67" t="str">
        <f t="shared" si="5"/>
        <v>Unpaid</v>
      </c>
    </row>
    <row r="46" spans="1:6" x14ac:dyDescent="0.35">
      <c r="A46" s="64" t="s">
        <v>411</v>
      </c>
      <c r="B46" s="65">
        <f>SUMIF('Consolidated SOA'!D:D,A46,'Consolidated SOA'!AF:AF)</f>
        <v>74144.62</v>
      </c>
      <c r="C46" s="65">
        <f>SUMIFS('Consolidated SOA'!AF:AF,'Consolidated SOA'!D:D,A46,'Consolidated SOA'!AI:AI,TRUE)</f>
        <v>0</v>
      </c>
      <c r="D46" s="65">
        <f t="shared" si="3"/>
        <v>74144.62</v>
      </c>
      <c r="E46" s="66">
        <f t="shared" si="4"/>
        <v>0</v>
      </c>
      <c r="F46" s="64" t="str">
        <f t="shared" si="5"/>
        <v>Unpaid</v>
      </c>
    </row>
    <row r="47" spans="1:6" x14ac:dyDescent="0.35">
      <c r="A47" s="67" t="s">
        <v>433</v>
      </c>
      <c r="B47" s="68">
        <f>SUMIF('Consolidated SOA'!D:D,A47,'Consolidated SOA'!AF:AF)</f>
        <v>1391.38</v>
      </c>
      <c r="C47" s="68">
        <f>SUMIFS('Consolidated SOA'!AF:AF,'Consolidated SOA'!D:D,A47,'Consolidated SOA'!AI:AI,TRUE)</f>
        <v>0</v>
      </c>
      <c r="D47" s="68">
        <f t="shared" si="3"/>
        <v>1391.38</v>
      </c>
      <c r="E47" s="69">
        <f t="shared" si="4"/>
        <v>0</v>
      </c>
      <c r="F47" s="67" t="str">
        <f t="shared" si="5"/>
        <v>Unpaid</v>
      </c>
    </row>
    <row r="48" spans="1:6" x14ac:dyDescent="0.35">
      <c r="A48" s="64" t="s">
        <v>439</v>
      </c>
      <c r="B48" s="65">
        <f>SUMIF('Consolidated SOA'!D:D,A48,'Consolidated SOA'!AF:AF)</f>
        <v>5537.7999999999993</v>
      </c>
      <c r="C48" s="65">
        <f>SUMIFS('Consolidated SOA'!AF:AF,'Consolidated SOA'!D:D,A48,'Consolidated SOA'!AI:AI,TRUE)</f>
        <v>1588.06</v>
      </c>
      <c r="D48" s="65">
        <f t="shared" si="3"/>
        <v>3949.7399999999993</v>
      </c>
      <c r="E48" s="66">
        <f t="shared" si="4"/>
        <v>0.2867673083173824</v>
      </c>
      <c r="F48" s="64" t="str">
        <f t="shared" si="5"/>
        <v>Partially Paid</v>
      </c>
    </row>
    <row r="49" spans="1:6" x14ac:dyDescent="0.35">
      <c r="A49" s="67" t="s">
        <v>446</v>
      </c>
      <c r="B49" s="68">
        <f>SUMIF('Consolidated SOA'!D:D,A49,'Consolidated SOA'!AF:AF)</f>
        <v>8571.24</v>
      </c>
      <c r="C49" s="68">
        <f>SUMIFS('Consolidated SOA'!AF:AF,'Consolidated SOA'!D:D,A49,'Consolidated SOA'!AI:AI,TRUE)</f>
        <v>4285.62</v>
      </c>
      <c r="D49" s="68">
        <f t="shared" si="3"/>
        <v>4285.62</v>
      </c>
      <c r="E49" s="69">
        <f t="shared" si="4"/>
        <v>0.5</v>
      </c>
      <c r="F49" s="67" t="str">
        <f t="shared" si="5"/>
        <v>Partially Paid</v>
      </c>
    </row>
    <row r="50" spans="1:6" x14ac:dyDescent="0.35">
      <c r="A50" s="64" t="s">
        <v>451</v>
      </c>
      <c r="B50" s="65">
        <f>SUMIF('Consolidated SOA'!D:D,A50,'Consolidated SOA'!AF:AF)</f>
        <v>4948.6400000000003</v>
      </c>
      <c r="C50" s="65">
        <f>SUMIFS('Consolidated SOA'!AF:AF,'Consolidated SOA'!D:D,A50,'Consolidated SOA'!AI:AI,TRUE)</f>
        <v>0</v>
      </c>
      <c r="D50" s="65">
        <f t="shared" si="3"/>
        <v>4948.6400000000003</v>
      </c>
      <c r="E50" s="66">
        <f t="shared" si="4"/>
        <v>0</v>
      </c>
      <c r="F50" s="64" t="str">
        <f t="shared" si="5"/>
        <v>Unpaid</v>
      </c>
    </row>
    <row r="51" spans="1:6" x14ac:dyDescent="0.35">
      <c r="A51" s="67" t="s">
        <v>455</v>
      </c>
      <c r="B51" s="68">
        <f>SUMIF('Consolidated SOA'!D:D,A51,'Consolidated SOA'!AF:AF)</f>
        <v>2478.4</v>
      </c>
      <c r="C51" s="68">
        <f>SUMIFS('Consolidated SOA'!AF:AF,'Consolidated SOA'!D:D,A51,'Consolidated SOA'!AI:AI,TRUE)</f>
        <v>1239.2</v>
      </c>
      <c r="D51" s="68">
        <f t="shared" si="3"/>
        <v>1239.2</v>
      </c>
      <c r="E51" s="69">
        <f t="shared" si="4"/>
        <v>0.5</v>
      </c>
      <c r="F51" s="67" t="str">
        <f t="shared" si="5"/>
        <v>Partially Paid</v>
      </c>
    </row>
    <row r="52" spans="1:6" x14ac:dyDescent="0.35">
      <c r="A52" s="64" t="s">
        <v>460</v>
      </c>
      <c r="B52" s="65">
        <f>SUMIF('Consolidated SOA'!D:D,A52,'Consolidated SOA'!AF:AF)</f>
        <v>24215.800000000003</v>
      </c>
      <c r="C52" s="65">
        <f>SUMIFS('Consolidated SOA'!AF:AF,'Consolidated SOA'!D:D,A52,'Consolidated SOA'!AI:AI,TRUE)</f>
        <v>4652.97</v>
      </c>
      <c r="D52" s="65">
        <f t="shared" si="3"/>
        <v>19562.830000000002</v>
      </c>
      <c r="E52" s="66">
        <f t="shared" si="4"/>
        <v>0.19214603688500895</v>
      </c>
      <c r="F52" s="64" t="str">
        <f t="shared" si="5"/>
        <v>Partially Paid</v>
      </c>
    </row>
    <row r="53" spans="1:6" x14ac:dyDescent="0.35">
      <c r="A53" s="67" t="s">
        <v>466</v>
      </c>
      <c r="B53" s="68">
        <f>SUMIF('Consolidated SOA'!D:D,A53,'Consolidated SOA'!AF:AF)</f>
        <v>45144.240000000005</v>
      </c>
      <c r="C53" s="68">
        <f>SUMIFS('Consolidated SOA'!AF:AF,'Consolidated SOA'!D:D,A53,'Consolidated SOA'!AI:AI,TRUE)</f>
        <v>22572.120000000003</v>
      </c>
      <c r="D53" s="68">
        <f t="shared" si="3"/>
        <v>22572.120000000003</v>
      </c>
      <c r="E53" s="69">
        <f t="shared" si="4"/>
        <v>0.5</v>
      </c>
      <c r="F53" s="67" t="str">
        <f t="shared" si="5"/>
        <v>Partially Paid</v>
      </c>
    </row>
    <row r="54" spans="1:6" x14ac:dyDescent="0.35">
      <c r="A54" s="64" t="s">
        <v>472</v>
      </c>
      <c r="B54" s="65">
        <f>SUMIF('Consolidated SOA'!D:D,A54,'Consolidated SOA'!AF:AF)</f>
        <v>38407.58</v>
      </c>
      <c r="C54" s="65">
        <f>SUMIFS('Consolidated SOA'!AF:AF,'Consolidated SOA'!D:D,A54,'Consolidated SOA'!AI:AI,TRUE)</f>
        <v>19203.79</v>
      </c>
      <c r="D54" s="65">
        <f t="shared" si="3"/>
        <v>19203.79</v>
      </c>
      <c r="E54" s="66">
        <f t="shared" si="4"/>
        <v>0.5</v>
      </c>
      <c r="F54" s="64" t="str">
        <f t="shared" si="5"/>
        <v>Partially Paid</v>
      </c>
    </row>
    <row r="55" spans="1:6" x14ac:dyDescent="0.35">
      <c r="A55" s="67" t="s">
        <v>478</v>
      </c>
      <c r="B55" s="68">
        <f>SUMIF('Consolidated SOA'!D:D,A55,'Consolidated SOA'!AF:AF)</f>
        <v>828.44</v>
      </c>
      <c r="C55" s="68">
        <f>SUMIFS('Consolidated SOA'!AF:AF,'Consolidated SOA'!D:D,A55,'Consolidated SOA'!AI:AI,TRUE)</f>
        <v>0</v>
      </c>
      <c r="D55" s="68">
        <f t="shared" si="3"/>
        <v>828.44</v>
      </c>
      <c r="E55" s="69">
        <f t="shared" si="4"/>
        <v>0</v>
      </c>
      <c r="F55" s="67" t="str">
        <f t="shared" si="5"/>
        <v>Unpaid</v>
      </c>
    </row>
    <row r="56" spans="1:6" x14ac:dyDescent="0.35">
      <c r="A56" s="64" t="s">
        <v>482</v>
      </c>
      <c r="B56" s="65">
        <f>SUMIF('Consolidated SOA'!D:D,A56,'Consolidated SOA'!AF:AF)</f>
        <v>38340.36</v>
      </c>
      <c r="C56" s="65">
        <f>SUMIFS('Consolidated SOA'!AF:AF,'Consolidated SOA'!D:D,A56,'Consolidated SOA'!AI:AI,TRUE)</f>
        <v>0</v>
      </c>
      <c r="D56" s="65">
        <f t="shared" si="3"/>
        <v>38340.36</v>
      </c>
      <c r="E56" s="66">
        <f t="shared" si="4"/>
        <v>0</v>
      </c>
      <c r="F56" s="64" t="str">
        <f t="shared" si="5"/>
        <v>Unpaid</v>
      </c>
    </row>
    <row r="57" spans="1:6" x14ac:dyDescent="0.35">
      <c r="A57" s="67" t="s">
        <v>487</v>
      </c>
      <c r="B57" s="68">
        <f>SUMIF('Consolidated SOA'!D:D,A57,'Consolidated SOA'!AF:AF)</f>
        <v>69642.52</v>
      </c>
      <c r="C57" s="68">
        <f>SUMIFS('Consolidated SOA'!AF:AF,'Consolidated SOA'!D:D,A57,'Consolidated SOA'!AI:AI,TRUE)</f>
        <v>0</v>
      </c>
      <c r="D57" s="68">
        <f t="shared" si="3"/>
        <v>69642.52</v>
      </c>
      <c r="E57" s="69">
        <f t="shared" si="4"/>
        <v>0</v>
      </c>
      <c r="F57" s="67" t="str">
        <f t="shared" si="5"/>
        <v>Unpaid</v>
      </c>
    </row>
    <row r="58" spans="1:6" x14ac:dyDescent="0.35">
      <c r="A58" s="64" t="s">
        <v>496</v>
      </c>
      <c r="B58" s="65">
        <f>SUMIF('Consolidated SOA'!D:D,A58,'Consolidated SOA'!AF:AF)</f>
        <v>16518.12</v>
      </c>
      <c r="C58" s="65">
        <f>SUMIFS('Consolidated SOA'!AF:AF,'Consolidated SOA'!D:D,A58,'Consolidated SOA'!AI:AI,TRUE)</f>
        <v>0</v>
      </c>
      <c r="D58" s="65">
        <f t="shared" si="3"/>
        <v>16518.12</v>
      </c>
      <c r="E58" s="66">
        <f t="shared" si="4"/>
        <v>0</v>
      </c>
      <c r="F58" s="64" t="str">
        <f t="shared" si="5"/>
        <v>Unpaid</v>
      </c>
    </row>
    <row r="59" spans="1:6" x14ac:dyDescent="0.35">
      <c r="A59" s="67" t="s">
        <v>512</v>
      </c>
      <c r="B59" s="68">
        <f>SUMIF('Consolidated SOA'!D:D,A59,'Consolidated SOA'!AF:AF)</f>
        <v>6523.9000000000005</v>
      </c>
      <c r="C59" s="68">
        <f>SUMIFS('Consolidated SOA'!AF:AF,'Consolidated SOA'!D:D,A59,'Consolidated SOA'!AI:AI,TRUE)</f>
        <v>0</v>
      </c>
      <c r="D59" s="68">
        <f t="shared" si="3"/>
        <v>6523.9000000000005</v>
      </c>
      <c r="E59" s="69">
        <f t="shared" si="4"/>
        <v>0</v>
      </c>
      <c r="F59" s="67" t="str">
        <f t="shared" si="5"/>
        <v>Unpaid</v>
      </c>
    </row>
    <row r="60" spans="1:6" x14ac:dyDescent="0.35">
      <c r="A60" s="64" t="s">
        <v>522</v>
      </c>
      <c r="B60" s="65">
        <f>SUMIF('Consolidated SOA'!D:D,A60,'Consolidated SOA'!AF:AF)</f>
        <v>25955.42</v>
      </c>
      <c r="C60" s="65">
        <f>SUMIFS('Consolidated SOA'!AF:AF,'Consolidated SOA'!D:D,A60,'Consolidated SOA'!AI:AI,TRUE)</f>
        <v>0</v>
      </c>
      <c r="D60" s="65">
        <f t="shared" si="3"/>
        <v>25955.42</v>
      </c>
      <c r="E60" s="66">
        <f t="shared" si="4"/>
        <v>0</v>
      </c>
      <c r="F60" s="64" t="str">
        <f t="shared" si="5"/>
        <v>Unpaid</v>
      </c>
    </row>
    <row r="61" spans="1:6" x14ac:dyDescent="0.35">
      <c r="A61" s="67" t="s">
        <v>542</v>
      </c>
      <c r="B61" s="68">
        <f>SUMIF('Consolidated SOA'!D:D,A61,'Consolidated SOA'!AF:AF)</f>
        <v>10008.98</v>
      </c>
      <c r="C61" s="68">
        <f>SUMIFS('Consolidated SOA'!AF:AF,'Consolidated SOA'!D:D,A61,'Consolidated SOA'!AI:AI,TRUE)</f>
        <v>5004.49</v>
      </c>
      <c r="D61" s="68">
        <f t="shared" si="3"/>
        <v>5004.49</v>
      </c>
      <c r="E61" s="69">
        <f t="shared" si="4"/>
        <v>0.5</v>
      </c>
      <c r="F61" s="67" t="str">
        <f t="shared" si="5"/>
        <v>Partially Paid</v>
      </c>
    </row>
    <row r="62" spans="1:6" x14ac:dyDescent="0.35">
      <c r="A62" s="64" t="s">
        <v>546</v>
      </c>
      <c r="B62" s="65">
        <f>SUMIF('Consolidated SOA'!D:D,A62,'Consolidated SOA'!AF:AF)</f>
        <v>90031.34</v>
      </c>
      <c r="C62" s="65">
        <f>SUMIFS('Consolidated SOA'!AF:AF,'Consolidated SOA'!D:D,A62,'Consolidated SOA'!AI:AI,TRUE)</f>
        <v>1483.72</v>
      </c>
      <c r="D62" s="65">
        <f t="shared" si="3"/>
        <v>88547.62</v>
      </c>
      <c r="E62" s="66">
        <f t="shared" si="4"/>
        <v>1.6480039061953316E-2</v>
      </c>
      <c r="F62" s="64" t="str">
        <f t="shared" si="5"/>
        <v>Partially Paid</v>
      </c>
    </row>
    <row r="63" spans="1:6" x14ac:dyDescent="0.35">
      <c r="A63" s="67" t="s">
        <v>556</v>
      </c>
      <c r="B63" s="68">
        <f>SUMIF('Consolidated SOA'!D:D,A63,'Consolidated SOA'!AF:AF)</f>
        <v>230235.68</v>
      </c>
      <c r="C63" s="68">
        <f>SUMIFS('Consolidated SOA'!AF:AF,'Consolidated SOA'!D:D,A63,'Consolidated SOA'!AI:AI,TRUE)</f>
        <v>50077.619999999995</v>
      </c>
      <c r="D63" s="68">
        <f t="shared" si="3"/>
        <v>180158.06</v>
      </c>
      <c r="E63" s="69">
        <f t="shared" si="4"/>
        <v>0.21750590525326047</v>
      </c>
      <c r="F63" s="67" t="str">
        <f t="shared" si="5"/>
        <v>Partially Paid</v>
      </c>
    </row>
    <row r="64" spans="1:6" x14ac:dyDescent="0.35">
      <c r="A64" s="64" t="s">
        <v>576</v>
      </c>
      <c r="B64" s="65">
        <f>SUMIF('Consolidated SOA'!D:D,A64,'Consolidated SOA'!AF:AF)</f>
        <v>108875.72</v>
      </c>
      <c r="C64" s="65">
        <f>SUMIFS('Consolidated SOA'!AF:AF,'Consolidated SOA'!D:D,A64,'Consolidated SOA'!AI:AI,TRUE)</f>
        <v>0</v>
      </c>
      <c r="D64" s="65">
        <f t="shared" si="3"/>
        <v>108875.72</v>
      </c>
      <c r="E64" s="66">
        <f t="shared" si="4"/>
        <v>0</v>
      </c>
      <c r="F64" s="64" t="str">
        <f t="shared" si="5"/>
        <v>Unpaid</v>
      </c>
    </row>
    <row r="65" spans="1:6" x14ac:dyDescent="0.35">
      <c r="A65" s="67" t="s">
        <v>596</v>
      </c>
      <c r="B65" s="68">
        <f>SUMIF('Consolidated SOA'!D:D,A65,'Consolidated SOA'!AF:AF)</f>
        <v>24698.94</v>
      </c>
      <c r="C65" s="68">
        <f>SUMIFS('Consolidated SOA'!AF:AF,'Consolidated SOA'!D:D,A65,'Consolidated SOA'!AI:AI,TRUE)</f>
        <v>12349.47</v>
      </c>
      <c r="D65" s="68">
        <f t="shared" si="3"/>
        <v>12349.47</v>
      </c>
      <c r="E65" s="69">
        <f t="shared" si="4"/>
        <v>0.5</v>
      </c>
      <c r="F65" s="67" t="str">
        <f t="shared" si="5"/>
        <v>Partially Paid</v>
      </c>
    </row>
    <row r="66" spans="1:6" x14ac:dyDescent="0.35">
      <c r="A66" s="64" t="s">
        <v>600</v>
      </c>
      <c r="B66" s="65">
        <f>SUMIF('Consolidated SOA'!D:D,A66,'Consolidated SOA'!AF:AF)</f>
        <v>81855.240000000005</v>
      </c>
      <c r="C66" s="65">
        <f>SUMIFS('Consolidated SOA'!AF:AF,'Consolidated SOA'!D:D,A66,'Consolidated SOA'!AI:AI,TRUE)</f>
        <v>3028.27</v>
      </c>
      <c r="D66" s="65">
        <f t="shared" si="3"/>
        <v>78826.97</v>
      </c>
      <c r="E66" s="66">
        <f t="shared" si="4"/>
        <v>3.699543242436281E-2</v>
      </c>
      <c r="F66" s="64" t="str">
        <f t="shared" si="5"/>
        <v>Partially Paid</v>
      </c>
    </row>
    <row r="67" spans="1:6" x14ac:dyDescent="0.35">
      <c r="A67" s="67" t="s">
        <v>618</v>
      </c>
      <c r="B67" s="68">
        <f>SUMIF('Consolidated SOA'!D:D,A67,'Consolidated SOA'!AF:AF)</f>
        <v>20020.98</v>
      </c>
      <c r="C67" s="68">
        <f>SUMIFS('Consolidated SOA'!AF:AF,'Consolidated SOA'!D:D,A67,'Consolidated SOA'!AI:AI,TRUE)</f>
        <v>9090.6099999999988</v>
      </c>
      <c r="D67" s="68">
        <f t="shared" si="3"/>
        <v>10930.37</v>
      </c>
      <c r="E67" s="69">
        <f t="shared" si="4"/>
        <v>0.45405419714719253</v>
      </c>
      <c r="F67" s="67" t="str">
        <f t="shared" si="5"/>
        <v>Partially Paid</v>
      </c>
    </row>
    <row r="68" spans="1:6" x14ac:dyDescent="0.35">
      <c r="A68" s="64" t="s">
        <v>636</v>
      </c>
      <c r="B68" s="65">
        <f>SUMIF('Consolidated SOA'!D:D,A68,'Consolidated SOA'!AF:AF)</f>
        <v>16365.18</v>
      </c>
      <c r="C68" s="65">
        <f>SUMIFS('Consolidated SOA'!AF:AF,'Consolidated SOA'!D:D,A68,'Consolidated SOA'!AI:AI,TRUE)</f>
        <v>0</v>
      </c>
      <c r="D68" s="65">
        <f t="shared" si="3"/>
        <v>16365.18</v>
      </c>
      <c r="E68" s="66">
        <f t="shared" si="4"/>
        <v>0</v>
      </c>
      <c r="F68" s="64" t="str">
        <f t="shared" si="5"/>
        <v>Unpaid</v>
      </c>
    </row>
    <row r="69" spans="1:6" x14ac:dyDescent="0.35">
      <c r="A69" s="67" t="s">
        <v>642</v>
      </c>
      <c r="B69" s="68">
        <f>SUMIF('Consolidated SOA'!D:D,A69,'Consolidated SOA'!AF:AF)</f>
        <v>10009.619999999999</v>
      </c>
      <c r="C69" s="68">
        <f>SUMIFS('Consolidated SOA'!AF:AF,'Consolidated SOA'!D:D,A69,'Consolidated SOA'!AI:AI,TRUE)</f>
        <v>0</v>
      </c>
      <c r="D69" s="68">
        <f t="shared" si="3"/>
        <v>10009.619999999999</v>
      </c>
      <c r="E69" s="69">
        <f t="shared" si="4"/>
        <v>0</v>
      </c>
      <c r="F69" s="67" t="str">
        <f t="shared" si="5"/>
        <v>Unpaid</v>
      </c>
    </row>
    <row r="70" spans="1:6" x14ac:dyDescent="0.35">
      <c r="A70" s="64" t="s">
        <v>650</v>
      </c>
      <c r="B70" s="65">
        <f>SUMIF('Consolidated SOA'!D:D,A70,'Consolidated SOA'!AF:AF)</f>
        <v>5067.7</v>
      </c>
      <c r="C70" s="65">
        <f>SUMIFS('Consolidated SOA'!AF:AF,'Consolidated SOA'!D:D,A70,'Consolidated SOA'!AI:AI,TRUE)</f>
        <v>0</v>
      </c>
      <c r="D70" s="65">
        <f t="shared" ref="D70:D83" si="6">B70-C70</f>
        <v>5067.7</v>
      </c>
      <c r="E70" s="66">
        <f t="shared" ref="E70:E84" si="7">IFERROR(C70/B70,0)</f>
        <v>0</v>
      </c>
      <c r="F70" s="64" t="str">
        <f t="shared" ref="F70:F83" si="8">IF(B70=0,"No Balance",IF(C70=0,"Unpaid",IF(ABS(D70)&lt;1,"Fully Paid","Partially Paid")))</f>
        <v>Unpaid</v>
      </c>
    </row>
    <row r="71" spans="1:6" x14ac:dyDescent="0.35">
      <c r="A71" s="67" t="s">
        <v>657</v>
      </c>
      <c r="B71" s="68">
        <f>SUMIF('Consolidated SOA'!D:D,A71,'Consolidated SOA'!AF:AF)</f>
        <v>48934.319999999992</v>
      </c>
      <c r="C71" s="68">
        <f>SUMIFS('Consolidated SOA'!AF:AF,'Consolidated SOA'!D:D,A71,'Consolidated SOA'!AI:AI,TRUE)</f>
        <v>7291.7</v>
      </c>
      <c r="D71" s="68">
        <f t="shared" si="6"/>
        <v>41642.619999999995</v>
      </c>
      <c r="E71" s="69">
        <f t="shared" si="7"/>
        <v>0.14900993821922939</v>
      </c>
      <c r="F71" s="67" t="str">
        <f t="shared" si="8"/>
        <v>Partially Paid</v>
      </c>
    </row>
    <row r="72" spans="1:6" x14ac:dyDescent="0.35">
      <c r="A72" s="64" t="s">
        <v>665</v>
      </c>
      <c r="B72" s="65">
        <f>SUMIF('Consolidated SOA'!D:D,A72,'Consolidated SOA'!AF:AF)</f>
        <v>112072.92000000001</v>
      </c>
      <c r="C72" s="65">
        <f>SUMIFS('Consolidated SOA'!AF:AF,'Consolidated SOA'!D:D,A72,'Consolidated SOA'!AI:AI,TRUE)</f>
        <v>0</v>
      </c>
      <c r="D72" s="65">
        <f t="shared" si="6"/>
        <v>112072.92000000001</v>
      </c>
      <c r="E72" s="66">
        <f t="shared" si="7"/>
        <v>0</v>
      </c>
      <c r="F72" s="64" t="str">
        <f t="shared" si="8"/>
        <v>Unpaid</v>
      </c>
    </row>
    <row r="73" spans="1:6" x14ac:dyDescent="0.35">
      <c r="A73" s="67" t="s">
        <v>673</v>
      </c>
      <c r="B73" s="68">
        <f>SUMIF('Consolidated SOA'!D:D,A73,'Consolidated SOA'!AF:AF)</f>
        <v>45752.039999999994</v>
      </c>
      <c r="C73" s="68">
        <f>SUMIFS('Consolidated SOA'!AF:AF,'Consolidated SOA'!D:D,A73,'Consolidated SOA'!AI:AI,TRUE)</f>
        <v>2130.87</v>
      </c>
      <c r="D73" s="68">
        <f t="shared" si="6"/>
        <v>43621.169999999991</v>
      </c>
      <c r="E73" s="69">
        <f t="shared" si="7"/>
        <v>4.6574316686206783E-2</v>
      </c>
      <c r="F73" s="67" t="str">
        <f t="shared" si="8"/>
        <v>Partially Paid</v>
      </c>
    </row>
    <row r="74" spans="1:6" x14ac:dyDescent="0.35">
      <c r="A74" s="64" t="s">
        <v>685</v>
      </c>
      <c r="B74" s="65">
        <f>SUMIF('Consolidated SOA'!D:D,A74,'Consolidated SOA'!AF:AF)</f>
        <v>28383.559999999998</v>
      </c>
      <c r="C74" s="65">
        <f>SUMIFS('Consolidated SOA'!AF:AF,'Consolidated SOA'!D:D,A74,'Consolidated SOA'!AI:AI,TRUE)</f>
        <v>0</v>
      </c>
      <c r="D74" s="65">
        <f t="shared" si="6"/>
        <v>28383.559999999998</v>
      </c>
      <c r="E74" s="66">
        <f t="shared" si="7"/>
        <v>0</v>
      </c>
      <c r="F74" s="64" t="str">
        <f t="shared" si="8"/>
        <v>Unpaid</v>
      </c>
    </row>
    <row r="75" spans="1:6" x14ac:dyDescent="0.35">
      <c r="A75" s="67" t="s">
        <v>691</v>
      </c>
      <c r="B75" s="68">
        <f>SUMIF('Consolidated SOA'!D:D,A75,'Consolidated SOA'!AF:AF)</f>
        <v>10738.08</v>
      </c>
      <c r="C75" s="68">
        <f>SUMIFS('Consolidated SOA'!AF:AF,'Consolidated SOA'!D:D,A75,'Consolidated SOA'!AI:AI,TRUE)</f>
        <v>5369.04</v>
      </c>
      <c r="D75" s="68">
        <f t="shared" si="6"/>
        <v>5369.04</v>
      </c>
      <c r="E75" s="69">
        <f t="shared" si="7"/>
        <v>0.5</v>
      </c>
      <c r="F75" s="67" t="str">
        <f t="shared" si="8"/>
        <v>Partially Paid</v>
      </c>
    </row>
    <row r="76" spans="1:6" x14ac:dyDescent="0.35">
      <c r="A76" s="64" t="s">
        <v>696</v>
      </c>
      <c r="B76" s="65">
        <f>SUMIF('Consolidated SOA'!D:D,A76,'Consolidated SOA'!AF:AF)</f>
        <v>198236.68</v>
      </c>
      <c r="C76" s="65">
        <f>SUMIFS('Consolidated SOA'!AF:AF,'Consolidated SOA'!D:D,A76,'Consolidated SOA'!AI:AI,TRUE)</f>
        <v>0</v>
      </c>
      <c r="D76" s="65">
        <f t="shared" si="6"/>
        <v>198236.68</v>
      </c>
      <c r="E76" s="66">
        <f t="shared" si="7"/>
        <v>0</v>
      </c>
      <c r="F76" s="64" t="str">
        <f t="shared" si="8"/>
        <v>Unpaid</v>
      </c>
    </row>
    <row r="77" spans="1:6" x14ac:dyDescent="0.35">
      <c r="A77" s="67" t="s">
        <v>718</v>
      </c>
      <c r="B77" s="68">
        <f>SUMIF('Consolidated SOA'!D:D,A77,'Consolidated SOA'!AF:AF)</f>
        <v>6385.72</v>
      </c>
      <c r="C77" s="68">
        <f>SUMIFS('Consolidated SOA'!AF:AF,'Consolidated SOA'!D:D,A77,'Consolidated SOA'!AI:AI,TRUE)</f>
        <v>0</v>
      </c>
      <c r="D77" s="68">
        <f t="shared" si="6"/>
        <v>6385.72</v>
      </c>
      <c r="E77" s="69">
        <f t="shared" si="7"/>
        <v>0</v>
      </c>
      <c r="F77" s="67" t="str">
        <f t="shared" si="8"/>
        <v>Unpaid</v>
      </c>
    </row>
    <row r="78" spans="1:6" x14ac:dyDescent="0.35">
      <c r="A78" s="64" t="s">
        <v>733</v>
      </c>
      <c r="B78" s="65">
        <f>SUMIF('Consolidated SOA'!D:D,A78,'Consolidated SOA'!AF:AF)</f>
        <v>11778.560000000001</v>
      </c>
      <c r="C78" s="65">
        <f>SUMIFS('Consolidated SOA'!AF:AF,'Consolidated SOA'!D:D,A78,'Consolidated SOA'!AI:AI,TRUE)</f>
        <v>3445.36</v>
      </c>
      <c r="D78" s="65">
        <f t="shared" si="6"/>
        <v>8333.2000000000007</v>
      </c>
      <c r="E78" s="66">
        <f t="shared" si="7"/>
        <v>0.29251113888285152</v>
      </c>
      <c r="F78" s="64" t="str">
        <f t="shared" si="8"/>
        <v>Partially Paid</v>
      </c>
    </row>
    <row r="79" spans="1:6" x14ac:dyDescent="0.35">
      <c r="A79" s="67" t="s">
        <v>742</v>
      </c>
      <c r="B79" s="68">
        <f>SUMIF('Consolidated SOA'!D:D,A79,'Consolidated SOA'!AF:AF)</f>
        <v>27016.46</v>
      </c>
      <c r="C79" s="68">
        <f>SUMIFS('Consolidated SOA'!AF:AF,'Consolidated SOA'!D:D,A79,'Consolidated SOA'!AI:AI,TRUE)</f>
        <v>0</v>
      </c>
      <c r="D79" s="68">
        <f t="shared" si="6"/>
        <v>27016.46</v>
      </c>
      <c r="E79" s="69">
        <f t="shared" si="7"/>
        <v>0</v>
      </c>
      <c r="F79" s="67" t="str">
        <f t="shared" si="8"/>
        <v>Unpaid</v>
      </c>
    </row>
    <row r="80" spans="1:6" x14ac:dyDescent="0.35">
      <c r="A80" s="64" t="s">
        <v>760</v>
      </c>
      <c r="B80" s="65">
        <f>SUMIF('Consolidated SOA'!D:D,A80,'Consolidated SOA'!AF:AF)</f>
        <v>7006.96</v>
      </c>
      <c r="C80" s="65">
        <f>SUMIFS('Consolidated SOA'!AF:AF,'Consolidated SOA'!D:D,A80,'Consolidated SOA'!AI:AI,TRUE)</f>
        <v>3503.48</v>
      </c>
      <c r="D80" s="65">
        <f t="shared" si="6"/>
        <v>3503.48</v>
      </c>
      <c r="E80" s="66">
        <f t="shared" si="7"/>
        <v>0.5</v>
      </c>
      <c r="F80" s="64" t="str">
        <f t="shared" si="8"/>
        <v>Partially Paid</v>
      </c>
    </row>
    <row r="81" spans="1:6" x14ac:dyDescent="0.35">
      <c r="A81" s="67" t="s">
        <v>764</v>
      </c>
      <c r="B81" s="68">
        <f>SUMIF('Consolidated SOA'!D:D,A81,'Consolidated SOA'!AF:AF)</f>
        <v>58638.46</v>
      </c>
      <c r="C81" s="68">
        <f>SUMIFS('Consolidated SOA'!AF:AF,'Consolidated SOA'!D:D,A81,'Consolidated SOA'!AI:AI,TRUE)</f>
        <v>0</v>
      </c>
      <c r="D81" s="68">
        <f t="shared" si="6"/>
        <v>58638.46</v>
      </c>
      <c r="E81" s="69">
        <f t="shared" si="7"/>
        <v>0</v>
      </c>
      <c r="F81" s="67" t="str">
        <f t="shared" si="8"/>
        <v>Unpaid</v>
      </c>
    </row>
    <row r="82" spans="1:6" x14ac:dyDescent="0.35">
      <c r="A82" s="64" t="s">
        <v>771</v>
      </c>
      <c r="B82" s="65">
        <f>SUMIF('Consolidated SOA'!D:D,A82,'Consolidated SOA'!AF:AF)</f>
        <v>2180.04</v>
      </c>
      <c r="C82" s="65">
        <f>SUMIFS('Consolidated SOA'!AF:AF,'Consolidated SOA'!D:D,A82,'Consolidated SOA'!AI:AI,TRUE)</f>
        <v>543.82000000000005</v>
      </c>
      <c r="D82" s="65">
        <f t="shared" si="6"/>
        <v>1636.2199999999998</v>
      </c>
      <c r="E82" s="66">
        <f t="shared" si="7"/>
        <v>0.24945413845617515</v>
      </c>
      <c r="F82" s="64" t="str">
        <f t="shared" si="8"/>
        <v>Partially Paid</v>
      </c>
    </row>
    <row r="83" spans="1:6" x14ac:dyDescent="0.35">
      <c r="A83" s="67" t="s">
        <v>776</v>
      </c>
      <c r="B83" s="68">
        <f>SUMIF('Consolidated SOA'!D:D,A83,'Consolidated SOA'!AF:AF)</f>
        <v>2914.48</v>
      </c>
      <c r="C83" s="68">
        <f>SUMIFS('Consolidated SOA'!AF:AF,'Consolidated SOA'!D:D,A83,'Consolidated SOA'!AI:AI,TRUE)</f>
        <v>724.26</v>
      </c>
      <c r="D83" s="68">
        <f t="shared" si="6"/>
        <v>2190.2200000000003</v>
      </c>
      <c r="E83" s="69">
        <f t="shared" si="7"/>
        <v>0.24850402130054075</v>
      </c>
      <c r="F83" s="67" t="str">
        <f t="shared" si="8"/>
        <v>Partially Paid</v>
      </c>
    </row>
    <row r="84" spans="1:6" x14ac:dyDescent="0.35">
      <c r="A84" s="70" t="s">
        <v>927</v>
      </c>
      <c r="B84" s="71">
        <f>SUM(B6:B83)</f>
        <v>8763361.2000000067</v>
      </c>
      <c r="C84" s="71">
        <f>SUM(C6:C83)</f>
        <v>1675117.5800000005</v>
      </c>
      <c r="D84" s="71">
        <f>SUM(D6:D83)</f>
        <v>7088243.6199999982</v>
      </c>
      <c r="E84" s="72">
        <f t="shared" si="7"/>
        <v>0.19115012399580189</v>
      </c>
      <c r="F84" s="70"/>
    </row>
  </sheetData>
  <mergeCells count="5">
    <mergeCell ref="A1:F1"/>
    <mergeCell ref="A2:F2"/>
    <mergeCell ref="A3:F3"/>
    <mergeCell ref="H5:J5"/>
    <mergeCell ref="H12:I12"/>
  </mergeCells>
  <conditionalFormatting sqref="E6:E83">
    <cfRule type="dataBar" priority="4">
      <dataBar>
        <cfvo type="min"/>
        <cfvo type="max"/>
        <color rgb="FF63BE7B"/>
      </dataBar>
      <extLst>
        <ext xmlns:x14="http://schemas.microsoft.com/office/spreadsheetml/2009/9/main" uri="{B025F937-C7B1-47D3-B67F-A62EFF666E3E}">
          <x14:id>{0395C135-E49C-4FA2-9C4A-E06ED293FC25}</x14:id>
        </ext>
      </extLst>
    </cfRule>
  </conditionalFormatting>
  <conditionalFormatting sqref="F6:F83">
    <cfRule type="containsText" dxfId="175" priority="5" operator="containsText" text="Fully Paid">
      <formula>NOT(ISERROR(SEARCH("Fully Paid",F6)))</formula>
    </cfRule>
    <cfRule type="containsText" dxfId="174" priority="6" operator="containsText" text="Partially Paid">
      <formula>NOT(ISERROR(SEARCH("Partially Paid",F6)))</formula>
    </cfRule>
    <cfRule type="containsText" dxfId="173" priority="7" operator="containsText" text="Unpaid">
      <formula>NOT(ISERROR(SEARCH("Unpaid",F6)))</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395C135-E49C-4FA2-9C4A-E06ED293FC25}">
            <x14:dataBar minLength="0" maxLength="100" border="1" direction="leftToRight" negativeBarColorSameAsPositive="1" axisPosition="none">
              <x14:cfvo type="min"/>
              <x14:cfvo type="max"/>
              <x14:borderColor rgb="FF63BE7B"/>
            </x14:dataBar>
          </x14:cfRule>
          <xm:sqref>E6:E83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66F7D-5FC9-49B2-83BD-574076E30F2E}">
  <sheetPr codeName="Sheet6">
    <tabColor rgb="FFFFFF00"/>
  </sheetPr>
  <dimension ref="A1:BA31"/>
  <sheetViews>
    <sheetView showGridLines="0" zoomScale="70" zoomScaleNormal="70" workbookViewId="0">
      <selection activeCell="L13" sqref="L13"/>
    </sheetView>
  </sheetViews>
  <sheetFormatPr defaultRowHeight="14.5" x14ac:dyDescent="0.35"/>
  <cols>
    <col min="1" max="1" width="22.1796875" style="52" customWidth="1"/>
    <col min="2" max="2" width="32" style="52" bestFit="1" customWidth="1"/>
    <col min="3" max="3" width="23.7265625" style="53" bestFit="1" customWidth="1"/>
    <col min="4" max="4" width="10.7265625" style="55" bestFit="1" customWidth="1"/>
    <col min="5" max="6" width="10.36328125" style="53" bestFit="1" customWidth="1"/>
    <col min="7" max="8" width="10.36328125" style="52" bestFit="1" customWidth="1"/>
    <col min="9" max="9" width="11.90625" style="52" bestFit="1" customWidth="1"/>
    <col min="10" max="13" width="11.90625" style="52" customWidth="1"/>
    <col min="14" max="14" width="10.81640625" style="52" bestFit="1" customWidth="1"/>
    <col min="15" max="15" width="35.54296875" style="52" bestFit="1" customWidth="1"/>
    <col min="16" max="16" width="14.6328125" style="56" bestFit="1" customWidth="1"/>
    <col min="17" max="21" width="10.26953125" style="52" bestFit="1" customWidth="1"/>
    <col min="22" max="22" width="10.6328125" style="52" bestFit="1" customWidth="1"/>
    <col min="23" max="23" width="10.6328125" style="52" customWidth="1"/>
    <col min="24" max="24" width="17.36328125" style="52" bestFit="1" customWidth="1"/>
    <col min="25" max="26" width="10.6328125" style="52" customWidth="1"/>
    <col min="27" max="27" width="11" style="52" bestFit="1" customWidth="1"/>
    <col min="28" max="28" width="29.81640625" style="52" bestFit="1" customWidth="1"/>
    <col min="29" max="29" width="48.26953125" style="52" customWidth="1"/>
    <col min="30" max="32" width="8.7265625" style="52"/>
    <col min="33" max="33" width="23.26953125" style="52" bestFit="1" customWidth="1"/>
    <col min="34" max="34" width="35.90625" style="52" bestFit="1" customWidth="1"/>
    <col min="35" max="35" width="14.6328125" style="52" bestFit="1" customWidth="1"/>
    <col min="36" max="40" width="9.26953125" style="52" bestFit="1" customWidth="1"/>
    <col min="41" max="41" width="10.6328125" style="52" bestFit="1" customWidth="1"/>
    <col min="42" max="42" width="14.7265625" style="52" bestFit="1" customWidth="1"/>
    <col min="43" max="44" width="8.7265625" style="52"/>
    <col min="45" max="45" width="23.26953125" style="52" bestFit="1" customWidth="1"/>
    <col min="46" max="46" width="33.81640625" style="52" bestFit="1" customWidth="1"/>
    <col min="47" max="47" width="14.6328125" style="52" bestFit="1" customWidth="1"/>
    <col min="48" max="51" width="9.36328125" style="52" bestFit="1" customWidth="1"/>
    <col min="52" max="52" width="10.7265625" style="52" bestFit="1" customWidth="1"/>
    <col min="53" max="53" width="61.90625" style="52" customWidth="1"/>
    <col min="54" max="16384" width="8.7265625" style="52"/>
  </cols>
  <sheetData>
    <row r="1" spans="1:53" x14ac:dyDescent="0.35">
      <c r="A1" s="172" t="s">
        <v>781</v>
      </c>
      <c r="B1" s="52" t="s">
        <v>934</v>
      </c>
      <c r="N1" s="172" t="s">
        <v>781</v>
      </c>
      <c r="O1" s="52" t="s">
        <v>868</v>
      </c>
      <c r="P1" s="55"/>
      <c r="Q1" s="53"/>
      <c r="R1" s="53"/>
      <c r="S1" s="53"/>
      <c r="AA1" s="172" t="s">
        <v>781</v>
      </c>
      <c r="AB1" s="52" t="s">
        <v>875</v>
      </c>
      <c r="AC1" s="53"/>
      <c r="AD1" s="53"/>
      <c r="AE1" s="53"/>
      <c r="AF1" s="53"/>
      <c r="AG1" s="172" t="s">
        <v>781</v>
      </c>
      <c r="AH1" s="52" t="s">
        <v>873</v>
      </c>
      <c r="AI1" s="55"/>
      <c r="AJ1" s="53"/>
      <c r="AK1" s="53"/>
      <c r="AL1" s="53"/>
      <c r="AS1" s="172" t="s">
        <v>781</v>
      </c>
      <c r="AT1" s="52" t="s">
        <v>869</v>
      </c>
      <c r="AU1" s="55"/>
      <c r="AV1" s="53"/>
      <c r="AW1" s="53"/>
      <c r="AX1" s="53"/>
    </row>
    <row r="2" spans="1:53" ht="15" thickBot="1" x14ac:dyDescent="0.4">
      <c r="P2" s="55"/>
      <c r="Q2" s="53"/>
      <c r="R2" s="53"/>
      <c r="S2" s="53"/>
      <c r="AC2" s="53"/>
      <c r="AD2" s="53"/>
      <c r="AE2" s="53"/>
      <c r="AF2" s="53"/>
      <c r="AI2" s="55"/>
      <c r="AJ2" s="53"/>
      <c r="AK2" s="53"/>
      <c r="AL2" s="53"/>
      <c r="AU2" s="55"/>
      <c r="AV2" s="53"/>
      <c r="AW2" s="53"/>
      <c r="AX2" s="53"/>
    </row>
    <row r="3" spans="1:53" x14ac:dyDescent="0.35">
      <c r="A3" s="172" t="s">
        <v>929</v>
      </c>
      <c r="C3" s="52"/>
      <c r="D3" s="52"/>
      <c r="E3" s="52" t="s">
        <v>9</v>
      </c>
      <c r="F3" s="52"/>
      <c r="J3"/>
      <c r="K3"/>
      <c r="L3" s="120"/>
      <c r="M3" s="120"/>
      <c r="N3" s="172" t="s">
        <v>929</v>
      </c>
      <c r="P3" s="52"/>
      <c r="Q3" s="174" t="s">
        <v>9</v>
      </c>
      <c r="R3" s="53"/>
      <c r="S3" s="53"/>
      <c r="T3" s="53"/>
      <c r="U3" s="53"/>
      <c r="V3" s="53"/>
      <c r="W3"/>
      <c r="X3" s="60"/>
      <c r="Y3" s="120"/>
      <c r="Z3" s="57"/>
      <c r="AA3" s="172" t="s">
        <v>1</v>
      </c>
      <c r="AB3" s="172" t="s">
        <v>3</v>
      </c>
      <c r="AC3" s="61" t="s">
        <v>936</v>
      </c>
      <c r="AG3" s="172" t="s">
        <v>929</v>
      </c>
      <c r="AJ3" s="174" t="s">
        <v>9</v>
      </c>
      <c r="AK3" s="53"/>
      <c r="AL3" s="53"/>
      <c r="AM3" s="53"/>
      <c r="AN3" s="53"/>
      <c r="AO3" s="53"/>
      <c r="AP3" s="60"/>
      <c r="AS3" s="172" t="s">
        <v>929</v>
      </c>
      <c r="AV3" s="174" t="s">
        <v>9</v>
      </c>
      <c r="AW3" s="53"/>
      <c r="AX3" s="53"/>
      <c r="AY3" s="53"/>
      <c r="AZ3" s="53"/>
      <c r="BA3" s="171"/>
    </row>
    <row r="4" spans="1:53" x14ac:dyDescent="0.35">
      <c r="A4" s="172" t="s">
        <v>1</v>
      </c>
      <c r="B4" s="172" t="s">
        <v>3</v>
      </c>
      <c r="C4" s="172" t="s">
        <v>5</v>
      </c>
      <c r="D4" s="172" t="s">
        <v>1062</v>
      </c>
      <c r="E4" s="52" t="s">
        <v>922</v>
      </c>
      <c r="F4" s="52" t="s">
        <v>925</v>
      </c>
      <c r="G4" s="52" t="s">
        <v>926</v>
      </c>
      <c r="H4" s="52" t="s">
        <v>923</v>
      </c>
      <c r="I4" s="53" t="s">
        <v>927</v>
      </c>
      <c r="J4"/>
      <c r="K4"/>
      <c r="L4" s="120"/>
      <c r="M4" s="120"/>
      <c r="N4" s="172" t="s">
        <v>1</v>
      </c>
      <c r="O4" s="172" t="s">
        <v>3</v>
      </c>
      <c r="P4" s="172" t="s">
        <v>6</v>
      </c>
      <c r="Q4" s="52" t="s">
        <v>18</v>
      </c>
      <c r="R4" s="53" t="s">
        <v>922</v>
      </c>
      <c r="S4" s="53" t="s">
        <v>923</v>
      </c>
      <c r="T4" s="52" t="s">
        <v>924</v>
      </c>
      <c r="U4" s="53" t="s">
        <v>925</v>
      </c>
      <c r="V4" s="53" t="s">
        <v>927</v>
      </c>
      <c r="W4"/>
      <c r="X4" s="60" t="s">
        <v>1048</v>
      </c>
      <c r="Y4" s="120"/>
      <c r="Z4" s="57"/>
      <c r="AA4" s="52">
        <v>100113978</v>
      </c>
      <c r="AB4" s="52" t="s">
        <v>522</v>
      </c>
      <c r="AC4" s="52" t="s">
        <v>951</v>
      </c>
      <c r="AG4" s="172" t="s">
        <v>1</v>
      </c>
      <c r="AH4" s="172" t="s">
        <v>3</v>
      </c>
      <c r="AI4" s="172" t="s">
        <v>6</v>
      </c>
      <c r="AJ4" s="52" t="s">
        <v>18</v>
      </c>
      <c r="AK4" s="53" t="s">
        <v>922</v>
      </c>
      <c r="AL4" s="53" t="s">
        <v>923</v>
      </c>
      <c r="AM4" s="52" t="s">
        <v>924</v>
      </c>
      <c r="AN4" s="53" t="s">
        <v>925</v>
      </c>
      <c r="AO4" s="53" t="s">
        <v>927</v>
      </c>
      <c r="AP4" s="60" t="s">
        <v>1048</v>
      </c>
      <c r="AS4" s="172" t="s">
        <v>1</v>
      </c>
      <c r="AT4" s="172" t="s">
        <v>3</v>
      </c>
      <c r="AU4" s="172" t="s">
        <v>6</v>
      </c>
      <c r="AV4" s="53" t="s">
        <v>922</v>
      </c>
      <c r="AW4" s="53" t="s">
        <v>923</v>
      </c>
      <c r="AX4" s="52" t="s">
        <v>924</v>
      </c>
      <c r="AY4" s="53" t="s">
        <v>925</v>
      </c>
      <c r="AZ4" s="53" t="s">
        <v>927</v>
      </c>
      <c r="BA4" s="171" t="s">
        <v>1270</v>
      </c>
    </row>
    <row r="5" spans="1:53" x14ac:dyDescent="0.35">
      <c r="A5" s="52">
        <v>100103956</v>
      </c>
      <c r="B5" s="52" t="s">
        <v>49</v>
      </c>
      <c r="C5" s="52" t="s">
        <v>57</v>
      </c>
      <c r="D5" s="173">
        <v>45947</v>
      </c>
      <c r="G5" s="53"/>
      <c r="H5" s="53">
        <v>16331.88</v>
      </c>
      <c r="I5" s="53">
        <v>16331.88</v>
      </c>
      <c r="J5"/>
      <c r="K5"/>
      <c r="L5" s="120"/>
      <c r="M5" s="120"/>
      <c r="N5" s="52">
        <v>100106219</v>
      </c>
      <c r="O5" s="52" t="s">
        <v>285</v>
      </c>
      <c r="P5" s="52" t="s">
        <v>37</v>
      </c>
      <c r="Q5" s="53"/>
      <c r="R5" s="53">
        <v>2748.27</v>
      </c>
      <c r="S5" s="53">
        <v>22318.780000000002</v>
      </c>
      <c r="T5" s="53"/>
      <c r="U5" s="53">
        <v>6817.2999999999993</v>
      </c>
      <c r="V5" s="53">
        <v>31884.350000000002</v>
      </c>
      <c r="W5"/>
      <c r="X5" s="120" t="str">
        <f>_xlfn.XLOOKUP(O5,'Clients List'!C:C,'Clients List'!D:D)</f>
        <v>DUBAI, AE</v>
      </c>
      <c r="Y5" s="120"/>
      <c r="Z5" s="57"/>
      <c r="AA5" s="52">
        <v>100115027</v>
      </c>
      <c r="AB5" s="52" t="s">
        <v>618</v>
      </c>
      <c r="AC5" s="52" t="s">
        <v>952</v>
      </c>
      <c r="AG5" s="52">
        <v>100108810</v>
      </c>
      <c r="AH5" s="52" t="s">
        <v>247</v>
      </c>
      <c r="AI5" s="52" t="s">
        <v>37</v>
      </c>
      <c r="AJ5" s="53">
        <v>968.07999999999993</v>
      </c>
      <c r="AK5" s="53">
        <v>1098.54</v>
      </c>
      <c r="AL5" s="53">
        <v>1273.8699999999999</v>
      </c>
      <c r="AM5" s="53"/>
      <c r="AN5" s="53">
        <v>2366.61</v>
      </c>
      <c r="AO5" s="53">
        <v>5707.1</v>
      </c>
      <c r="AP5" t="str">
        <f>_xlfn.XLOOKUP(AH5,'Clients List'!C:C,'Clients List'!D:D)</f>
        <v>NAIROBI, Kenya</v>
      </c>
      <c r="AQ5" s="120"/>
      <c r="AS5" s="52">
        <v>100114309</v>
      </c>
      <c r="AT5" s="52" t="s">
        <v>685</v>
      </c>
      <c r="AU5" s="52" t="s">
        <v>37</v>
      </c>
      <c r="AV5" s="53"/>
      <c r="AW5" s="53">
        <v>4579</v>
      </c>
      <c r="AX5" s="53"/>
      <c r="AY5" s="53">
        <v>8469.76</v>
      </c>
      <c r="AZ5" s="53">
        <v>13048.76</v>
      </c>
      <c r="BA5" t="s">
        <v>820</v>
      </c>
    </row>
    <row r="6" spans="1:53" ht="43.5" x14ac:dyDescent="0.35">
      <c r="C6" s="52" t="s">
        <v>55</v>
      </c>
      <c r="D6" s="173">
        <v>45947</v>
      </c>
      <c r="G6" s="53"/>
      <c r="H6" s="53">
        <v>51562.91</v>
      </c>
      <c r="I6" s="53">
        <v>51562.91</v>
      </c>
      <c r="J6"/>
      <c r="K6"/>
      <c r="L6" s="120"/>
      <c r="M6" s="120"/>
      <c r="N6" s="52">
        <v>100108704</v>
      </c>
      <c r="O6" s="52" t="s">
        <v>576</v>
      </c>
      <c r="P6" s="52" t="s">
        <v>37</v>
      </c>
      <c r="Q6" s="53"/>
      <c r="R6" s="53">
        <v>3453.37</v>
      </c>
      <c r="S6" s="53">
        <v>51744.08</v>
      </c>
      <c r="T6" s="53"/>
      <c r="U6" s="53">
        <v>5847</v>
      </c>
      <c r="V6" s="53">
        <v>61044.450000000004</v>
      </c>
      <c r="W6"/>
      <c r="X6" s="120" t="str">
        <f>_xlfn.XLOOKUP(O6,'Clients List'!C:C,'Clients List'!D:D)</f>
        <v>SINGAPORE</v>
      </c>
      <c r="Y6" s="120"/>
      <c r="Z6" s="57"/>
      <c r="AA6" s="52">
        <v>100117448</v>
      </c>
      <c r="AB6" s="52" t="s">
        <v>673</v>
      </c>
      <c r="AC6" s="170" t="s">
        <v>953</v>
      </c>
      <c r="AG6" s="52">
        <v>100114550</v>
      </c>
      <c r="AH6" s="52" t="s">
        <v>696</v>
      </c>
      <c r="AI6" s="52" t="s">
        <v>37</v>
      </c>
      <c r="AJ6" s="53">
        <v>4661.5</v>
      </c>
      <c r="AK6" s="53"/>
      <c r="AL6" s="53">
        <v>87357.97</v>
      </c>
      <c r="AM6" s="53">
        <v>5686.89</v>
      </c>
      <c r="AN6" s="53">
        <v>16537.62</v>
      </c>
      <c r="AO6" s="53">
        <v>114243.98</v>
      </c>
      <c r="AP6" t="str">
        <f>_xlfn.XLOOKUP(AH6,'Clients List'!C:C,'Clients List'!D:D)</f>
        <v>ST ANDREWS, UK</v>
      </c>
      <c r="AQ6" s="120"/>
      <c r="AS6" s="52">
        <v>100114967</v>
      </c>
      <c r="AT6" s="52" t="s">
        <v>188</v>
      </c>
      <c r="AU6" s="52" t="s">
        <v>37</v>
      </c>
      <c r="AV6" s="53">
        <v>1035.8900000000001</v>
      </c>
      <c r="AW6" s="53">
        <v>1041.82</v>
      </c>
      <c r="AX6" s="53">
        <v>997.57</v>
      </c>
      <c r="AY6" s="53">
        <v>1037.3900000000001</v>
      </c>
      <c r="AZ6" s="53">
        <v>4112.67</v>
      </c>
      <c r="BA6" s="58" t="s">
        <v>1269</v>
      </c>
    </row>
    <row r="7" spans="1:53" ht="43.5" x14ac:dyDescent="0.35">
      <c r="C7" s="52" t="s">
        <v>59</v>
      </c>
      <c r="D7" s="173">
        <v>45957</v>
      </c>
      <c r="G7" s="53"/>
      <c r="H7" s="53">
        <v>724954.92</v>
      </c>
      <c r="I7" s="53">
        <v>724954.92</v>
      </c>
      <c r="J7"/>
      <c r="K7"/>
      <c r="L7" s="120"/>
      <c r="M7" s="120"/>
      <c r="N7" s="52">
        <v>100108732</v>
      </c>
      <c r="O7" s="52" t="s">
        <v>496</v>
      </c>
      <c r="P7" s="52" t="s">
        <v>37</v>
      </c>
      <c r="Q7" s="53">
        <v>1400.18</v>
      </c>
      <c r="R7" s="53"/>
      <c r="S7" s="53">
        <v>6517</v>
      </c>
      <c r="T7" s="53">
        <v>1178</v>
      </c>
      <c r="U7" s="53">
        <v>236.81</v>
      </c>
      <c r="V7" s="53">
        <v>9331.99</v>
      </c>
      <c r="W7"/>
      <c r="X7" s="120" t="str">
        <f>_xlfn.XLOOKUP(O7,'Clients List'!C:C,'Clients List'!D:D)</f>
        <v>SEOUL, South Korea</v>
      </c>
      <c r="Y7" s="120"/>
      <c r="Z7" s="57"/>
      <c r="AA7" s="52">
        <v>100119928</v>
      </c>
      <c r="AB7" s="52" t="s">
        <v>512</v>
      </c>
      <c r="AC7" s="52" t="s">
        <v>950</v>
      </c>
      <c r="AG7" s="52" t="s">
        <v>927</v>
      </c>
      <c r="AJ7" s="53">
        <v>5629.58</v>
      </c>
      <c r="AK7" s="53">
        <v>1098.54</v>
      </c>
      <c r="AL7" s="53">
        <v>88631.84</v>
      </c>
      <c r="AM7" s="53">
        <v>5686.89</v>
      </c>
      <c r="AN7" s="53">
        <v>18904.23</v>
      </c>
      <c r="AO7" s="53">
        <v>119951.08</v>
      </c>
      <c r="AP7" s="60"/>
      <c r="AQ7" s="120"/>
      <c r="AS7" s="52">
        <v>100117448</v>
      </c>
      <c r="AT7" s="52" t="s">
        <v>673</v>
      </c>
      <c r="AU7" s="52" t="s">
        <v>37</v>
      </c>
      <c r="AV7" s="53"/>
      <c r="AW7" s="53"/>
      <c r="AX7" s="53">
        <v>20009.34</v>
      </c>
      <c r="AY7" s="53"/>
      <c r="AZ7" s="53">
        <v>20009.34</v>
      </c>
      <c r="BA7" s="58" t="s">
        <v>1271</v>
      </c>
    </row>
    <row r="8" spans="1:53" ht="15" thickBot="1" x14ac:dyDescent="0.4">
      <c r="C8" s="52" t="s">
        <v>69</v>
      </c>
      <c r="D8" s="173">
        <v>46008</v>
      </c>
      <c r="G8" s="53">
        <v>509250</v>
      </c>
      <c r="H8" s="53"/>
      <c r="I8" s="53">
        <v>509250</v>
      </c>
      <c r="J8"/>
      <c r="K8"/>
      <c r="L8" s="120"/>
      <c r="M8" s="120"/>
      <c r="N8" s="52">
        <v>100108744</v>
      </c>
      <c r="O8" s="52" t="s">
        <v>366</v>
      </c>
      <c r="P8" s="52" t="s">
        <v>37</v>
      </c>
      <c r="Q8" s="53">
        <v>172.75</v>
      </c>
      <c r="R8" s="53">
        <v>345.72</v>
      </c>
      <c r="S8" s="53">
        <v>1634.3899999999999</v>
      </c>
      <c r="T8" s="53"/>
      <c r="U8" s="53">
        <v>324.25</v>
      </c>
      <c r="V8" s="53">
        <v>2477.1099999999997</v>
      </c>
      <c r="W8"/>
      <c r="X8" s="120" t="str">
        <f>_xlfn.XLOOKUP(O8,'Clients List'!C:C,'Clients List'!D:D)</f>
        <v>AJMAN, AE</v>
      </c>
      <c r="Y8" s="120"/>
      <c r="Z8" s="57"/>
      <c r="AA8" s="52" t="s">
        <v>927</v>
      </c>
      <c r="AC8" s="62"/>
      <c r="AG8"/>
      <c r="AH8"/>
      <c r="AI8"/>
      <c r="AJ8"/>
      <c r="AK8"/>
      <c r="AL8"/>
      <c r="AM8"/>
      <c r="AN8"/>
      <c r="AO8"/>
      <c r="AP8"/>
      <c r="AQ8" s="120"/>
      <c r="AS8" s="52" t="s">
        <v>927</v>
      </c>
      <c r="AV8" s="53">
        <v>1035.8900000000001</v>
      </c>
      <c r="AW8" s="53">
        <v>5620.82</v>
      </c>
      <c r="AX8" s="53">
        <v>21006.91</v>
      </c>
      <c r="AY8" s="53">
        <v>9507.15</v>
      </c>
      <c r="AZ8" s="53">
        <v>37170.770000000004</v>
      </c>
      <c r="BA8" s="171"/>
    </row>
    <row r="9" spans="1:53" x14ac:dyDescent="0.35">
      <c r="C9" s="52" t="s">
        <v>70</v>
      </c>
      <c r="D9" s="173">
        <v>46017</v>
      </c>
      <c r="G9" s="53">
        <v>68250</v>
      </c>
      <c r="H9" s="53"/>
      <c r="I9" s="53">
        <v>68250</v>
      </c>
      <c r="J9"/>
      <c r="K9"/>
      <c r="L9" s="120"/>
      <c r="M9" s="120"/>
      <c r="N9" s="52">
        <v>100108821</v>
      </c>
      <c r="O9" s="52" t="s">
        <v>163</v>
      </c>
      <c r="P9" s="52" t="s">
        <v>37</v>
      </c>
      <c r="Q9" s="53"/>
      <c r="R9" s="53">
        <v>1527.54</v>
      </c>
      <c r="S9" s="53">
        <v>5114.9400000000005</v>
      </c>
      <c r="T9" s="53"/>
      <c r="U9" s="53">
        <v>1246.4099999999999</v>
      </c>
      <c r="V9" s="53">
        <v>7888.89</v>
      </c>
      <c r="W9"/>
      <c r="X9" s="120" t="str">
        <f>_xlfn.XLOOKUP(O9,'Clients List'!C:C,'Clients List'!D:D)</f>
        <v>Sale, Morocco</v>
      </c>
      <c r="Y9" s="120"/>
      <c r="Z9" s="57"/>
      <c r="AG9"/>
      <c r="AH9"/>
      <c r="AI9"/>
      <c r="AJ9"/>
      <c r="AK9"/>
      <c r="AL9"/>
      <c r="AM9"/>
      <c r="AN9"/>
      <c r="AO9"/>
      <c r="AP9"/>
      <c r="AQ9" s="120"/>
    </row>
    <row r="10" spans="1:53" x14ac:dyDescent="0.35">
      <c r="C10" s="52" t="s">
        <v>1017</v>
      </c>
      <c r="D10" s="173">
        <v>46044</v>
      </c>
      <c r="F10" s="53">
        <v>750000</v>
      </c>
      <c r="G10" s="53"/>
      <c r="H10" s="53"/>
      <c r="I10" s="53">
        <v>750000</v>
      </c>
      <c r="J10"/>
      <c r="K10"/>
      <c r="L10" s="120"/>
      <c r="M10" s="120"/>
      <c r="N10" s="52">
        <v>100108960</v>
      </c>
      <c r="O10" s="52" t="s">
        <v>718</v>
      </c>
      <c r="P10" s="52" t="s">
        <v>37</v>
      </c>
      <c r="Q10" s="53">
        <v>281.52999999999997</v>
      </c>
      <c r="R10" s="53">
        <v>405.14</v>
      </c>
      <c r="S10" s="53">
        <v>2523.4899999999998</v>
      </c>
      <c r="T10" s="53">
        <v>493.03</v>
      </c>
      <c r="U10" s="53"/>
      <c r="V10" s="53">
        <v>3703.1899999999996</v>
      </c>
      <c r="W10"/>
      <c r="X10" s="120" t="str">
        <f>_xlfn.XLOOKUP(O10,'Clients List'!C:C,'Clients List'!D:D)</f>
        <v>TANGIER, Morocco</v>
      </c>
      <c r="Y10" s="120"/>
      <c r="Z10" s="57"/>
      <c r="AG10"/>
      <c r="AH10"/>
      <c r="AI10"/>
      <c r="AJ10"/>
      <c r="AK10"/>
      <c r="AL10"/>
      <c r="AM10"/>
      <c r="AN10"/>
      <c r="AO10"/>
      <c r="AP10"/>
      <c r="AQ10" s="120"/>
    </row>
    <row r="11" spans="1:53" x14ac:dyDescent="0.35">
      <c r="A11" s="52">
        <v>100108811</v>
      </c>
      <c r="B11" s="52" t="s">
        <v>556</v>
      </c>
      <c r="C11" s="52" t="s">
        <v>563</v>
      </c>
      <c r="D11" s="173">
        <v>46100</v>
      </c>
      <c r="E11" s="53">
        <v>1239.78</v>
      </c>
      <c r="G11" s="53"/>
      <c r="H11" s="53"/>
      <c r="I11" s="53">
        <v>1239.78</v>
      </c>
      <c r="J11"/>
      <c r="K11"/>
      <c r="L11" s="120"/>
      <c r="M11" s="120"/>
      <c r="N11" s="52">
        <v>100111613</v>
      </c>
      <c r="O11" s="52" t="s">
        <v>742</v>
      </c>
      <c r="P11" s="52" t="s">
        <v>37</v>
      </c>
      <c r="Q11" s="53"/>
      <c r="R11" s="53">
        <v>3947.87</v>
      </c>
      <c r="S11" s="53">
        <v>7621.04</v>
      </c>
      <c r="T11" s="53"/>
      <c r="U11" s="53">
        <v>4010.42</v>
      </c>
      <c r="V11" s="53">
        <v>15579.33</v>
      </c>
      <c r="W11"/>
      <c r="X11" s="120" t="str">
        <f>_xlfn.XLOOKUP(O11,'Clients List'!C:C,'Clients List'!D:D)</f>
        <v>DUBAI, AE</v>
      </c>
      <c r="Y11" s="120"/>
      <c r="Z11" s="57"/>
      <c r="AG11"/>
      <c r="AH11"/>
      <c r="AI11"/>
      <c r="AJ11"/>
      <c r="AK11"/>
      <c r="AL11"/>
      <c r="AM11"/>
      <c r="AN11"/>
      <c r="AO11"/>
      <c r="AP11"/>
      <c r="AQ11" s="120"/>
    </row>
    <row r="12" spans="1:53" x14ac:dyDescent="0.35">
      <c r="C12" s="52" t="s">
        <v>564</v>
      </c>
      <c r="D12" s="173">
        <v>46100</v>
      </c>
      <c r="E12" s="53">
        <v>11746.9</v>
      </c>
      <c r="G12" s="53"/>
      <c r="H12" s="53"/>
      <c r="I12" s="53">
        <v>11746.9</v>
      </c>
      <c r="J12"/>
      <c r="K12"/>
      <c r="L12" s="120"/>
      <c r="M12" s="120"/>
      <c r="N12" s="52">
        <v>100111676</v>
      </c>
      <c r="O12" s="52" t="s">
        <v>138</v>
      </c>
      <c r="P12" s="52" t="s">
        <v>37</v>
      </c>
      <c r="Q12" s="53">
        <v>1445.56</v>
      </c>
      <c r="R12" s="53">
        <v>1503.28</v>
      </c>
      <c r="S12" s="53">
        <v>6135.38</v>
      </c>
      <c r="T12" s="53">
        <v>568.26</v>
      </c>
      <c r="U12" s="53">
        <v>578</v>
      </c>
      <c r="V12" s="53">
        <v>10230.480000000001</v>
      </c>
      <c r="W12"/>
      <c r="X12" s="120" t="str">
        <f>_xlfn.XLOOKUP(O12,'Clients List'!C:C,'Clients List'!D:D)</f>
        <v>ABU DHABI, AE</v>
      </c>
      <c r="Y12" s="120"/>
      <c r="Z12" s="57"/>
      <c r="AG12"/>
      <c r="AH12"/>
      <c r="AI12"/>
      <c r="AJ12"/>
      <c r="AK12"/>
      <c r="AL12"/>
      <c r="AM12"/>
      <c r="AN12"/>
      <c r="AO12"/>
      <c r="AP12"/>
      <c r="AQ12" s="120"/>
    </row>
    <row r="13" spans="1:53" x14ac:dyDescent="0.35">
      <c r="C13" s="52" t="s">
        <v>565</v>
      </c>
      <c r="D13" s="173">
        <v>46099</v>
      </c>
      <c r="E13" s="53">
        <v>3567.17</v>
      </c>
      <c r="G13" s="53"/>
      <c r="H13" s="53"/>
      <c r="I13" s="53">
        <v>3567.17</v>
      </c>
      <c r="J13"/>
      <c r="K13"/>
      <c r="L13" s="120"/>
      <c r="M13" s="120"/>
      <c r="N13" s="52">
        <v>100114607</v>
      </c>
      <c r="O13" s="52" t="s">
        <v>411</v>
      </c>
      <c r="P13" s="52" t="s">
        <v>37</v>
      </c>
      <c r="Q13" s="53"/>
      <c r="R13" s="53">
        <v>2574.89</v>
      </c>
      <c r="S13" s="53">
        <v>33141.07</v>
      </c>
      <c r="T13" s="53"/>
      <c r="U13" s="53">
        <v>7078.63</v>
      </c>
      <c r="V13" s="53">
        <v>42794.59</v>
      </c>
      <c r="W13"/>
      <c r="X13" s="120" t="str">
        <f>_xlfn.XLOOKUP(O13,'Clients List'!C:C,'Clients List'!D:D)</f>
        <v>DOHA, Qatar</v>
      </c>
      <c r="Y13" s="120"/>
      <c r="Z13" s="57"/>
      <c r="AG13"/>
      <c r="AH13"/>
      <c r="AI13"/>
      <c r="AJ13"/>
      <c r="AK13"/>
      <c r="AL13"/>
      <c r="AM13"/>
      <c r="AN13"/>
      <c r="AO13"/>
      <c r="AP13"/>
      <c r="AQ13" s="120"/>
    </row>
    <row r="14" spans="1:53" x14ac:dyDescent="0.35">
      <c r="C14" s="52" t="s">
        <v>566</v>
      </c>
      <c r="D14" s="173">
        <v>46099</v>
      </c>
      <c r="E14" s="53">
        <v>3819.78</v>
      </c>
      <c r="G14" s="53"/>
      <c r="H14" s="53"/>
      <c r="I14" s="53">
        <v>3819.78</v>
      </c>
      <c r="J14"/>
      <c r="K14"/>
      <c r="L14" s="120"/>
      <c r="M14" s="120"/>
      <c r="N14" s="52">
        <v>100119534</v>
      </c>
      <c r="O14" s="52" t="s">
        <v>433</v>
      </c>
      <c r="P14" s="52" t="s">
        <v>37</v>
      </c>
      <c r="Q14" s="53"/>
      <c r="R14" s="53"/>
      <c r="S14" s="53">
        <v>808.33999999999992</v>
      </c>
      <c r="T14" s="53"/>
      <c r="U14" s="53"/>
      <c r="V14" s="53">
        <v>808.33999999999992</v>
      </c>
      <c r="W14"/>
      <c r="X14" s="120" t="str">
        <f>_xlfn.XLOOKUP(O14,'Clients List'!C:C,'Clients List'!D:D)</f>
        <v>MUMBAI, india</v>
      </c>
      <c r="Y14" s="120"/>
      <c r="Z14" s="57"/>
      <c r="AG14"/>
      <c r="AH14"/>
      <c r="AI14"/>
      <c r="AJ14"/>
      <c r="AK14"/>
      <c r="AL14"/>
      <c r="AM14"/>
      <c r="AN14"/>
      <c r="AO14"/>
      <c r="AP14"/>
      <c r="AQ14" s="120"/>
    </row>
    <row r="15" spans="1:53" x14ac:dyDescent="0.35">
      <c r="C15" s="52" t="s">
        <v>567</v>
      </c>
      <c r="D15" s="173">
        <v>46099</v>
      </c>
      <c r="E15" s="53">
        <v>13533.02</v>
      </c>
      <c r="G15" s="53"/>
      <c r="H15" s="53"/>
      <c r="I15" s="53">
        <v>13533.02</v>
      </c>
      <c r="J15"/>
      <c r="K15"/>
      <c r="L15" s="120"/>
      <c r="M15" s="120"/>
      <c r="N15" s="52">
        <v>100120687</v>
      </c>
      <c r="O15" s="52" t="s">
        <v>340</v>
      </c>
      <c r="P15" s="52" t="s">
        <v>37</v>
      </c>
      <c r="Q15" s="53"/>
      <c r="R15" s="53">
        <v>125.35</v>
      </c>
      <c r="S15" s="53"/>
      <c r="T15" s="53"/>
      <c r="U15" s="53"/>
      <c r="V15" s="53">
        <v>125.35</v>
      </c>
      <c r="W15"/>
      <c r="X15" s="120" t="str">
        <f>_xlfn.XLOOKUP(O15,'Clients List'!C:C,'Clients List'!D:D)</f>
        <v>HANOI, Vietnam</v>
      </c>
      <c r="Y15" s="120"/>
      <c r="Z15" s="57"/>
      <c r="AG15"/>
      <c r="AH15"/>
      <c r="AI15"/>
      <c r="AJ15"/>
      <c r="AK15"/>
      <c r="AL15"/>
      <c r="AM15"/>
      <c r="AN15"/>
      <c r="AO15"/>
      <c r="AP15"/>
      <c r="AQ15" s="120"/>
    </row>
    <row r="16" spans="1:53" x14ac:dyDescent="0.35">
      <c r="C16" s="52" t="s">
        <v>568</v>
      </c>
      <c r="D16" s="173">
        <v>46099</v>
      </c>
      <c r="E16" s="53">
        <v>6403.85</v>
      </c>
      <c r="G16" s="53"/>
      <c r="H16" s="53"/>
      <c r="I16" s="53">
        <v>6403.85</v>
      </c>
      <c r="J16"/>
      <c r="K16"/>
      <c r="L16" s="120"/>
      <c r="M16" s="120"/>
      <c r="N16" s="52" t="s">
        <v>927</v>
      </c>
      <c r="P16" s="52"/>
      <c r="Q16" s="53">
        <v>3300.02</v>
      </c>
      <c r="R16" s="53">
        <v>16631.43</v>
      </c>
      <c r="S16" s="53">
        <v>137558.51</v>
      </c>
      <c r="T16" s="53">
        <v>2239.29</v>
      </c>
      <c r="U16" s="53">
        <v>26138.82</v>
      </c>
      <c r="V16" s="53">
        <v>185868.07</v>
      </c>
      <c r="W16"/>
      <c r="X16" s="120">
        <f>_xlfn.XLOOKUP(O16,'Clients List'!C:C,'Clients List'!D:D)</f>
        <v>0</v>
      </c>
      <c r="Y16" s="120"/>
      <c r="Z16" s="57"/>
      <c r="AG16"/>
      <c r="AH16"/>
      <c r="AI16"/>
      <c r="AJ16"/>
      <c r="AK16"/>
      <c r="AL16"/>
      <c r="AM16"/>
      <c r="AN16"/>
      <c r="AO16"/>
      <c r="AP16"/>
      <c r="AQ16" s="120"/>
    </row>
    <row r="17" spans="1:42" x14ac:dyDescent="0.35">
      <c r="C17" s="52" t="s">
        <v>569</v>
      </c>
      <c r="D17" s="173">
        <v>46104</v>
      </c>
      <c r="E17" s="53">
        <v>1377.86</v>
      </c>
      <c r="G17" s="53"/>
      <c r="H17" s="53"/>
      <c r="I17" s="53">
        <v>1377.86</v>
      </c>
      <c r="J17"/>
      <c r="K17"/>
      <c r="L17" s="120"/>
      <c r="M17" s="120"/>
      <c r="N17"/>
      <c r="O17"/>
      <c r="P17"/>
      <c r="Q17"/>
      <c r="R17"/>
      <c r="S17"/>
      <c r="T17"/>
      <c r="U17"/>
      <c r="V17"/>
      <c r="W17"/>
      <c r="X17" s="60"/>
      <c r="Y17" s="120"/>
      <c r="Z17" s="57"/>
      <c r="AG17"/>
      <c r="AH17"/>
      <c r="AI17"/>
      <c r="AJ17"/>
      <c r="AK17"/>
      <c r="AL17"/>
      <c r="AM17"/>
      <c r="AN17"/>
      <c r="AO17"/>
      <c r="AP17"/>
    </row>
    <row r="18" spans="1:42" x14ac:dyDescent="0.35">
      <c r="C18" s="52" t="s">
        <v>571</v>
      </c>
      <c r="D18" s="173">
        <v>46104</v>
      </c>
      <c r="E18" s="53">
        <v>13172.46</v>
      </c>
      <c r="G18" s="53"/>
      <c r="H18" s="53"/>
      <c r="I18" s="53">
        <v>13172.46</v>
      </c>
      <c r="J18"/>
      <c r="K18"/>
      <c r="L18" s="120"/>
      <c r="M18" s="120"/>
    </row>
    <row r="19" spans="1:42" x14ac:dyDescent="0.35">
      <c r="C19" s="52" t="s">
        <v>572</v>
      </c>
      <c r="D19" s="173">
        <v>46104</v>
      </c>
      <c r="E19" s="53">
        <v>2103.5500000000002</v>
      </c>
      <c r="G19" s="53"/>
      <c r="H19" s="53"/>
      <c r="I19" s="53">
        <v>2103.5500000000002</v>
      </c>
      <c r="J19"/>
      <c r="K19"/>
      <c r="L19" s="120"/>
      <c r="M19" s="120"/>
    </row>
    <row r="20" spans="1:42" x14ac:dyDescent="0.35">
      <c r="C20" s="52" t="s">
        <v>573</v>
      </c>
      <c r="D20" s="173">
        <v>46106</v>
      </c>
      <c r="E20" s="53">
        <v>293.8</v>
      </c>
      <c r="G20" s="53"/>
      <c r="H20" s="53"/>
      <c r="I20" s="53">
        <v>293.8</v>
      </c>
      <c r="J20"/>
      <c r="K20"/>
      <c r="L20" s="120"/>
      <c r="M20" s="120"/>
    </row>
    <row r="21" spans="1:42" x14ac:dyDescent="0.35">
      <c r="A21" s="52">
        <v>100115026</v>
      </c>
      <c r="B21" s="52" t="s">
        <v>657</v>
      </c>
      <c r="C21" s="52" t="s">
        <v>660</v>
      </c>
      <c r="D21" s="173">
        <v>46106</v>
      </c>
      <c r="E21" s="53">
        <v>19916.66</v>
      </c>
      <c r="G21" s="53"/>
      <c r="H21" s="53"/>
      <c r="I21" s="53">
        <v>19916.66</v>
      </c>
      <c r="J21"/>
      <c r="K21"/>
      <c r="L21" s="120"/>
      <c r="M21" s="120"/>
    </row>
    <row r="22" spans="1:42" x14ac:dyDescent="0.35">
      <c r="A22" s="52">
        <v>100117448</v>
      </c>
      <c r="B22" s="52" t="s">
        <v>673</v>
      </c>
      <c r="C22" s="52" t="s">
        <v>681</v>
      </c>
      <c r="D22" s="173">
        <v>46100</v>
      </c>
      <c r="E22" s="53">
        <v>2435.46</v>
      </c>
      <c r="G22" s="53"/>
      <c r="H22" s="53"/>
      <c r="I22" s="53">
        <v>2435.46</v>
      </c>
      <c r="J22"/>
      <c r="K22"/>
      <c r="L22" s="120"/>
      <c r="M22" s="120"/>
    </row>
    <row r="23" spans="1:42" x14ac:dyDescent="0.35">
      <c r="A23" s="52" t="s">
        <v>927</v>
      </c>
      <c r="C23" s="52"/>
      <c r="D23" s="52"/>
      <c r="E23" s="53">
        <v>79610.290000000008</v>
      </c>
      <c r="F23" s="53">
        <v>750000</v>
      </c>
      <c r="G23" s="53">
        <v>577500</v>
      </c>
      <c r="H23" s="53">
        <v>792849.71000000008</v>
      </c>
      <c r="I23" s="53">
        <v>2199959.9999999991</v>
      </c>
      <c r="J23"/>
      <c r="K23"/>
      <c r="L23" s="120"/>
      <c r="M23" s="120"/>
    </row>
    <row r="24" spans="1:42" x14ac:dyDescent="0.35">
      <c r="A24"/>
      <c r="B24"/>
      <c r="C24"/>
      <c r="D24"/>
      <c r="E24"/>
      <c r="F24"/>
      <c r="G24"/>
      <c r="H24"/>
      <c r="I24"/>
      <c r="J24"/>
      <c r="K24"/>
      <c r="L24" s="120"/>
      <c r="M24" s="120"/>
    </row>
    <row r="25" spans="1:42" x14ac:dyDescent="0.35">
      <c r="A25"/>
      <c r="B25"/>
      <c r="C25"/>
      <c r="D25"/>
      <c r="E25"/>
      <c r="F25"/>
      <c r="G25"/>
      <c r="H25"/>
      <c r="I25"/>
      <c r="J25"/>
      <c r="K25"/>
      <c r="L25" s="120"/>
      <c r="M25" s="120"/>
    </row>
    <row r="26" spans="1:42" x14ac:dyDescent="0.35">
      <c r="A26"/>
      <c r="B26"/>
      <c r="C26"/>
      <c r="D26"/>
      <c r="E26"/>
      <c r="F26"/>
      <c r="G26"/>
      <c r="H26"/>
      <c r="I26"/>
      <c r="J26"/>
      <c r="K26"/>
      <c r="L26" s="120"/>
      <c r="M26" s="120"/>
    </row>
    <row r="27" spans="1:42" x14ac:dyDescent="0.35">
      <c r="A27"/>
      <c r="B27"/>
      <c r="C27"/>
      <c r="D27"/>
      <c r="E27"/>
      <c r="F27"/>
      <c r="G27"/>
      <c r="H27"/>
      <c r="I27"/>
      <c r="J27"/>
      <c r="K27"/>
      <c r="L27" s="120"/>
      <c r="M27" s="120"/>
    </row>
    <row r="28" spans="1:42" x14ac:dyDescent="0.35">
      <c r="A28"/>
      <c r="B28"/>
      <c r="C28"/>
      <c r="D28"/>
      <c r="E28"/>
      <c r="F28"/>
      <c r="G28"/>
      <c r="H28"/>
      <c r="I28"/>
      <c r="J28"/>
      <c r="K28"/>
      <c r="L28" s="120"/>
      <c r="M28" s="120"/>
    </row>
    <row r="29" spans="1:42" x14ac:dyDescent="0.35">
      <c r="A29"/>
      <c r="B29"/>
      <c r="C29"/>
      <c r="D29"/>
      <c r="E29"/>
      <c r="F29"/>
      <c r="G29"/>
      <c r="H29"/>
      <c r="I29"/>
      <c r="J29" s="120"/>
      <c r="K29" s="120"/>
      <c r="L29" s="120"/>
      <c r="M29" s="120"/>
    </row>
    <row r="30" spans="1:42" x14ac:dyDescent="0.35">
      <c r="A30"/>
      <c r="B30"/>
      <c r="C30"/>
      <c r="D30"/>
      <c r="E30"/>
      <c r="F30"/>
      <c r="G30"/>
      <c r="H30"/>
      <c r="I30"/>
      <c r="J30" s="120"/>
      <c r="K30" s="120"/>
      <c r="L30" s="120"/>
      <c r="M30" s="120"/>
    </row>
    <row r="31" spans="1:42" x14ac:dyDescent="0.35">
      <c r="A31"/>
      <c r="B31"/>
      <c r="C31"/>
      <c r="D31"/>
      <c r="E31"/>
      <c r="F31"/>
      <c r="G31"/>
      <c r="H31"/>
      <c r="I31" s="57"/>
      <c r="J31" s="57"/>
      <c r="K31" s="57"/>
      <c r="L31" s="57"/>
      <c r="M31" s="5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F9188-0373-4877-8CA7-E02CD75740CC}">
  <sheetPr codeName="Sheet5">
    <tabColor rgb="FFFFC000"/>
  </sheetPr>
  <dimension ref="B3:M16"/>
  <sheetViews>
    <sheetView showGridLines="0" tabSelected="1" zoomScale="70" zoomScaleNormal="70" workbookViewId="0">
      <selection activeCell="J20" sqref="J20"/>
    </sheetView>
  </sheetViews>
  <sheetFormatPr defaultRowHeight="14.5" x14ac:dyDescent="0.35"/>
  <cols>
    <col min="1" max="1" width="5.6328125" style="52" customWidth="1"/>
    <col min="2" max="2" width="30" style="52" bestFit="1" customWidth="1"/>
    <col min="3" max="3" width="15.90625" style="52" bestFit="1" customWidth="1"/>
    <col min="4" max="5" width="10.26953125" style="53" bestFit="1" customWidth="1"/>
    <col min="6" max="7" width="10.36328125" style="53" bestFit="1" customWidth="1"/>
    <col min="8" max="8" width="11.7265625" style="53" bestFit="1" customWidth="1"/>
    <col min="9" max="9" width="11.90625" style="53" customWidth="1"/>
    <col min="10" max="10" width="94" style="53" bestFit="1" customWidth="1"/>
    <col min="11" max="11" width="13.36328125" style="52" bestFit="1" customWidth="1"/>
    <col min="12" max="12" width="10.81640625" style="52" bestFit="1" customWidth="1"/>
    <col min="13" max="13" width="18.1796875" style="52" customWidth="1"/>
    <col min="14" max="16384" width="8.7265625" style="52"/>
  </cols>
  <sheetData>
    <row r="3" spans="2:13" x14ac:dyDescent="0.35">
      <c r="B3" s="172" t="s">
        <v>929</v>
      </c>
      <c r="C3" s="172" t="s">
        <v>921</v>
      </c>
      <c r="J3" s="60"/>
      <c r="K3" s="60"/>
      <c r="L3" s="60"/>
    </row>
    <row r="4" spans="2:13" ht="15" x14ac:dyDescent="0.35">
      <c r="B4" s="172" t="s">
        <v>928</v>
      </c>
      <c r="C4" s="52" t="s">
        <v>18</v>
      </c>
      <c r="D4" s="53" t="s">
        <v>922</v>
      </c>
      <c r="E4" s="53" t="s">
        <v>924</v>
      </c>
      <c r="F4" s="53" t="s">
        <v>925</v>
      </c>
      <c r="G4" s="53" t="s">
        <v>926</v>
      </c>
      <c r="H4" s="53" t="s">
        <v>923</v>
      </c>
      <c r="I4" s="53" t="s">
        <v>927</v>
      </c>
      <c r="J4" s="59" t="s">
        <v>948</v>
      </c>
      <c r="K4" s="59" t="s">
        <v>949</v>
      </c>
      <c r="L4" s="59" t="s">
        <v>933</v>
      </c>
    </row>
    <row r="5" spans="2:13" x14ac:dyDescent="0.35">
      <c r="B5" s="175" t="s">
        <v>788</v>
      </c>
      <c r="D5" s="53">
        <v>77174.829999999987</v>
      </c>
      <c r="I5" s="53">
        <v>77174.829999999987</v>
      </c>
      <c r="J5" s="206" t="s">
        <v>1021</v>
      </c>
      <c r="K5" s="207" t="s">
        <v>834</v>
      </c>
      <c r="L5" s="208">
        <v>46142</v>
      </c>
      <c r="M5" s="52" t="s">
        <v>1045</v>
      </c>
    </row>
    <row r="6" spans="2:13" x14ac:dyDescent="0.35">
      <c r="B6" s="175" t="s">
        <v>866</v>
      </c>
      <c r="D6" s="53">
        <v>2435.46</v>
      </c>
      <c r="F6" s="53">
        <v>750000</v>
      </c>
      <c r="G6" s="53">
        <v>577500</v>
      </c>
      <c r="H6" s="53">
        <v>792849.71000000008</v>
      </c>
      <c r="I6" s="53">
        <v>2122785.17</v>
      </c>
      <c r="J6" s="206"/>
      <c r="K6" s="207"/>
      <c r="L6" s="209"/>
    </row>
    <row r="7" spans="2:13" x14ac:dyDescent="0.35">
      <c r="B7" s="175" t="s">
        <v>873</v>
      </c>
      <c r="C7" s="52">
        <v>5629.58</v>
      </c>
      <c r="D7" s="53">
        <v>1098.54</v>
      </c>
      <c r="E7" s="53">
        <v>5686.89</v>
      </c>
      <c r="F7" s="53">
        <v>18904.23</v>
      </c>
      <c r="H7" s="53">
        <v>88631.840000000011</v>
      </c>
      <c r="I7" s="53">
        <v>119951.08000000002</v>
      </c>
      <c r="J7" s="58" t="s">
        <v>1022</v>
      </c>
      <c r="K7" s="52" t="s">
        <v>834</v>
      </c>
      <c r="L7" s="118">
        <v>46142</v>
      </c>
      <c r="M7" s="52" t="s">
        <v>1045</v>
      </c>
    </row>
    <row r="8" spans="2:13" x14ac:dyDescent="0.35">
      <c r="B8" s="175" t="s">
        <v>867</v>
      </c>
      <c r="G8" s="53">
        <v>-94931.41</v>
      </c>
      <c r="I8" s="53">
        <v>-94931.41</v>
      </c>
      <c r="J8" s="58" t="s">
        <v>1023</v>
      </c>
      <c r="K8" s="52" t="s">
        <v>834</v>
      </c>
      <c r="L8" s="118">
        <v>46142</v>
      </c>
    </row>
    <row r="9" spans="2:13" x14ac:dyDescent="0.35">
      <c r="B9" s="175" t="s">
        <v>868</v>
      </c>
      <c r="C9" s="52">
        <v>3300.02</v>
      </c>
      <c r="D9" s="53">
        <v>16631.43</v>
      </c>
      <c r="E9" s="53">
        <v>2239.29</v>
      </c>
      <c r="F9" s="53">
        <v>26138.819999999996</v>
      </c>
      <c r="H9" s="53">
        <v>137558.51</v>
      </c>
      <c r="I9" s="53">
        <v>185868.07</v>
      </c>
      <c r="J9" s="58" t="s">
        <v>1024</v>
      </c>
      <c r="K9" s="52" t="s">
        <v>836</v>
      </c>
      <c r="L9" s="118">
        <v>46142</v>
      </c>
    </row>
    <row r="10" spans="2:13" x14ac:dyDescent="0.35">
      <c r="B10" s="175" t="s">
        <v>875</v>
      </c>
      <c r="C10" s="52">
        <v>683.41</v>
      </c>
      <c r="D10" s="53">
        <v>5560.2199999999993</v>
      </c>
      <c r="F10" s="53">
        <v>3459.6699999999996</v>
      </c>
      <c r="H10" s="53">
        <v>12025.099999999999</v>
      </c>
      <c r="I10" s="53">
        <v>21728.399999999998</v>
      </c>
      <c r="J10" s="58" t="s">
        <v>1025</v>
      </c>
      <c r="K10" s="52" t="s">
        <v>834</v>
      </c>
      <c r="L10" s="118">
        <v>46142</v>
      </c>
    </row>
    <row r="11" spans="2:13" x14ac:dyDescent="0.35">
      <c r="B11" s="175" t="s">
        <v>870</v>
      </c>
      <c r="C11" s="52">
        <v>2892.52</v>
      </c>
      <c r="D11" s="53">
        <v>56039.490000000005</v>
      </c>
      <c r="E11" s="53">
        <v>81648.73</v>
      </c>
      <c r="H11" s="53">
        <v>14014.16</v>
      </c>
      <c r="I11" s="53">
        <v>154594.9</v>
      </c>
      <c r="J11" s="58" t="s">
        <v>1026</v>
      </c>
      <c r="K11" s="52" t="s">
        <v>834</v>
      </c>
      <c r="L11" s="118">
        <v>46142</v>
      </c>
    </row>
    <row r="12" spans="2:13" x14ac:dyDescent="0.35">
      <c r="B12" s="175" t="s">
        <v>869</v>
      </c>
      <c r="D12" s="53">
        <v>1035.8900000000001</v>
      </c>
      <c r="E12" s="53">
        <v>21006.91</v>
      </c>
      <c r="F12" s="53">
        <v>9507.15</v>
      </c>
      <c r="H12" s="53">
        <v>5620.82</v>
      </c>
      <c r="I12" s="53">
        <v>37170.769999999997</v>
      </c>
      <c r="J12" s="58" t="s">
        <v>1027</v>
      </c>
      <c r="K12" s="52" t="s">
        <v>834</v>
      </c>
      <c r="L12" s="119" t="s">
        <v>1020</v>
      </c>
    </row>
    <row r="13" spans="2:13" x14ac:dyDescent="0.35">
      <c r="B13" s="175" t="s">
        <v>1031</v>
      </c>
      <c r="C13" s="52">
        <v>1601.41</v>
      </c>
      <c r="D13" s="53">
        <v>1612.79</v>
      </c>
      <c r="F13" s="53">
        <v>2623.85</v>
      </c>
      <c r="I13" s="53">
        <v>5838.0499999999993</v>
      </c>
      <c r="J13" s="53" t="s">
        <v>1032</v>
      </c>
      <c r="K13" s="52" t="s">
        <v>834</v>
      </c>
      <c r="L13" s="118">
        <v>46142</v>
      </c>
    </row>
    <row r="14" spans="2:13" x14ac:dyDescent="0.35">
      <c r="B14" s="175" t="s">
        <v>1046</v>
      </c>
      <c r="F14" s="53">
        <v>2502.64</v>
      </c>
      <c r="H14" s="53">
        <v>35281.509999999995</v>
      </c>
      <c r="I14" s="53">
        <v>37784.149999999994</v>
      </c>
      <c r="J14" s="53" t="s">
        <v>1107</v>
      </c>
      <c r="K14" s="52" t="s">
        <v>836</v>
      </c>
      <c r="L14" s="118">
        <v>46142</v>
      </c>
    </row>
    <row r="15" spans="2:13" x14ac:dyDescent="0.35">
      <c r="B15" s="175" t="s">
        <v>927</v>
      </c>
      <c r="C15" s="52">
        <v>14106.94</v>
      </c>
      <c r="D15" s="53">
        <v>161588.65</v>
      </c>
      <c r="E15" s="53">
        <v>110581.82</v>
      </c>
      <c r="F15" s="53">
        <v>813136.36</v>
      </c>
      <c r="G15" s="53">
        <v>482568.58999999997</v>
      </c>
      <c r="H15" s="53">
        <v>1085981.6500000001</v>
      </c>
      <c r="I15" s="53">
        <v>2667964.0099999993</v>
      </c>
      <c r="J15" s="60"/>
      <c r="K15" s="60"/>
      <c r="L15" s="60"/>
    </row>
    <row r="16" spans="2:13" x14ac:dyDescent="0.35">
      <c r="B16"/>
      <c r="C16"/>
      <c r="D16"/>
      <c r="E16"/>
      <c r="F16"/>
      <c r="G16"/>
      <c r="H16"/>
      <c r="I16"/>
    </row>
  </sheetData>
  <mergeCells count="3">
    <mergeCell ref="J5:J6"/>
    <mergeCell ref="K5:K6"/>
    <mergeCell ref="L5:L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9BFA0-E536-4A58-A9C2-21260488002A}">
  <sheetPr codeName="Sheet7">
    <tabColor rgb="FFFFC000"/>
  </sheetPr>
  <dimension ref="A1:S510"/>
  <sheetViews>
    <sheetView zoomScale="43" zoomScaleNormal="43" workbookViewId="0">
      <pane ySplit="10" topLeftCell="A11" activePane="bottomLeft" state="frozen"/>
      <selection pane="bottomLeft" activeCell="F7" sqref="F7"/>
    </sheetView>
  </sheetViews>
  <sheetFormatPr defaultRowHeight="14.5" x14ac:dyDescent="0.35"/>
  <cols>
    <col min="1" max="1" width="29.90625" bestFit="1" customWidth="1"/>
    <col min="2" max="2" width="35.453125" customWidth="1"/>
    <col min="3" max="3" width="23.6328125" customWidth="1"/>
    <col min="4" max="4" width="21.81640625" customWidth="1"/>
    <col min="5" max="5" width="15.26953125" customWidth="1"/>
    <col min="6" max="6" width="12.54296875" customWidth="1"/>
    <col min="7" max="7" width="13.81640625" customWidth="1"/>
    <col min="8" max="8" width="10.36328125" customWidth="1"/>
    <col min="9" max="9" width="16" customWidth="1"/>
    <col min="10" max="10" width="17.08984375" customWidth="1"/>
    <col min="11" max="11" width="17.36328125" customWidth="1"/>
    <col min="12" max="12" width="17.1796875" customWidth="1"/>
    <col min="13" max="13" width="16.90625" customWidth="1"/>
    <col min="14" max="14" width="19" customWidth="1"/>
    <col min="15" max="15" width="24.26953125" customWidth="1"/>
    <col min="16" max="16" width="57.1796875" customWidth="1"/>
    <col min="17" max="17" width="41.453125" customWidth="1"/>
  </cols>
  <sheetData>
    <row r="1" spans="1:19" ht="34.5" customHeight="1" x14ac:dyDescent="0.35">
      <c r="A1" s="210" t="s">
        <v>1071</v>
      </c>
      <c r="B1" s="211"/>
      <c r="C1" s="211"/>
      <c r="D1" s="211"/>
      <c r="E1" s="211"/>
      <c r="F1" s="211"/>
      <c r="G1" s="211"/>
      <c r="H1" s="211"/>
      <c r="I1" s="211"/>
      <c r="J1" s="211"/>
      <c r="K1" s="211"/>
      <c r="L1" s="211"/>
      <c r="M1" s="211"/>
      <c r="N1" s="211"/>
      <c r="O1" s="211"/>
      <c r="P1" s="211"/>
      <c r="Q1" s="211"/>
      <c r="R1" t="s">
        <v>1083</v>
      </c>
      <c r="S1" t="s">
        <v>1084</v>
      </c>
    </row>
    <row r="2" spans="1:19" ht="21.75" customHeight="1" x14ac:dyDescent="0.35">
      <c r="A2" s="212" t="s">
        <v>1072</v>
      </c>
      <c r="B2" s="211"/>
      <c r="C2" s="211"/>
      <c r="D2" s="211"/>
      <c r="E2" s="211"/>
      <c r="F2" s="211"/>
      <c r="G2" s="211"/>
      <c r="H2" s="211"/>
      <c r="I2" s="211"/>
      <c r="J2" s="211"/>
      <c r="K2" s="211"/>
      <c r="L2" s="211"/>
      <c r="M2" s="211"/>
      <c r="N2" s="211"/>
      <c r="O2" s="211"/>
      <c r="P2" s="211"/>
      <c r="Q2" s="211"/>
      <c r="R2" t="str" cm="1">
        <f t="array" ref="R2:R3">_xlfn.VSTACK("(All)",_xlfn._xlws.SORT(_xlfn.UNIQUE(_xlfn._xlws.FILTER('Consolidated SOA'!$M$2:$M$495,'Consolidated SOA'!$M$2:$M$495&lt;&gt;""))))</f>
        <v>(All)</v>
      </c>
      <c r="S2" t="str" cm="1">
        <f t="array" ref="S2:S17">_xlfn.VSTACK("(All)",_xlfn._xlws.SORT(_xlfn.UNIQUE(_xlfn._xlws.FILTER('Consolidated SOA'!$AJ$2:$AJ$495,'Consolidated SOA'!$AJ$2:$AJ$495&lt;&gt;""))))</f>
        <v>(All)</v>
      </c>
    </row>
    <row r="3" spans="1:19" ht="21.75" customHeight="1" x14ac:dyDescent="0.35">
      <c r="A3" s="147" t="s">
        <v>1073</v>
      </c>
      <c r="B3" s="148" t="s">
        <v>1267</v>
      </c>
      <c r="C3" s="142"/>
      <c r="D3" s="142"/>
      <c r="E3" s="142"/>
      <c r="F3" s="142"/>
      <c r="G3" s="142"/>
      <c r="H3" s="142"/>
      <c r="I3" s="142"/>
      <c r="J3" s="142"/>
      <c r="K3" s="142"/>
      <c r="L3" s="142"/>
      <c r="M3" s="142"/>
      <c r="N3" s="142"/>
      <c r="O3" s="142"/>
      <c r="P3" s="142"/>
      <c r="Q3" s="142"/>
      <c r="R3" t="str">
        <v>ACCOR</v>
      </c>
      <c r="S3" t="str">
        <v>AB Linking</v>
      </c>
    </row>
    <row r="4" spans="1:19" ht="24.75" customHeight="1" x14ac:dyDescent="0.7">
      <c r="A4" s="147" t="s">
        <v>1074</v>
      </c>
      <c r="B4" s="149" t="s">
        <v>874</v>
      </c>
      <c r="C4" s="150"/>
      <c r="D4" s="150"/>
      <c r="E4" s="150"/>
      <c r="F4" s="147" t="s">
        <v>1075</v>
      </c>
      <c r="G4" s="151" cm="1">
        <f t="array" ref="G4">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SOA'!$AJ$2:$AJ$495=_xlpm.p)),_xlpm.cond,_xlpm.clientCond*_xlpm.cgCond*_xlpm.pCond,IFERROR(COUNTA(_xlfn.UNIQUE(_xlfn._xlws.FILTER('Consolidated SOA'!$B$2:$B$495,_xlpm.cond))),0))</f>
        <v>42</v>
      </c>
      <c r="H4" s="150"/>
      <c r="I4" s="150"/>
      <c r="J4" s="147" t="s">
        <v>1076</v>
      </c>
      <c r="K4" s="152">
        <f>IFERROR(C7/IF($B$3="(All)",SUMIFS('Consolidated SOA'!$AE$2:$AE$495,'Consolidated SOA'!$AJ$2:$AJ$495,"&lt;&gt;",'Consolidated SOA'!$B$2:$B$495,"&lt;&gt;"),SUMIFS('Consolidated SOA'!$AE$2:$AE$495,'Consolidated SOA'!$AJ$2:$AJ$495,"&lt;&gt;",'Consolidated SOA'!$M$2:$M$495,$B$3,'Consolidated SOA'!$B$2:$B$495,"&lt;&gt;")),0)</f>
        <v>0.17793688790149118</v>
      </c>
      <c r="L4" s="150"/>
      <c r="M4" s="147" t="s">
        <v>1077</v>
      </c>
      <c r="N4" s="151" cm="1">
        <f t="array" ref="N4">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SOA'!$AJ$2:$AJ$495=_xlpm.p)),_xlpm.cond,_xlpm.clientCond*_xlpm.cgCond*_xlpm.pCond,IFERROR(ROWS(_xlfn._xlws.FILTER('Consolidated SOA'!$B$2:$B$495,_xlpm.cond)),0))</f>
        <v>74</v>
      </c>
      <c r="O4" s="150"/>
      <c r="P4" s="150"/>
      <c r="Q4" s="150"/>
      <c r="S4" t="str">
        <v>Cleared</v>
      </c>
    </row>
    <row r="5" spans="1:19" ht="19.5" customHeight="1" x14ac:dyDescent="0.35">
      <c r="A5" s="142"/>
      <c r="B5" s="142"/>
      <c r="C5" s="142"/>
      <c r="D5" s="142"/>
      <c r="E5" s="142"/>
      <c r="F5" s="142"/>
      <c r="G5" s="142"/>
      <c r="H5" s="142"/>
      <c r="I5" s="142"/>
      <c r="J5" s="142"/>
      <c r="K5" s="142"/>
      <c r="L5" s="142"/>
      <c r="M5" s="142"/>
      <c r="N5" s="142"/>
      <c r="O5" s="142"/>
      <c r="P5" s="142"/>
      <c r="Q5" s="142"/>
      <c r="S5" t="str">
        <v>Client Pending</v>
      </c>
    </row>
    <row r="6" spans="1:19" ht="33.75" customHeight="1" x14ac:dyDescent="0.7">
      <c r="A6" s="153" t="s">
        <v>1078</v>
      </c>
      <c r="B6" s="146" t="s">
        <v>37</v>
      </c>
      <c r="C6" s="146" t="s">
        <v>42</v>
      </c>
      <c r="D6" s="146" t="s">
        <v>1079</v>
      </c>
      <c r="E6" s="150"/>
      <c r="F6" s="150"/>
      <c r="G6" s="150"/>
      <c r="H6" s="150"/>
      <c r="I6" s="146" t="s">
        <v>1080</v>
      </c>
      <c r="J6" s="150"/>
      <c r="K6" s="150"/>
      <c r="L6" s="150"/>
      <c r="M6" s="150"/>
      <c r="N6" s="150"/>
      <c r="O6" s="146" t="s">
        <v>1081</v>
      </c>
      <c r="P6" s="150"/>
      <c r="Q6" s="150"/>
      <c r="S6" t="str">
        <v>Client Unresponsive</v>
      </c>
    </row>
    <row r="7" spans="1:19" ht="21.75" customHeight="1" x14ac:dyDescent="0.7">
      <c r="A7" s="154" t="s">
        <v>1082</v>
      </c>
      <c r="B7" s="156">
        <f ca="1">IF(COUNTIF($H$11:$H$510,"USD")=0,"",SUMIF($H$11:$H$510,"USD",$I$11:$I$510)+SUMIF($H$11:$H$510,"USD",$J$11:$J$510)+SUMIF($H$11:$H$510,"USD",$K$11:$K$510)+SUMIF($H$11:$H$510,"USD",$L$11:$L$510)+SUMIF($H$11:$H$510,"USD",$M$11:$M$510)+SUMIF($H$11:$H$510,"USD",$N$11:$N$510))</f>
        <v>907286.25000000012</v>
      </c>
      <c r="C7" s="156" cm="1">
        <f t="array" ref="C7">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SOA'!$AJ$2:$AJ$495=_xlpm.p)),_xlpm.cond,_xlpm.clientCond*_xlpm.cgCond*_xlpm.pCond,IFERROR(SUMPRODUCT(_xlpm.cond*'Consolidated SOA'!$AE$2:$AE$495),0))</f>
        <v>3339861.3200000017</v>
      </c>
      <c r="D7" s="157" cm="1">
        <f t="array" ref="D7">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SOA'!$AJ$2:$AJ$495=_xlpm.p)),_xlpm.cond,_xlpm.clientCond*_xlpm.cgCond*_xlpm.pCond,IFERROR(SUMPRODUCT(_xlpm.cond*'Consolidated SOA'!$AF$2:$AF$495),0))</f>
        <v>782208.74999999965</v>
      </c>
      <c r="E7" s="150"/>
      <c r="F7" s="150"/>
      <c r="G7" s="150"/>
      <c r="H7" s="146" t="s">
        <v>37</v>
      </c>
      <c r="I7" s="159">
        <f t="shared" ref="I7:N7" ca="1" si="0">IF(SUMIF($H$11:$H$510,"USD",I$11:I$510)=0,"",SUMIF($H$11:$H$510,"USD",I$11:I$510))</f>
        <v>124171.55</v>
      </c>
      <c r="J7" s="159">
        <f t="shared" ca="1" si="0"/>
        <v>696056.26</v>
      </c>
      <c r="K7" s="159">
        <f t="shared" ca="1" si="0"/>
        <v>63123.560000000005</v>
      </c>
      <c r="L7" s="159">
        <f t="shared" ca="1" si="0"/>
        <v>7210.75</v>
      </c>
      <c r="M7" s="159" t="str">
        <f t="shared" ca="1" si="0"/>
        <v/>
      </c>
      <c r="N7" s="158">
        <f t="shared" ca="1" si="0"/>
        <v>16724.130000000005</v>
      </c>
      <c r="O7" s="159">
        <f ca="1">IF(SUM(I7:N7)=0,"",SUM(I7:N7))</f>
        <v>907286.25000000012</v>
      </c>
      <c r="P7" s="150"/>
      <c r="Q7" s="150"/>
      <c r="S7" t="str">
        <v>CN Issuance</v>
      </c>
    </row>
    <row r="8" spans="1:19" ht="21.75" customHeight="1" x14ac:dyDescent="0.7">
      <c r="A8" s="150"/>
      <c r="B8" s="150"/>
      <c r="C8" s="150"/>
      <c r="D8" s="150"/>
      <c r="E8" s="150"/>
      <c r="F8" s="150"/>
      <c r="G8" s="150"/>
      <c r="H8" s="146" t="s">
        <v>42</v>
      </c>
      <c r="I8" s="157" t="str">
        <f t="shared" ref="I8:N8" si="1">IF(SUMIF($H$11:$H$510,"AED",I$11:I$510)=0,"",SUMIF($H$11:$H$510,"AED",I$11:I$510))</f>
        <v/>
      </c>
      <c r="J8" s="157" t="str">
        <f t="shared" si="1"/>
        <v/>
      </c>
      <c r="K8" s="157" t="str">
        <f t="shared" si="1"/>
        <v/>
      </c>
      <c r="L8" s="157" t="str">
        <f t="shared" si="1"/>
        <v/>
      </c>
      <c r="M8" s="157" t="str">
        <f t="shared" si="1"/>
        <v/>
      </c>
      <c r="N8" s="156" t="str">
        <f t="shared" si="1"/>
        <v/>
      </c>
      <c r="O8" s="157" t="str">
        <f>IF(SUM(I8:N8)=0,"",SUM(I8:N8))</f>
        <v/>
      </c>
      <c r="P8" s="150"/>
      <c r="Q8" s="150"/>
      <c r="S8" t="str">
        <v>CN not Shared</v>
      </c>
    </row>
    <row r="9" spans="1:19" ht="10.5" customHeight="1" x14ac:dyDescent="0.35">
      <c r="A9" s="142"/>
      <c r="B9" s="142"/>
      <c r="C9" s="142"/>
      <c r="D9" s="142"/>
      <c r="E9" s="142"/>
      <c r="F9" s="142"/>
      <c r="G9" s="142"/>
      <c r="H9" s="142"/>
      <c r="I9" s="142"/>
      <c r="J9" s="142"/>
      <c r="K9" s="142"/>
      <c r="L9" s="142"/>
      <c r="M9" s="142"/>
      <c r="N9" s="142"/>
      <c r="O9" s="142"/>
      <c r="P9" s="142"/>
      <c r="Q9" s="142"/>
      <c r="S9" t="str">
        <v>Disputed Invoice</v>
      </c>
    </row>
    <row r="10" spans="1:19" ht="40.5" customHeight="1" x14ac:dyDescent="0.35">
      <c r="A10" s="155" t="s">
        <v>1085</v>
      </c>
      <c r="B10" s="155" t="s">
        <v>3</v>
      </c>
      <c r="C10" s="155" t="s">
        <v>1086</v>
      </c>
      <c r="D10" s="155" t="s">
        <v>16</v>
      </c>
      <c r="E10" s="155" t="s">
        <v>1087</v>
      </c>
      <c r="F10" s="155" t="s">
        <v>1088</v>
      </c>
      <c r="G10" s="155" t="s">
        <v>8</v>
      </c>
      <c r="H10" s="155" t="s">
        <v>6</v>
      </c>
      <c r="I10" s="155" t="s">
        <v>18</v>
      </c>
      <c r="J10" s="155" t="s">
        <v>922</v>
      </c>
      <c r="K10" s="155" t="s">
        <v>924</v>
      </c>
      <c r="L10" s="155" t="s">
        <v>925</v>
      </c>
      <c r="M10" s="155" t="s">
        <v>926</v>
      </c>
      <c r="N10" s="155" t="s">
        <v>1089</v>
      </c>
      <c r="O10" s="155" t="s">
        <v>781</v>
      </c>
      <c r="P10" s="155" t="s">
        <v>935</v>
      </c>
      <c r="Q10" s="155" t="s">
        <v>26</v>
      </c>
      <c r="S10" t="str">
        <v>For Cancellation</v>
      </c>
    </row>
    <row r="11" spans="1:19" s="169" customFormat="1" ht="30.75" customHeight="1" x14ac:dyDescent="0.4">
      <c r="A11" s="163" t="str" cm="1">
        <f t="array" ref="A11:A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SOA'!$C$2:$C$495,_xlpm.cond),_xlfn.TAKE(_xlpm.data,MIN(500,ROWS(_xlpm.data)))),"")</f>
        <v>(M11)(M11)100108890</v>
      </c>
      <c r="B11" s="163" t="str" cm="1">
        <f t="array" ref="B11:B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SOA'!$D$2:$D$495,_xlpm.cond),_xlfn.TAKE(_xlpm.data,MIN(500,ROWS(_xlpm.data)))),"")</f>
        <v>259 WORTH AVENUE HOLDINGS INC</v>
      </c>
      <c r="C11" s="163" t="str" cm="1">
        <f t="array" ref="C11:C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SOA'!$F$2:$F$495,_xlpm.cond),_xlfn.TAKE(_xlpm.data,MIN(500,ROWS(_xlpm.data)))),"")</f>
        <v>M11IN26-00007434</v>
      </c>
      <c r="D11" s="163" t="str" cm="1">
        <f t="array" ref="D11:D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SOA'!$Q$2:$Q$495,_xlpm.cond),_xlfn.TAKE(_xlpm.data,MIN(500,ROWS(_xlpm.data)))),"")</f>
        <v>STARSCAP_MENA</v>
      </c>
      <c r="E11" s="164" cm="1">
        <f t="array" ref="E11:E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SOA'!$L$2:$L$495,_xlpm.cond),_xlfn.TAKE(_xlpm.data,MIN(500,ROWS(_xlpm.data)))),"")</f>
        <v>46085</v>
      </c>
      <c r="F11" s="165" cm="1">
        <f t="array" ref="F11:F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SOA'!$AJ$2:$AJ$495=_xlpm.p)),_xlpm.cond,_xlpm.clientCond*_xlpm.cgCond*_xlpm.pCond,_xlpm.dd,_xlfn._xlws.FILTER('Consolidated SOA'!$L$2:$L$495,_xlpm.cond,""),_xlpm.du,_xlfn._xlws.FILTER('Consolidated SOA'!$I$2:$I$495,_xlpm.cond,""),_xlpm.res,_xlpm.du-_xlpm.dd,IFERROR(_xlfn.TAKE(_xlpm.res,MIN(500,ROWS(_xlpm.res))),"")),"")</f>
        <v>30</v>
      </c>
      <c r="G11" s="164" cm="1">
        <f t="array" ref="G11:G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SOA'!$I$2:$I$495,_xlpm.cond),_xlfn.TAKE(_xlpm.data,MIN(500,ROWS(_xlpm.data)))),"")</f>
        <v>46115</v>
      </c>
      <c r="H11" s="163" t="str" cm="1">
        <f t="array" ref="H11:H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SOA'!$G$2:$G$495,_xlpm.cond),_xlfn.TAKE(_xlpm.data,MIN(500,ROWS(_xlpm.data)))),"")</f>
        <v>USD</v>
      </c>
      <c r="I11" s="166" t="str" cm="1">
        <f t="array" aca="1" ref="I11:I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SOA'!$J$2:$J$495,_xlpm.cond,""),_xlpm.result,IF(_xlpm.ag="Current",_xlpm.amt,""),IFERROR(_xlfn.TAKE(_xlpm.result,MIN(500,ROWS(_xlpm.result))),"")),"")</f>
        <v/>
      </c>
      <c r="J11" s="167" cm="1">
        <f t="array" aca="1" ref="J11:J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SOA'!$J$2:$J$495,_xlpm.cond,""),_xlpm.result,IF(_xlpm.ag="0-30",_xlpm.amt,""),IFERROR(_xlfn.TAKE(_xlpm.result,MIN(500,ROWS(_xlpm.result))),"")),"")</f>
        <v>10109.959999999999</v>
      </c>
      <c r="K11" s="167" t="str" cm="1">
        <f t="array" aca="1" ref="K11:K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SOA'!$J$2:$J$495,_xlpm.cond,""),_xlpm.result,IF(_xlpm.ag="31-60",_xlpm.amt,""),IFERROR(_xlfn.TAKE(_xlpm.result,MIN(500,ROWS(_xlpm.result))),"")),"")</f>
        <v/>
      </c>
      <c r="L11" s="167" t="str" cm="1">
        <f t="array" aca="1" ref="L11:L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SOA'!$J$2:$J$495,_xlpm.cond,""),_xlpm.result,IF(_xlpm.ag="61-90",_xlpm.amt,""),IFERROR(_xlfn.TAKE(_xlpm.result,MIN(500,ROWS(_xlpm.result))),"")),"")</f>
        <v/>
      </c>
      <c r="M11" s="168" t="str" cm="1">
        <f t="array" aca="1" ref="M11:M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SOA'!$J$2:$J$495,_xlpm.cond,""),_xlpm.result,IF(_xlpm.ag="91-120",_xlpm.amt,""),IFERROR(_xlfn.TAKE(_xlpm.result,MIN(500,ROWS(_xlpm.result))),"")),"")</f>
        <v/>
      </c>
      <c r="N11" s="168" t="str" cm="1">
        <f t="array" aca="1" ref="N11:N84" ca="1">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SOA'!$AJ$2:$AJ$495=_xlpm.p)),_xlpm.cond,_xlpm.clientCond*_xlpm.cgCond*_xlpm.pCond,_xlpm.amt,_xlfn._xlws.FILTER('Consolidated SOA'!$H$2:$H$495,_xlpm.cond,""),_xlpm.ag,_xlfn._xlws.FILTER('Consolidated SOA'!$J$2:$J$495,_xlpm.cond,""),_xlpm.result,IF(_xlpm.ag="120 +",_xlpm.amt,""),IFERROR(_xlfn.TAKE(_xlpm.result,MIN(500,ROWS(_xlpm.result))),"")),"")</f>
        <v/>
      </c>
      <c r="O11" s="163" t="str" cm="1">
        <f t="array" ref="O11:O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SOA'!$AJ$2:$AJ$495,_xlpm.cond),_xlfn.TAKE(_xlpm.data,MIN(500,ROWS(_xlpm.data)))),"")</f>
        <v>Paid</v>
      </c>
      <c r="P11" s="163" t="str" cm="1">
        <f t="array" ref="P11:P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SOA'!$AK$2:$AK$495,_xlpm.cond),_xlfn.TAKE(_xlpm.data,MIN(500,ROWS(_xlpm.data)))),"")</f>
        <v>Collected</v>
      </c>
      <c r="Q11" s="163" t="str" cm="1">
        <f t="array" ref="Q11:Q84">IFERROR(_xlfn.LET(_xlpm.cg,$B$3,_xlpm.p,$B$4,_xlpm.clientCond,'Consolidated SOA'!$B$2:$B$495&lt;&gt;"",_xlpm.cgCond,IF(_xlpm.cg="(All)",TRUE,'Consolidated SOA'!$M$2:$M$495=_xlpm.cg),_xlpm.pCond,IF(_xlpm.p="(All)",'Consolidated SOA'!$AJ$2:$AJ$495&lt;&gt;"",IF(_xlpm.p="AB Linking / For Cancellation",('Consolidated SOA'!$AJ$2:$AJ$495="AB Linking")+('Consolidated SOA'!$AJ$2:$AJ$495="For Cancellation"),'Consolidated SOA'!$AJ$2:$AJ$495=_xlpm.p)),_xlpm.cond,_xlpm.clientCond*_xlpm.cgCond*_xlpm.pCond,_xlpm.data,_xlfn._xlws.FILTER('Consolidated SOA'!$AA$2:$AA$495,_xlpm.cond),_xlfn.TAKE(_xlpm.data,MIN(500,ROWS(_xlpm.data)))),"")</f>
        <v>FAIRMONT CENTURY PLAZA -ALWAYS ON 2026</v>
      </c>
      <c r="S11" s="169" t="str">
        <v>For Payment</v>
      </c>
    </row>
    <row r="12" spans="1:19" s="169" customFormat="1" ht="30.75" customHeight="1" x14ac:dyDescent="0.4">
      <c r="A12" s="163" t="str">
        <v>(M11)(M11)100103260</v>
      </c>
      <c r="B12" s="163" t="str">
        <v>ACCOR MANAGEMENT US INC</v>
      </c>
      <c r="C12" s="163" t="str">
        <v>AM11IN26-0007586</v>
      </c>
      <c r="D12" s="163" t="str">
        <v>STARSCAP_MENA</v>
      </c>
      <c r="E12" s="164">
        <v>46086</v>
      </c>
      <c r="F12" s="165">
        <v>30</v>
      </c>
      <c r="G12" s="164">
        <v>46116</v>
      </c>
      <c r="H12" s="163" t="str">
        <v>USD</v>
      </c>
      <c r="I12" s="166" t="str">
        <f ca="1"/>
        <v/>
      </c>
      <c r="J12" s="167">
        <f ca="1"/>
        <v>472920</v>
      </c>
      <c r="K12" s="167" t="str">
        <f ca="1"/>
        <v/>
      </c>
      <c r="L12" s="167" t="str">
        <f ca="1"/>
        <v/>
      </c>
      <c r="M12" s="168" t="str">
        <f ca="1"/>
        <v/>
      </c>
      <c r="N12" s="168" t="str">
        <f ca="1"/>
        <v/>
      </c>
      <c r="O12" s="163" t="str">
        <v>Paid</v>
      </c>
      <c r="P12" s="163" t="str">
        <v>Collected</v>
      </c>
      <c r="Q12" s="163" t="str">
        <v>FAIRMONT KM WELLNESS 2025</v>
      </c>
      <c r="S12" s="169" t="str">
        <v>Paid</v>
      </c>
    </row>
    <row r="13" spans="1:19" s="169" customFormat="1" ht="30.75" customHeight="1" x14ac:dyDescent="0.4">
      <c r="A13" s="163" t="str">
        <v>(M11)(M11)100112183</v>
      </c>
      <c r="B13" s="163" t="str">
        <v>BDC (EMPRESS HOTEL) INVESTMENT</v>
      </c>
      <c r="C13" s="163" t="str">
        <v>M11IN26-00009994</v>
      </c>
      <c r="D13" s="163" t="str">
        <v>STARSCAP_MENA</v>
      </c>
      <c r="E13" s="164">
        <v>46111</v>
      </c>
      <c r="F13" s="165">
        <v>30</v>
      </c>
      <c r="G13" s="164">
        <v>46141</v>
      </c>
      <c r="H13" s="163" t="str">
        <v>USD</v>
      </c>
      <c r="I13" s="166">
        <f ca="1"/>
        <v>10797.54</v>
      </c>
      <c r="J13" s="167" t="str">
        <f ca="1"/>
        <v/>
      </c>
      <c r="K13" s="167" t="str">
        <f ca="1"/>
        <v/>
      </c>
      <c r="L13" s="167" t="str">
        <f ca="1"/>
        <v/>
      </c>
      <c r="M13" s="168" t="str">
        <f ca="1"/>
        <v/>
      </c>
      <c r="N13" s="168" t="str">
        <f ca="1"/>
        <v/>
      </c>
      <c r="O13" s="163" t="str">
        <v>Paid</v>
      </c>
      <c r="P13" s="163" t="str">
        <v>Collected</v>
      </c>
      <c r="Q13" s="163" t="str">
        <v>FAIRMONT EMPRESS ALWAYS ON 2026</v>
      </c>
      <c r="S13" s="169" t="str">
        <v>Payment</v>
      </c>
    </row>
    <row r="14" spans="1:19" s="169" customFormat="1" ht="30.75" customHeight="1" x14ac:dyDescent="0.4">
      <c r="A14" s="163" t="str">
        <v>(M11)(M11)100114302</v>
      </c>
      <c r="B14" s="163" t="str">
        <v>Beachcomber Hotel SA</v>
      </c>
      <c r="C14" s="163" t="str">
        <v>M11IN26-00008779</v>
      </c>
      <c r="D14" s="163" t="str">
        <v>STARSCAP_MENA</v>
      </c>
      <c r="E14" s="164">
        <v>46098</v>
      </c>
      <c r="F14" s="165">
        <v>30</v>
      </c>
      <c r="G14" s="164">
        <v>46128</v>
      </c>
      <c r="H14" s="163" t="str">
        <v>USD</v>
      </c>
      <c r="I14" s="166" t="str">
        <f ca="1"/>
        <v/>
      </c>
      <c r="J14" s="167">
        <f ca="1"/>
        <v>1353.49</v>
      </c>
      <c r="K14" s="167" t="str">
        <f ca="1"/>
        <v/>
      </c>
      <c r="L14" s="167" t="str">
        <f ca="1"/>
        <v/>
      </c>
      <c r="M14" s="168" t="str">
        <f ca="1"/>
        <v/>
      </c>
      <c r="N14" s="168" t="str">
        <f ca="1"/>
        <v/>
      </c>
      <c r="O14" s="163" t="str">
        <v>Paid</v>
      </c>
      <c r="P14" s="163" t="str">
        <v>Collected</v>
      </c>
      <c r="Q14" s="163" t="str">
        <v>Fairmont Royal Palm Marrakech - Always Onn 2026</v>
      </c>
      <c r="S14" s="169" t="str">
        <v>Pending Copy of Contract / SOW</v>
      </c>
    </row>
    <row r="15" spans="1:19" s="169" customFormat="1" ht="30.75" customHeight="1" x14ac:dyDescent="0.4">
      <c r="A15" s="163" t="str">
        <v>(M11)(M11)100113198</v>
      </c>
      <c r="B15" s="163" t="str">
        <v>BREAKERS MASTER TENANT LLC</v>
      </c>
      <c r="C15" s="163" t="str">
        <v>M11IN26-00005741</v>
      </c>
      <c r="D15" s="163" t="str">
        <v>STARSCAP_MENA</v>
      </c>
      <c r="E15" s="164">
        <v>46070</v>
      </c>
      <c r="F15" s="165">
        <v>30</v>
      </c>
      <c r="G15" s="164">
        <v>46100</v>
      </c>
      <c r="H15" s="163" t="str">
        <v>USD</v>
      </c>
      <c r="I15" s="166" t="str">
        <f ca="1"/>
        <v/>
      </c>
      <c r="J15" s="167" t="str">
        <f ca="1"/>
        <v/>
      </c>
      <c r="K15" s="167">
        <f ca="1"/>
        <v>37193.35</v>
      </c>
      <c r="L15" s="167" t="str">
        <f ca="1"/>
        <v/>
      </c>
      <c r="M15" s="168" t="str">
        <f ca="1"/>
        <v/>
      </c>
      <c r="N15" s="168" t="str">
        <f ca="1"/>
        <v/>
      </c>
      <c r="O15" s="163" t="str">
        <v>Paid</v>
      </c>
      <c r="P15" s="163" t="str">
        <v>Collected</v>
      </c>
      <c r="Q15" s="163" t="str">
        <v>Fairmont Breakers Long Beach AO 2025</v>
      </c>
      <c r="S15" s="169" t="str">
        <v>Pending Documents</v>
      </c>
    </row>
    <row r="16" spans="1:19" s="169" customFormat="1" ht="30.75" customHeight="1" x14ac:dyDescent="0.4">
      <c r="A16" s="163" t="str">
        <v>(M11)(M11)100113889</v>
      </c>
      <c r="B16" s="163" t="str">
        <v>CANADIAN RESORT HOTELS</v>
      </c>
      <c r="C16" s="163" t="str">
        <v>M11IN26-00008843</v>
      </c>
      <c r="D16" s="163" t="str">
        <v>STARSCAP_MENA</v>
      </c>
      <c r="E16" s="164">
        <v>46100</v>
      </c>
      <c r="F16" s="165">
        <v>30</v>
      </c>
      <c r="G16" s="164">
        <v>46130</v>
      </c>
      <c r="H16" s="163" t="str">
        <v>USD</v>
      </c>
      <c r="I16" s="166" t="str">
        <f ca="1"/>
        <v/>
      </c>
      <c r="J16" s="167">
        <f ca="1"/>
        <v>8319.2999999999993</v>
      </c>
      <c r="K16" s="167" t="str">
        <f ca="1"/>
        <v/>
      </c>
      <c r="L16" s="167" t="str">
        <f ca="1"/>
        <v/>
      </c>
      <c r="M16" s="168" t="str">
        <f ca="1"/>
        <v/>
      </c>
      <c r="N16" s="168" t="str">
        <f ca="1"/>
        <v/>
      </c>
      <c r="O16" s="163" t="str">
        <v>Paid</v>
      </c>
      <c r="P16" s="163" t="str">
        <v>Collected</v>
      </c>
      <c r="Q16" s="163" t="str">
        <v>FAIRMONT JASPER PARK LODGE - ALWAYS ON 2026</v>
      </c>
      <c r="S16" s="169" t="str">
        <v>Pending Request</v>
      </c>
    </row>
    <row r="17" spans="1:19" s="169" customFormat="1" ht="30.75" customHeight="1" x14ac:dyDescent="0.4">
      <c r="A17" s="163" t="str">
        <v>(M11)(M11)100113889</v>
      </c>
      <c r="B17" s="163" t="str">
        <v>CANADIAN RESORT HOTELS</v>
      </c>
      <c r="C17" s="163" t="str">
        <v>M11IN26-00009833</v>
      </c>
      <c r="D17" s="163" t="str">
        <v>STARSCAP_MENA</v>
      </c>
      <c r="E17" s="164">
        <v>46106</v>
      </c>
      <c r="F17" s="165">
        <v>30</v>
      </c>
      <c r="G17" s="164">
        <v>46136</v>
      </c>
      <c r="H17" s="163" t="str">
        <v>USD</v>
      </c>
      <c r="I17" s="166" t="str">
        <f ca="1"/>
        <v/>
      </c>
      <c r="J17" s="167">
        <f ca="1"/>
        <v>6899.16</v>
      </c>
      <c r="K17" s="167" t="str">
        <f ca="1"/>
        <v/>
      </c>
      <c r="L17" s="167" t="str">
        <f ca="1"/>
        <v/>
      </c>
      <c r="M17" s="168" t="str">
        <f ca="1"/>
        <v/>
      </c>
      <c r="N17" s="168" t="str">
        <f ca="1"/>
        <v/>
      </c>
      <c r="O17" s="163" t="str">
        <v>Paid</v>
      </c>
      <c r="P17" s="163" t="str">
        <v>Collected</v>
      </c>
      <c r="Q17" s="163" t="str">
        <v>FAIRMONT BANFF SPRINGS TACTICAL 2025</v>
      </c>
      <c r="S17" s="169" t="str">
        <v>Refuse to Pay</v>
      </c>
    </row>
    <row r="18" spans="1:19" s="169" customFormat="1" ht="30.75" customHeight="1" x14ac:dyDescent="0.4">
      <c r="A18" s="163" t="str">
        <v>(M11)(M11)100111711</v>
      </c>
      <c r="B18" s="163" t="str">
        <v>CAPE GRACE HOTEL PTY LTD</v>
      </c>
      <c r="C18" s="163" t="str">
        <v>M11IN26-00006810</v>
      </c>
      <c r="D18" s="163" t="str">
        <v>STARSCAP_MENA</v>
      </c>
      <c r="E18" s="164">
        <v>46079</v>
      </c>
      <c r="F18" s="165">
        <v>30</v>
      </c>
      <c r="G18" s="164">
        <v>46109</v>
      </c>
      <c r="H18" s="163" t="str">
        <v>USD</v>
      </c>
      <c r="I18" s="166" t="str">
        <f ca="1"/>
        <v/>
      </c>
      <c r="J18" s="167" t="str">
        <f ca="1"/>
        <v/>
      </c>
      <c r="K18" s="167">
        <f ca="1"/>
        <v>551.9</v>
      </c>
      <c r="L18" s="167" t="str">
        <f ca="1"/>
        <v/>
      </c>
      <c r="M18" s="168" t="str">
        <f ca="1"/>
        <v/>
      </c>
      <c r="N18" s="168" t="str">
        <f ca="1"/>
        <v/>
      </c>
      <c r="O18" s="163" t="str">
        <v>Paid</v>
      </c>
      <c r="P18" s="163" t="str">
        <v>Collected</v>
      </c>
      <c r="Q18" s="163" t="str">
        <v>FAIRMONT CAPE GRACE ALWAYS ON 2026</v>
      </c>
    </row>
    <row r="19" spans="1:19" s="169" customFormat="1" ht="30.75" customHeight="1" x14ac:dyDescent="0.4">
      <c r="A19" s="163" t="str">
        <v>(M11)(M11)100114939</v>
      </c>
      <c r="B19" s="163" t="str">
        <v>CAPITAL HOTEL GP INC</v>
      </c>
      <c r="C19" s="163" t="str">
        <v>M11IN26-00008787</v>
      </c>
      <c r="D19" s="163" t="str">
        <v>STARSCAP_MENA</v>
      </c>
      <c r="E19" s="164">
        <v>46098</v>
      </c>
      <c r="F19" s="165">
        <v>30</v>
      </c>
      <c r="G19" s="164">
        <v>46128</v>
      </c>
      <c r="H19" s="163" t="str">
        <v>USD</v>
      </c>
      <c r="I19" s="166" t="str">
        <f ca="1"/>
        <v/>
      </c>
      <c r="J19" s="167">
        <f ca="1"/>
        <v>5676.07</v>
      </c>
      <c r="K19" s="167" t="str">
        <f ca="1"/>
        <v/>
      </c>
      <c r="L19" s="167" t="str">
        <f ca="1"/>
        <v/>
      </c>
      <c r="M19" s="168" t="str">
        <f ca="1"/>
        <v/>
      </c>
      <c r="N19" s="168" t="str">
        <f ca="1"/>
        <v/>
      </c>
      <c r="O19" s="163" t="str">
        <v>Paid</v>
      </c>
      <c r="P19" s="163" t="str">
        <v>Collected</v>
      </c>
      <c r="Q19" s="163" t="str">
        <v>Fairmont Chateau Laurier - ALWAYS ON 2026</v>
      </c>
    </row>
    <row r="20" spans="1:19" s="169" customFormat="1" ht="30.75" customHeight="1" x14ac:dyDescent="0.4">
      <c r="A20" s="163" t="str">
        <v>(M11)(M11)100111597</v>
      </c>
      <c r="B20" s="163" t="str">
        <v>CCFH MAUI LLC</v>
      </c>
      <c r="C20" s="163" t="str">
        <v>M11IN26-00008960</v>
      </c>
      <c r="D20" s="163" t="str">
        <v>STARSCAP_MENA</v>
      </c>
      <c r="E20" s="164">
        <v>46099</v>
      </c>
      <c r="F20" s="165">
        <v>30</v>
      </c>
      <c r="G20" s="164">
        <v>46129</v>
      </c>
      <c r="H20" s="163" t="str">
        <v>USD</v>
      </c>
      <c r="I20" s="166" t="str">
        <f ca="1"/>
        <v/>
      </c>
      <c r="J20" s="167">
        <f ca="1"/>
        <v>12567.09</v>
      </c>
      <c r="K20" s="167" t="str">
        <f ca="1"/>
        <v/>
      </c>
      <c r="L20" s="167" t="str">
        <f ca="1"/>
        <v/>
      </c>
      <c r="M20" s="168" t="str">
        <f ca="1"/>
        <v/>
      </c>
      <c r="N20" s="168" t="str">
        <f ca="1"/>
        <v/>
      </c>
      <c r="O20" s="163" t="str">
        <v>Paid</v>
      </c>
      <c r="P20" s="163" t="str">
        <v>Collected</v>
      </c>
      <c r="Q20" s="163" t="str">
        <v>Fairmont Kea Lani Tactical 2025</v>
      </c>
    </row>
    <row r="21" spans="1:19" s="169" customFormat="1" ht="30.75" customHeight="1" x14ac:dyDescent="0.4">
      <c r="A21" s="163" t="str">
        <v>(M11)(M11)100111597</v>
      </c>
      <c r="B21" s="163" t="str">
        <v>CCFH MAUI LLC</v>
      </c>
      <c r="C21" s="163" t="str">
        <v>M11IN26-00009244</v>
      </c>
      <c r="D21" s="163" t="str">
        <v>STARSCAP_MENA</v>
      </c>
      <c r="E21" s="164">
        <v>46104</v>
      </c>
      <c r="F21" s="165">
        <v>30</v>
      </c>
      <c r="G21" s="164">
        <v>46134</v>
      </c>
      <c r="H21" s="163" t="str">
        <v>USD</v>
      </c>
      <c r="I21" s="166" t="str">
        <f ca="1"/>
        <v/>
      </c>
      <c r="J21" s="167">
        <f ca="1"/>
        <v>3083.12</v>
      </c>
      <c r="K21" s="167" t="str">
        <f ca="1"/>
        <v/>
      </c>
      <c r="L21" s="167" t="str">
        <f ca="1"/>
        <v/>
      </c>
      <c r="M21" s="168" t="str">
        <f ca="1"/>
        <v/>
      </c>
      <c r="N21" s="168" t="str">
        <f ca="1"/>
        <v/>
      </c>
      <c r="O21" s="163" t="str">
        <v>Paid</v>
      </c>
      <c r="P21" s="163" t="str">
        <v>Collected</v>
      </c>
      <c r="Q21" s="163" t="str">
        <v>Fairmont Kea Lani Tactical 2025</v>
      </c>
    </row>
    <row r="22" spans="1:19" s="169" customFormat="1" ht="30.75" customHeight="1" x14ac:dyDescent="0.4">
      <c r="A22" s="163" t="str">
        <v>(M11)(M11)100111597</v>
      </c>
      <c r="B22" s="163" t="str">
        <v>CCFH MAUI LLC</v>
      </c>
      <c r="C22" s="163" t="str">
        <v>M11IN26-00010065</v>
      </c>
      <c r="D22" s="163" t="str">
        <v>STARSCAP_MENA</v>
      </c>
      <c r="E22" s="164">
        <v>46111</v>
      </c>
      <c r="F22" s="165">
        <v>30</v>
      </c>
      <c r="G22" s="164">
        <v>46141</v>
      </c>
      <c r="H22" s="163" t="str">
        <v>USD</v>
      </c>
      <c r="I22" s="166">
        <f ca="1"/>
        <v>34621.589999999997</v>
      </c>
      <c r="J22" s="167" t="str">
        <f ca="1"/>
        <v/>
      </c>
      <c r="K22" s="167" t="str">
        <f ca="1"/>
        <v/>
      </c>
      <c r="L22" s="167" t="str">
        <f ca="1"/>
        <v/>
      </c>
      <c r="M22" s="168" t="str">
        <f ca="1"/>
        <v/>
      </c>
      <c r="N22" s="168" t="str">
        <f ca="1"/>
        <v/>
      </c>
      <c r="O22" s="163" t="str">
        <v>Paid</v>
      </c>
      <c r="P22" s="163" t="str">
        <v>Collected</v>
      </c>
      <c r="Q22" s="163" t="str">
        <v>FAIRMONT KEA LANI ALWAYS ON 2026</v>
      </c>
    </row>
    <row r="23" spans="1:19" s="169" customFormat="1" ht="30.75" customHeight="1" x14ac:dyDescent="0.4">
      <c r="A23" s="163" t="str">
        <v>(M11)(M11)100112031</v>
      </c>
      <c r="B23" s="163" t="str">
        <v>CHÂTEAU M.T. INC</v>
      </c>
      <c r="C23" s="163" t="str">
        <v>M11IN26-00009436</v>
      </c>
      <c r="D23" s="163" t="str">
        <v>STARSCAP_MENA</v>
      </c>
      <c r="E23" s="164">
        <v>46104</v>
      </c>
      <c r="F23" s="165">
        <v>30</v>
      </c>
      <c r="G23" s="164">
        <v>46134</v>
      </c>
      <c r="H23" s="163" t="str">
        <v>USD</v>
      </c>
      <c r="I23" s="166" t="str">
        <f ca="1"/>
        <v/>
      </c>
      <c r="J23" s="167">
        <f ca="1"/>
        <v>2187.36</v>
      </c>
      <c r="K23" s="167" t="str">
        <f ca="1"/>
        <v/>
      </c>
      <c r="L23" s="167" t="str">
        <f ca="1"/>
        <v/>
      </c>
      <c r="M23" s="168" t="str">
        <f ca="1"/>
        <v/>
      </c>
      <c r="N23" s="168" t="str">
        <f ca="1"/>
        <v/>
      </c>
      <c r="O23" s="163" t="str">
        <v>Paid</v>
      </c>
      <c r="P23" s="163" t="str">
        <v>Collected</v>
      </c>
      <c r="Q23" s="163" t="str">
        <v>FAIRMONT TREMBLANT - ALWAYS ON 2025</v>
      </c>
    </row>
    <row r="24" spans="1:19" s="169" customFormat="1" ht="30.75" customHeight="1" x14ac:dyDescent="0.4">
      <c r="A24" s="163" t="str">
        <v>(M11)(M11)100111868</v>
      </c>
      <c r="B24" s="163" t="str">
        <v>ESJ RESORT LLC</v>
      </c>
      <c r="C24" s="163" t="str">
        <v>AMT 34,996.38</v>
      </c>
      <c r="D24" s="163" t="str">
        <v>STARSCAP_MENA</v>
      </c>
      <c r="E24" s="164">
        <v>45789</v>
      </c>
      <c r="F24" s="165">
        <v>-45</v>
      </c>
      <c r="G24" s="164">
        <v>45744</v>
      </c>
      <c r="H24" s="163">
        <v>0</v>
      </c>
      <c r="I24" s="166" t="str">
        <f ca="1"/>
        <v/>
      </c>
      <c r="J24" s="167" t="str">
        <f ca="1"/>
        <v/>
      </c>
      <c r="K24" s="167" t="str">
        <f ca="1"/>
        <v/>
      </c>
      <c r="L24" s="167" t="str">
        <f ca="1"/>
        <v/>
      </c>
      <c r="M24" s="168" t="str">
        <f ca="1"/>
        <v/>
      </c>
      <c r="N24" s="168">
        <f ca="1"/>
        <v>0</v>
      </c>
      <c r="O24" s="163" t="str">
        <v>Paid</v>
      </c>
      <c r="P24" s="163" t="str">
        <v>Cleared - Payment partially applied due to FX.</v>
      </c>
      <c r="Q24" s="163" t="str">
        <v>Partial Allocation USD 34,996.38</v>
      </c>
    </row>
    <row r="25" spans="1:19" s="169" customFormat="1" ht="30.75" customHeight="1" x14ac:dyDescent="0.4">
      <c r="A25" s="163" t="str">
        <v>(M11)(M11)100111868</v>
      </c>
      <c r="B25" s="163" t="str">
        <v>ESJ RESORT LLC</v>
      </c>
      <c r="C25" s="163" t="str">
        <v>AMT 23,459.09</v>
      </c>
      <c r="D25" s="163" t="str">
        <v>STARSCAP_MENA</v>
      </c>
      <c r="E25" s="164">
        <v>45861</v>
      </c>
      <c r="F25" s="165">
        <v>-33</v>
      </c>
      <c r="G25" s="164">
        <v>45828</v>
      </c>
      <c r="H25" s="163">
        <v>0</v>
      </c>
      <c r="I25" s="166" t="str">
        <f ca="1"/>
        <v/>
      </c>
      <c r="J25" s="167" t="str">
        <f ca="1"/>
        <v/>
      </c>
      <c r="K25" s="167" t="str">
        <f ca="1"/>
        <v/>
      </c>
      <c r="L25" s="167" t="str">
        <f ca="1"/>
        <v/>
      </c>
      <c r="M25" s="168" t="str">
        <f ca="1"/>
        <v/>
      </c>
      <c r="N25" s="168">
        <f ca="1"/>
        <v>0</v>
      </c>
      <c r="O25" s="163" t="str">
        <v>Paid</v>
      </c>
      <c r="P25" s="163" t="str">
        <v>Cleared - Payment partially applied due to FX.</v>
      </c>
      <c r="Q25" s="163" t="str">
        <v>Partial Allocation USD 23,459.09</v>
      </c>
    </row>
    <row r="26" spans="1:19" s="169" customFormat="1" ht="30.75" customHeight="1" x14ac:dyDescent="0.4">
      <c r="A26" s="163" t="str">
        <v>(M11)(M11)100111868</v>
      </c>
      <c r="B26" s="163" t="str">
        <v>ESJ RESORT LLC</v>
      </c>
      <c r="C26" s="163" t="str">
        <v>M11IN25-00005778</v>
      </c>
      <c r="D26" s="163" t="str">
        <v>STARSCAP_MENA</v>
      </c>
      <c r="E26" s="164">
        <v>45714</v>
      </c>
      <c r="F26" s="165">
        <v>30</v>
      </c>
      <c r="G26" s="164">
        <v>45744</v>
      </c>
      <c r="H26" s="163" t="str">
        <v>USD</v>
      </c>
      <c r="I26" s="166" t="str">
        <f ca="1"/>
        <v/>
      </c>
      <c r="J26" s="167" t="str">
        <f ca="1"/>
        <v/>
      </c>
      <c r="K26" s="167" t="str">
        <f ca="1"/>
        <v/>
      </c>
      <c r="L26" s="167" t="str">
        <f ca="1"/>
        <v/>
      </c>
      <c r="M26" s="168" t="str">
        <f ca="1"/>
        <v/>
      </c>
      <c r="N26" s="168">
        <f ca="1"/>
        <v>737.08</v>
      </c>
      <c r="O26" s="163" t="str">
        <v>Paid</v>
      </c>
      <c r="P26" s="163" t="str">
        <v>Collected - Balance due to FX difference. On 13/01, client requested rebilling to another invoice; forwarded to Faraz (Agency). Rebilled invoice has been shared and Payment in Process as per Client on 18/03.</v>
      </c>
      <c r="Q26" s="163" t="str">
        <v>FAIRMONT_ALWAYS ON_FAIRMONT San Juan_NON UAE</v>
      </c>
    </row>
    <row r="27" spans="1:19" s="169" customFormat="1" ht="30.75" customHeight="1" x14ac:dyDescent="0.4">
      <c r="A27" s="163" t="str">
        <v>(M11)(M11)100111868</v>
      </c>
      <c r="B27" s="163" t="str">
        <v>ESJ RESORT LLC</v>
      </c>
      <c r="C27" s="163" t="str">
        <v>M11IN26-00006808</v>
      </c>
      <c r="D27" s="163" t="str">
        <v>STARSCAP_MENA</v>
      </c>
      <c r="E27" s="164">
        <v>46079</v>
      </c>
      <c r="F27" s="165">
        <v>30</v>
      </c>
      <c r="G27" s="164">
        <v>46109</v>
      </c>
      <c r="H27" s="163" t="str">
        <v>USD</v>
      </c>
      <c r="I27" s="166" t="str">
        <f ca="1"/>
        <v/>
      </c>
      <c r="J27" s="167" t="str">
        <f ca="1"/>
        <v/>
      </c>
      <c r="K27" s="167">
        <f ca="1"/>
        <v>5694.21</v>
      </c>
      <c r="L27" s="167" t="str">
        <f ca="1"/>
        <v/>
      </c>
      <c r="M27" s="168" t="str">
        <f ca="1"/>
        <v/>
      </c>
      <c r="N27" s="168" t="str">
        <f ca="1"/>
        <v/>
      </c>
      <c r="O27" s="163" t="str">
        <v>Paid</v>
      </c>
      <c r="P27" s="163" t="str">
        <v>Collected</v>
      </c>
      <c r="Q27" s="163" t="str">
        <v>FAIRMONT EL SAN JUAN - ALWAYS ON 2026</v>
      </c>
    </row>
    <row r="28" spans="1:19" s="169" customFormat="1" ht="30.75" customHeight="1" x14ac:dyDescent="0.4">
      <c r="A28" s="163" t="str">
        <v>(M11)(M11)100111868</v>
      </c>
      <c r="B28" s="163" t="str">
        <v>ESJ RESORT LLC</v>
      </c>
      <c r="C28" s="163" t="str">
        <v>M11IN25-00013510</v>
      </c>
      <c r="D28" s="163" t="str">
        <v>STARSCAP_MENA</v>
      </c>
      <c r="E28" s="164">
        <v>45798</v>
      </c>
      <c r="F28" s="165">
        <v>30</v>
      </c>
      <c r="G28" s="164">
        <v>45828</v>
      </c>
      <c r="H28" s="163" t="str">
        <v>USD</v>
      </c>
      <c r="I28" s="166" t="str">
        <f ca="1"/>
        <v/>
      </c>
      <c r="J28" s="167" t="str">
        <f ca="1"/>
        <v/>
      </c>
      <c r="K28" s="167" t="str">
        <f ca="1"/>
        <v/>
      </c>
      <c r="L28" s="167" t="str">
        <f ca="1"/>
        <v/>
      </c>
      <c r="M28" s="168" t="str">
        <f ca="1"/>
        <v/>
      </c>
      <c r="N28" s="168">
        <f ca="1"/>
        <v>498.18</v>
      </c>
      <c r="O28" s="163" t="str">
        <v>Paid</v>
      </c>
      <c r="P28" s="163" t="str">
        <v>Collected - Balance due to FX difference. On 13/01, client requested rebilling to another invoice; forwarded to Faraz (Agency). Rebilled invoice has been shared and Payment in Process as per Client on 18/03.</v>
      </c>
      <c r="Q28" s="163" t="str">
        <v>FAIRMONT EL SAN JUAN - ALWAYS ON 2025</v>
      </c>
    </row>
    <row r="29" spans="1:19" s="169" customFormat="1" ht="30.75" customHeight="1" x14ac:dyDescent="0.4">
      <c r="A29" s="163" t="str">
        <v>(M11)(M11)100108939</v>
      </c>
      <c r="B29" s="163" t="str">
        <v>Fairmont Nile City</v>
      </c>
      <c r="C29" s="163" t="str">
        <v>M11IN26-00010062</v>
      </c>
      <c r="D29" s="163" t="str">
        <v>STARSCAP_MENA</v>
      </c>
      <c r="E29" s="164">
        <v>46111</v>
      </c>
      <c r="F29" s="165">
        <v>30</v>
      </c>
      <c r="G29" s="164">
        <v>46141</v>
      </c>
      <c r="H29" s="163" t="str">
        <v>USD</v>
      </c>
      <c r="I29" s="166">
        <f ca="1"/>
        <v>1154.42</v>
      </c>
      <c r="J29" s="167" t="str">
        <f ca="1"/>
        <v/>
      </c>
      <c r="K29" s="167" t="str">
        <f ca="1"/>
        <v/>
      </c>
      <c r="L29" s="167" t="str">
        <f ca="1"/>
        <v/>
      </c>
      <c r="M29" s="168" t="str">
        <f ca="1"/>
        <v/>
      </c>
      <c r="N29" s="168" t="str">
        <f ca="1"/>
        <v/>
      </c>
      <c r="O29" s="163" t="str">
        <v>Paid</v>
      </c>
      <c r="P29" s="163" t="str">
        <v>Collected</v>
      </c>
      <c r="Q29" s="163" t="str">
        <v>FAIRMONT NILE CITY ALWAYS ON 2026</v>
      </c>
    </row>
    <row r="30" spans="1:19" s="169" customFormat="1" ht="30.75" customHeight="1" x14ac:dyDescent="0.4">
      <c r="A30" s="163" t="str">
        <v>(M11)(M11)100108737</v>
      </c>
      <c r="B30" s="163" t="str">
        <v>FAIRMONT PACIFIC RIM HOTEL</v>
      </c>
      <c r="C30" s="163" t="str">
        <v>M11IN26-00010020</v>
      </c>
      <c r="D30" s="163" t="str">
        <v>STARSCAP_MENA</v>
      </c>
      <c r="E30" s="164">
        <v>46111</v>
      </c>
      <c r="F30" s="165">
        <v>30</v>
      </c>
      <c r="G30" s="164">
        <v>46141</v>
      </c>
      <c r="H30" s="163" t="str">
        <v>USD</v>
      </c>
      <c r="I30" s="166">
        <f ca="1"/>
        <v>4910.21</v>
      </c>
      <c r="J30" s="167" t="str">
        <f ca="1"/>
        <v/>
      </c>
      <c r="K30" s="167" t="str">
        <f ca="1"/>
        <v/>
      </c>
      <c r="L30" s="167" t="str">
        <f ca="1"/>
        <v/>
      </c>
      <c r="M30" s="168" t="str">
        <f ca="1"/>
        <v/>
      </c>
      <c r="N30" s="168" t="str">
        <f ca="1"/>
        <v/>
      </c>
      <c r="O30" s="163" t="str">
        <v>Paid</v>
      </c>
      <c r="P30" s="163" t="str">
        <v>Collected</v>
      </c>
      <c r="Q30" s="163" t="str">
        <v>FAIRMONT PACIFIC RIM ALWAYS ON 2026</v>
      </c>
    </row>
    <row r="31" spans="1:19" s="169" customFormat="1" ht="30.75" customHeight="1" x14ac:dyDescent="0.4">
      <c r="A31" s="163" t="str">
        <v>(M11)(M11)100114999</v>
      </c>
      <c r="B31" s="163" t="str">
        <v>FAIRMONT RAMLA SERVICED RESIDENCES</v>
      </c>
      <c r="C31" s="163" t="str">
        <v>M11IN26-00010224</v>
      </c>
      <c r="D31" s="163" t="str">
        <v>STARSCAP_MENA</v>
      </c>
      <c r="E31" s="164">
        <v>46111</v>
      </c>
      <c r="F31" s="165">
        <v>30</v>
      </c>
      <c r="G31" s="164">
        <v>46141</v>
      </c>
      <c r="H31" s="163" t="str">
        <v>USD</v>
      </c>
      <c r="I31" s="166">
        <f ca="1"/>
        <v>611.34</v>
      </c>
      <c r="J31" s="167" t="str">
        <f ca="1"/>
        <v/>
      </c>
      <c r="K31" s="167" t="str">
        <f ca="1"/>
        <v/>
      </c>
      <c r="L31" s="167" t="str">
        <f ca="1"/>
        <v/>
      </c>
      <c r="M31" s="168" t="str">
        <f ca="1"/>
        <v/>
      </c>
      <c r="N31" s="168" t="str">
        <f ca="1"/>
        <v/>
      </c>
      <c r="O31" s="163" t="str">
        <v>Paid</v>
      </c>
      <c r="P31" s="163" t="str">
        <v>Collected</v>
      </c>
      <c r="Q31" s="163" t="str">
        <v>FAIRMONT RAMLA RIYADH - ALWAYS ON 2026</v>
      </c>
    </row>
    <row r="32" spans="1:19" s="169" customFormat="1" ht="30.75" customHeight="1" x14ac:dyDescent="0.4">
      <c r="A32" s="163" t="str">
        <v>(M11)(M11)100114519</v>
      </c>
      <c r="B32" s="163" t="str">
        <v>Fairmont Waterfront</v>
      </c>
      <c r="C32" s="163" t="str">
        <v>M11IN26-00008979</v>
      </c>
      <c r="D32" s="163" t="str">
        <v>STARSCAP_MENA</v>
      </c>
      <c r="E32" s="164">
        <v>46100</v>
      </c>
      <c r="F32" s="165">
        <v>30</v>
      </c>
      <c r="G32" s="164">
        <v>46130</v>
      </c>
      <c r="H32" s="163" t="str">
        <v>USD</v>
      </c>
      <c r="I32" s="166" t="str">
        <f ca="1"/>
        <v/>
      </c>
      <c r="J32" s="167">
        <f ca="1"/>
        <v>7364.01</v>
      </c>
      <c r="K32" s="167" t="str">
        <f ca="1"/>
        <v/>
      </c>
      <c r="L32" s="167" t="str">
        <f ca="1"/>
        <v/>
      </c>
      <c r="M32" s="168" t="str">
        <f ca="1"/>
        <v/>
      </c>
      <c r="N32" s="168" t="str">
        <f ca="1"/>
        <v/>
      </c>
      <c r="O32" s="163" t="str">
        <v>Paid</v>
      </c>
      <c r="P32" s="163" t="str">
        <v>Collected</v>
      </c>
      <c r="Q32" s="163" t="str">
        <v>FAIRMONT WATERFRONT - ALWAYS ON 2026</v>
      </c>
    </row>
    <row r="33" spans="1:17" s="169" customFormat="1" ht="30.75" customHeight="1" x14ac:dyDescent="0.4">
      <c r="A33" s="163" t="str">
        <v>(M11)(M11)100120310</v>
      </c>
      <c r="B33" s="163" t="str">
        <v>FLAME HOTEL OPCO SLU</v>
      </c>
      <c r="C33" s="163" t="str">
        <v>AM11IN26-0010005</v>
      </c>
      <c r="D33" s="163" t="str">
        <v>STARSCAP_MENA</v>
      </c>
      <c r="E33" s="164">
        <v>46108</v>
      </c>
      <c r="F33" s="165">
        <v>30</v>
      </c>
      <c r="G33" s="164">
        <v>46138</v>
      </c>
      <c r="H33" s="163" t="str">
        <v>USD</v>
      </c>
      <c r="I33" s="166" t="str">
        <f ca="1"/>
        <v/>
      </c>
      <c r="J33" s="167">
        <f ca="1"/>
        <v>90000</v>
      </c>
      <c r="K33" s="167" t="str">
        <f ca="1"/>
        <v/>
      </c>
      <c r="L33" s="167" t="str">
        <f ca="1"/>
        <v/>
      </c>
      <c r="M33" s="168" t="str">
        <f ca="1"/>
        <v/>
      </c>
      <c r="N33" s="168" t="str">
        <f ca="1"/>
        <v/>
      </c>
      <c r="O33" s="163" t="str">
        <v>Paid</v>
      </c>
      <c r="P33" s="163" t="str">
        <v>Collected</v>
      </c>
      <c r="Q33" s="163" t="str">
        <v>Fairmont La Hacienda Costa Del Sol - Paid Searc</v>
      </c>
    </row>
    <row r="34" spans="1:17" s="169" customFormat="1" ht="30.75" customHeight="1" x14ac:dyDescent="0.4">
      <c r="A34" s="163" t="str">
        <v>(M11)(M11)100108769</v>
      </c>
      <c r="B34" s="163" t="str">
        <v>FMDR OPERATING CO LLC</v>
      </c>
      <c r="C34" s="163" t="str">
        <v>M11IN26-00009066</v>
      </c>
      <c r="D34" s="163" t="str">
        <v>STARSCAP_MENA</v>
      </c>
      <c r="E34" s="164">
        <v>46100</v>
      </c>
      <c r="F34" s="165">
        <v>30</v>
      </c>
      <c r="G34" s="164">
        <v>46130</v>
      </c>
      <c r="H34" s="163" t="str">
        <v>USD</v>
      </c>
      <c r="I34" s="166" t="str">
        <f ca="1"/>
        <v/>
      </c>
      <c r="J34" s="167">
        <f ca="1"/>
        <v>3744.96</v>
      </c>
      <c r="K34" s="167" t="str">
        <f ca="1"/>
        <v/>
      </c>
      <c r="L34" s="167" t="str">
        <f ca="1"/>
        <v/>
      </c>
      <c r="M34" s="168" t="str">
        <f ca="1"/>
        <v/>
      </c>
      <c r="N34" s="168" t="str">
        <f ca="1"/>
        <v/>
      </c>
      <c r="O34" s="163" t="str">
        <v>Paid</v>
      </c>
      <c r="P34" s="163" t="str">
        <v>Collected</v>
      </c>
      <c r="Q34" s="163" t="str">
        <v>Fairmont Grand Del Mar Tactical</v>
      </c>
    </row>
    <row r="35" spans="1:17" s="169" customFormat="1" ht="30.75" customHeight="1" x14ac:dyDescent="0.4">
      <c r="A35" s="163" t="str">
        <v>(M11)(M11)100108769</v>
      </c>
      <c r="B35" s="163" t="str">
        <v>FMDR OPERATING CO LLC</v>
      </c>
      <c r="C35" s="163" t="str">
        <v>M11IN26-00009997</v>
      </c>
      <c r="D35" s="163" t="str">
        <v>STARSCAP_MENA</v>
      </c>
      <c r="E35" s="164">
        <v>46111</v>
      </c>
      <c r="F35" s="165">
        <v>30</v>
      </c>
      <c r="G35" s="164">
        <v>46141</v>
      </c>
      <c r="H35" s="163" t="str">
        <v>USD</v>
      </c>
      <c r="I35" s="166">
        <f ca="1"/>
        <v>4250.62</v>
      </c>
      <c r="J35" s="167" t="str">
        <f ca="1"/>
        <v/>
      </c>
      <c r="K35" s="167" t="str">
        <f ca="1"/>
        <v/>
      </c>
      <c r="L35" s="167" t="str">
        <f ca="1"/>
        <v/>
      </c>
      <c r="M35" s="168" t="str">
        <f ca="1"/>
        <v/>
      </c>
      <c r="N35" s="168" t="str">
        <f ca="1"/>
        <v/>
      </c>
      <c r="O35" s="163" t="str">
        <v>Paid</v>
      </c>
      <c r="P35" s="163" t="str">
        <v>Collected</v>
      </c>
      <c r="Q35" s="163" t="str">
        <v>FAIRMONT GRAND DEL MAR -ALWAYS ON 2026</v>
      </c>
    </row>
    <row r="36" spans="1:17" s="169" customFormat="1" ht="30.75" customHeight="1" x14ac:dyDescent="0.4">
      <c r="A36" s="163" t="str">
        <v>(M11)(M11)100115215</v>
      </c>
      <c r="B36" s="163" t="str">
        <v>FRONTENAC HOTEL LP</v>
      </c>
      <c r="C36" s="163" t="str">
        <v>M11IN26-00007388</v>
      </c>
      <c r="D36" s="163" t="str">
        <v>STARSCAP_MENA</v>
      </c>
      <c r="E36" s="164">
        <v>46085</v>
      </c>
      <c r="F36" s="165">
        <v>30</v>
      </c>
      <c r="G36" s="164">
        <v>46115</v>
      </c>
      <c r="H36" s="163" t="str">
        <v>USD</v>
      </c>
      <c r="I36" s="166" t="str">
        <f ca="1"/>
        <v/>
      </c>
      <c r="J36" s="167">
        <f ca="1"/>
        <v>10472.69</v>
      </c>
      <c r="K36" s="167" t="str">
        <f ca="1"/>
        <v/>
      </c>
      <c r="L36" s="167" t="str">
        <f ca="1"/>
        <v/>
      </c>
      <c r="M36" s="168" t="str">
        <f ca="1"/>
        <v/>
      </c>
      <c r="N36" s="168" t="str">
        <f ca="1"/>
        <v/>
      </c>
      <c r="O36" s="163" t="str">
        <v>Paid</v>
      </c>
      <c r="P36" s="163" t="str">
        <v>Collected</v>
      </c>
      <c r="Q36" s="163" t="str">
        <v>FAIRMONT LE CHATEAU FRONTENAC ALWAYS ON 2026</v>
      </c>
    </row>
    <row r="37" spans="1:17" s="169" customFormat="1" ht="30.75" customHeight="1" x14ac:dyDescent="0.4">
      <c r="A37" s="163" t="str">
        <v>(M11)(M11)100115001</v>
      </c>
      <c r="B37" s="163" t="str">
        <v>GROVE WP LTD</v>
      </c>
      <c r="C37" s="163" t="str">
        <v>M11IN26-00008788</v>
      </c>
      <c r="D37" s="163" t="str">
        <v>STARSCAP_MENA</v>
      </c>
      <c r="E37" s="164">
        <v>46098</v>
      </c>
      <c r="F37" s="165">
        <v>30</v>
      </c>
      <c r="G37" s="164">
        <v>46128</v>
      </c>
      <c r="H37" s="163" t="str">
        <v>USD</v>
      </c>
      <c r="I37" s="166" t="str">
        <f ca="1"/>
        <v/>
      </c>
      <c r="J37" s="167">
        <f ca="1"/>
        <v>1348.6</v>
      </c>
      <c r="K37" s="167" t="str">
        <f ca="1"/>
        <v/>
      </c>
      <c r="L37" s="167" t="str">
        <f ca="1"/>
        <v/>
      </c>
      <c r="M37" s="168" t="str">
        <f ca="1"/>
        <v/>
      </c>
      <c r="N37" s="168" t="str">
        <f ca="1"/>
        <v/>
      </c>
      <c r="O37" s="163" t="str">
        <v>Paid</v>
      </c>
      <c r="P37" s="163" t="str">
        <v>Collected</v>
      </c>
      <c r="Q37" s="163" t="str">
        <v>FAIRMONT WINDSOR PARK - ALWAYS ON 2026</v>
      </c>
    </row>
    <row r="38" spans="1:17" s="169" customFormat="1" ht="30.75" customHeight="1" x14ac:dyDescent="0.4">
      <c r="A38" s="163" t="str">
        <v>(M11)(M11)100108363</v>
      </c>
      <c r="B38" s="163" t="str">
        <v>GULF HOSPITALITY LLC</v>
      </c>
      <c r="C38" s="163" t="str">
        <v>M11IN26-00006934</v>
      </c>
      <c r="D38" s="163" t="str">
        <v>STARSCAP_MENA</v>
      </c>
      <c r="E38" s="164">
        <v>46079</v>
      </c>
      <c r="F38" s="165">
        <v>30</v>
      </c>
      <c r="G38" s="164">
        <v>46109</v>
      </c>
      <c r="H38" s="163" t="str">
        <v>USD</v>
      </c>
      <c r="I38" s="166" t="str">
        <f ca="1"/>
        <v/>
      </c>
      <c r="J38" s="167" t="str">
        <f ca="1"/>
        <v/>
      </c>
      <c r="K38" s="167">
        <f ca="1"/>
        <v>800.22</v>
      </c>
      <c r="L38" s="167" t="str">
        <f ca="1"/>
        <v/>
      </c>
      <c r="M38" s="168" t="str">
        <f ca="1"/>
        <v/>
      </c>
      <c r="N38" s="168" t="str">
        <f ca="1"/>
        <v/>
      </c>
      <c r="O38" s="163" t="str">
        <v>Paid</v>
      </c>
      <c r="P38" s="163" t="str">
        <v>Collected</v>
      </c>
      <c r="Q38" s="163" t="str">
        <v>FAIRMONT DUBAI ALWAYS ON CAMPAIGN 2026</v>
      </c>
    </row>
    <row r="39" spans="1:17" s="169" customFormat="1" ht="30.75" customHeight="1" x14ac:dyDescent="0.4">
      <c r="A39" s="163" t="str">
        <v>(M11)(M11)100113621</v>
      </c>
      <c r="B39" s="163" t="str">
        <v>HOTEL MONTREUX PALACE SA</v>
      </c>
      <c r="C39" s="163" t="str">
        <v>M11IN26-00008977</v>
      </c>
      <c r="D39" s="163" t="str">
        <v>STARSCAP_MENA</v>
      </c>
      <c r="E39" s="164">
        <v>46100</v>
      </c>
      <c r="F39" s="165">
        <v>30</v>
      </c>
      <c r="G39" s="164">
        <v>46130</v>
      </c>
      <c r="H39" s="163" t="str">
        <v>USD</v>
      </c>
      <c r="I39" s="166" t="str">
        <f ca="1"/>
        <v/>
      </c>
      <c r="J39" s="167">
        <f ca="1"/>
        <v>1269.73</v>
      </c>
      <c r="K39" s="167" t="str">
        <f ca="1"/>
        <v/>
      </c>
      <c r="L39" s="167" t="str">
        <f ca="1"/>
        <v/>
      </c>
      <c r="M39" s="168" t="str">
        <f ca="1"/>
        <v/>
      </c>
      <c r="N39" s="168" t="str">
        <f ca="1"/>
        <v/>
      </c>
      <c r="O39" s="163" t="str">
        <v>Paid</v>
      </c>
      <c r="P39" s="163" t="str">
        <v>Collected</v>
      </c>
      <c r="Q39" s="163" t="str">
        <v>FAIRMONT LE MONTREUX - ALWAYS ON 2026</v>
      </c>
    </row>
    <row r="40" spans="1:17" s="169" customFormat="1" ht="30.75" customHeight="1" x14ac:dyDescent="0.4">
      <c r="A40" s="163" t="str">
        <v>(M11)(M11)100113621</v>
      </c>
      <c r="B40" s="163" t="str">
        <v>HOTEL MONTREUX PALACE SA</v>
      </c>
      <c r="C40" s="163" t="str">
        <v>M11IN26-00010008</v>
      </c>
      <c r="D40" s="163" t="str">
        <v>STARSCAP_MENA</v>
      </c>
      <c r="E40" s="164">
        <v>46111</v>
      </c>
      <c r="F40" s="165">
        <v>30</v>
      </c>
      <c r="G40" s="164">
        <v>46141</v>
      </c>
      <c r="H40" s="163" t="str">
        <v>USD</v>
      </c>
      <c r="I40" s="166">
        <f ca="1"/>
        <v>986.4</v>
      </c>
      <c r="J40" s="167" t="str">
        <f ca="1"/>
        <v/>
      </c>
      <c r="K40" s="167" t="str">
        <f ca="1"/>
        <v/>
      </c>
      <c r="L40" s="167" t="str">
        <f ca="1"/>
        <v/>
      </c>
      <c r="M40" s="168" t="str">
        <f ca="1"/>
        <v/>
      </c>
      <c r="N40" s="168" t="str">
        <f ca="1"/>
        <v/>
      </c>
      <c r="O40" s="163" t="str">
        <v>Paid</v>
      </c>
      <c r="P40" s="163" t="str">
        <v>Collected</v>
      </c>
      <c r="Q40" s="163" t="str">
        <v>FAIRMONT LE MONTREUX - ALWAYS ON 2026</v>
      </c>
    </row>
    <row r="41" spans="1:17" s="169" customFormat="1" ht="30.75" customHeight="1" x14ac:dyDescent="0.4">
      <c r="A41" s="163" t="str">
        <v>(M11)(M11)100113609</v>
      </c>
      <c r="B41" s="163" t="str">
        <v>HVJ GMBH &amp; CO. KG</v>
      </c>
      <c r="C41" s="163" t="str">
        <v>M11IN26-00008776</v>
      </c>
      <c r="D41" s="163" t="str">
        <v>STARSCAP_MENA</v>
      </c>
      <c r="E41" s="164">
        <v>46098</v>
      </c>
      <c r="F41" s="165">
        <v>30</v>
      </c>
      <c r="G41" s="164">
        <v>46128</v>
      </c>
      <c r="H41" s="163" t="str">
        <v>USD</v>
      </c>
      <c r="I41" s="166" t="str">
        <f ca="1"/>
        <v/>
      </c>
      <c r="J41" s="167">
        <f ca="1"/>
        <v>1212.29</v>
      </c>
      <c r="K41" s="167" t="str">
        <f ca="1"/>
        <v/>
      </c>
      <c r="L41" s="167" t="str">
        <f ca="1"/>
        <v/>
      </c>
      <c r="M41" s="168" t="str">
        <f ca="1"/>
        <v/>
      </c>
      <c r="N41" s="168" t="str">
        <f ca="1"/>
        <v/>
      </c>
      <c r="O41" s="163" t="str">
        <v>Paid</v>
      </c>
      <c r="P41" s="163" t="str">
        <v>Collected</v>
      </c>
      <c r="Q41" s="163" t="str">
        <v>FAIRMONT HOTEL VIER JAHRESZEITEN - ALWAYS ON  2</v>
      </c>
    </row>
    <row r="42" spans="1:17" s="169" customFormat="1" ht="30.75" customHeight="1" x14ac:dyDescent="0.4">
      <c r="A42" s="163" t="str">
        <v>(M11)(M11)100113609</v>
      </c>
      <c r="B42" s="163" t="str">
        <v>HVJ GMBH &amp; CO. KG</v>
      </c>
      <c r="C42" s="163" t="str">
        <v>M11IN26-00010007</v>
      </c>
      <c r="D42" s="163" t="str">
        <v>STARSCAP_MENA</v>
      </c>
      <c r="E42" s="164">
        <v>46111</v>
      </c>
      <c r="F42" s="165">
        <v>30</v>
      </c>
      <c r="G42" s="164">
        <v>46141</v>
      </c>
      <c r="H42" s="163" t="str">
        <v>USD</v>
      </c>
      <c r="I42" s="166">
        <f ca="1"/>
        <v>1186.45</v>
      </c>
      <c r="J42" s="167" t="str">
        <f ca="1"/>
        <v/>
      </c>
      <c r="K42" s="167" t="str">
        <f ca="1"/>
        <v/>
      </c>
      <c r="L42" s="167" t="str">
        <f ca="1"/>
        <v/>
      </c>
      <c r="M42" s="168" t="str">
        <f ca="1"/>
        <v/>
      </c>
      <c r="N42" s="168" t="str">
        <f ca="1"/>
        <v/>
      </c>
      <c r="O42" s="163" t="str">
        <v>Paid</v>
      </c>
      <c r="P42" s="163" t="str">
        <v>Collected</v>
      </c>
      <c r="Q42" s="163" t="str">
        <v>FAIRMONT HOTEL VIER JAHRESZEITEN - ALWAYS ON  2</v>
      </c>
    </row>
    <row r="43" spans="1:17" s="169" customFormat="1" ht="30.75" customHeight="1" x14ac:dyDescent="0.4">
      <c r="A43" s="163" t="str">
        <v>(M11)(M11)100114599</v>
      </c>
      <c r="B43" s="163" t="str">
        <v>KHI (SEYCHELLES) 01 LIMITED</v>
      </c>
      <c r="C43" s="163" t="str">
        <v>M11IN26-00001056</v>
      </c>
      <c r="D43" s="163" t="str">
        <v>STARSCAP_MENA</v>
      </c>
      <c r="E43" s="164">
        <v>46036</v>
      </c>
      <c r="F43" s="165">
        <v>30</v>
      </c>
      <c r="G43" s="164">
        <v>46066</v>
      </c>
      <c r="H43" s="163" t="str">
        <v>USD</v>
      </c>
      <c r="I43" s="166" t="str">
        <f ca="1"/>
        <v/>
      </c>
      <c r="J43" s="167" t="str">
        <f ca="1"/>
        <v/>
      </c>
      <c r="K43" s="167" t="str">
        <f ca="1"/>
        <v/>
      </c>
      <c r="L43" s="167">
        <f ca="1"/>
        <v>922.8</v>
      </c>
      <c r="M43" s="168" t="str">
        <f ca="1"/>
        <v/>
      </c>
      <c r="N43" s="168" t="str">
        <f ca="1"/>
        <v/>
      </c>
      <c r="O43" s="163" t="str">
        <v>Paid</v>
      </c>
      <c r="P43" s="163" t="str">
        <v>Collected</v>
      </c>
      <c r="Q43" s="163" t="str">
        <v>Raffles Seychelles - Always On - A5E5 2025</v>
      </c>
    </row>
    <row r="44" spans="1:17" s="169" customFormat="1" ht="30.75" customHeight="1" x14ac:dyDescent="0.4">
      <c r="A44" s="163" t="str">
        <v>(M11)(M11)100114599</v>
      </c>
      <c r="B44" s="163" t="str">
        <v>KHI (SEYCHELLES) 01 LIMITED</v>
      </c>
      <c r="C44" s="163" t="str">
        <v>M11IN26-00001874</v>
      </c>
      <c r="D44" s="163" t="str">
        <v>STARSCAP_MENA</v>
      </c>
      <c r="E44" s="164">
        <v>46044</v>
      </c>
      <c r="F44" s="165">
        <v>30</v>
      </c>
      <c r="G44" s="164">
        <v>46074</v>
      </c>
      <c r="H44" s="163" t="str">
        <v>USD</v>
      </c>
      <c r="I44" s="166" t="str">
        <f ca="1"/>
        <v/>
      </c>
      <c r="J44" s="167" t="str">
        <f ca="1"/>
        <v/>
      </c>
      <c r="K44" s="167" t="str">
        <f ca="1"/>
        <v/>
      </c>
      <c r="L44" s="167">
        <f ca="1"/>
        <v>929.09</v>
      </c>
      <c r="M44" s="168" t="str">
        <f ca="1"/>
        <v/>
      </c>
      <c r="N44" s="168" t="str">
        <f ca="1"/>
        <v/>
      </c>
      <c r="O44" s="163" t="str">
        <v>Paid</v>
      </c>
      <c r="P44" s="163" t="str">
        <v>Collected</v>
      </c>
      <c r="Q44" s="163" t="str">
        <v>Raffles Seychelles - Always On - A5E5 2025</v>
      </c>
    </row>
    <row r="45" spans="1:17" s="169" customFormat="1" ht="30.75" customHeight="1" x14ac:dyDescent="0.4">
      <c r="A45" s="163" t="str">
        <v>(M11)(M11)100114693</v>
      </c>
      <c r="B45" s="163" t="str">
        <v>LE CHATEAU MONTEBELLO</v>
      </c>
      <c r="C45" s="163" t="str">
        <v>M11IN26-00008839</v>
      </c>
      <c r="D45" s="163" t="str">
        <v>STARSCAP_MENA</v>
      </c>
      <c r="E45" s="164">
        <v>46100</v>
      </c>
      <c r="F45" s="165">
        <v>30</v>
      </c>
      <c r="G45" s="164">
        <v>46130</v>
      </c>
      <c r="H45" s="163" t="str">
        <v>USD</v>
      </c>
      <c r="I45" s="166" t="str">
        <f ca="1"/>
        <v/>
      </c>
      <c r="J45" s="167">
        <f ca="1"/>
        <v>2482.02</v>
      </c>
      <c r="K45" s="167" t="str">
        <f ca="1"/>
        <v/>
      </c>
      <c r="L45" s="167" t="str">
        <f ca="1"/>
        <v/>
      </c>
      <c r="M45" s="168" t="str">
        <f ca="1"/>
        <v/>
      </c>
      <c r="N45" s="168" t="str">
        <f ca="1"/>
        <v/>
      </c>
      <c r="O45" s="163" t="str">
        <v>Paid</v>
      </c>
      <c r="P45" s="163" t="str">
        <v>Collected</v>
      </c>
      <c r="Q45" s="163" t="str">
        <v>FAIRMONT MONTEBELLO - ALWAYS ON 2026</v>
      </c>
    </row>
    <row r="46" spans="1:17" s="169" customFormat="1" ht="30.75" customHeight="1" x14ac:dyDescent="0.4">
      <c r="A46" s="163" t="str">
        <v>(M11)(M11)100114693</v>
      </c>
      <c r="B46" s="163" t="str">
        <v>LE CHATEAU MONTEBELLO</v>
      </c>
      <c r="C46" s="163" t="str">
        <v>M11IN26-00010010</v>
      </c>
      <c r="D46" s="163" t="str">
        <v>STARSCAP_MENA</v>
      </c>
      <c r="E46" s="164">
        <v>46111</v>
      </c>
      <c r="F46" s="165">
        <v>30</v>
      </c>
      <c r="G46" s="164">
        <v>46141</v>
      </c>
      <c r="H46" s="163" t="str">
        <v>USD</v>
      </c>
      <c r="I46" s="166">
        <f ca="1"/>
        <v>2456.54</v>
      </c>
      <c r="J46" s="167" t="str">
        <f ca="1"/>
        <v/>
      </c>
      <c r="K46" s="167" t="str">
        <f ca="1"/>
        <v/>
      </c>
      <c r="L46" s="167" t="str">
        <f ca="1"/>
        <v/>
      </c>
      <c r="M46" s="168" t="str">
        <f ca="1"/>
        <v/>
      </c>
      <c r="N46" s="168" t="str">
        <f ca="1"/>
        <v/>
      </c>
      <c r="O46" s="163" t="str">
        <v>Paid</v>
      </c>
      <c r="P46" s="163" t="str">
        <v>Collected</v>
      </c>
      <c r="Q46" s="163" t="str">
        <v>FAIRMONT MONTEBELLO - ALWAYS ON 2026</v>
      </c>
    </row>
    <row r="47" spans="1:17" s="169" customFormat="1" ht="30.75" customHeight="1" x14ac:dyDescent="0.4">
      <c r="A47" s="163" t="str">
        <v>(M11)(M11)100118869</v>
      </c>
      <c r="B47" s="163" t="str">
        <v>LOMBARD HOSPITALITY LIMITED</v>
      </c>
      <c r="C47" s="163" t="str">
        <v>M11IN26-00008793</v>
      </c>
      <c r="D47" s="163" t="str">
        <v>STARSCAP_MENA</v>
      </c>
      <c r="E47" s="164">
        <v>46098</v>
      </c>
      <c r="F47" s="165">
        <v>30</v>
      </c>
      <c r="G47" s="164">
        <v>46128</v>
      </c>
      <c r="H47" s="163" t="str">
        <v>USD</v>
      </c>
      <c r="I47" s="166" t="str">
        <f ca="1"/>
        <v/>
      </c>
      <c r="J47" s="167">
        <f ca="1"/>
        <v>749.79</v>
      </c>
      <c r="K47" s="167" t="str">
        <f ca="1"/>
        <v/>
      </c>
      <c r="L47" s="167" t="str">
        <f ca="1"/>
        <v/>
      </c>
      <c r="M47" s="168" t="str">
        <f ca="1"/>
        <v/>
      </c>
      <c r="N47" s="168" t="str">
        <f ca="1"/>
        <v/>
      </c>
      <c r="O47" s="163" t="str">
        <v>Paid</v>
      </c>
      <c r="P47" s="163" t="str">
        <v>Collected</v>
      </c>
      <c r="Q47" s="163" t="str">
        <v>FAIRMONT WINNIPEG - ALWAYS ON 2026</v>
      </c>
    </row>
    <row r="48" spans="1:17" s="169" customFormat="1" ht="30.75" customHeight="1" x14ac:dyDescent="0.4">
      <c r="A48" s="163" t="str">
        <v>(M11)(M11)100118869</v>
      </c>
      <c r="B48" s="163" t="str">
        <v>LOMBARD HOSPITALITY LIMITED</v>
      </c>
      <c r="C48" s="163" t="str">
        <v>M11IN26-00010070</v>
      </c>
      <c r="D48" s="163" t="str">
        <v>STARSCAP_MENA</v>
      </c>
      <c r="E48" s="164">
        <v>46111</v>
      </c>
      <c r="F48" s="165">
        <v>30</v>
      </c>
      <c r="G48" s="164">
        <v>46141</v>
      </c>
      <c r="H48" s="163" t="str">
        <v>USD</v>
      </c>
      <c r="I48" s="166">
        <f ca="1"/>
        <v>677.94</v>
      </c>
      <c r="J48" s="167" t="str">
        <f ca="1"/>
        <v/>
      </c>
      <c r="K48" s="167" t="str">
        <f ca="1"/>
        <v/>
      </c>
      <c r="L48" s="167" t="str">
        <f ca="1"/>
        <v/>
      </c>
      <c r="M48" s="168" t="str">
        <f ca="1"/>
        <v/>
      </c>
      <c r="N48" s="168" t="str">
        <f ca="1"/>
        <v/>
      </c>
      <c r="O48" s="163" t="str">
        <v>Paid</v>
      </c>
      <c r="P48" s="163" t="str">
        <v>Collected</v>
      </c>
      <c r="Q48" s="163" t="str">
        <v>FAIRMONT WINNIPEG - ALWAYS ON 2026</v>
      </c>
    </row>
    <row r="49" spans="1:17" s="169" customFormat="1" ht="30.75" customHeight="1" x14ac:dyDescent="0.4">
      <c r="A49" s="163" t="str">
        <v>(M11)(M11)100108800</v>
      </c>
      <c r="B49" s="163" t="str">
        <v>MANCHESTER AUSTIN LLC</v>
      </c>
      <c r="C49" s="163" t="str">
        <v>M11IN26-00008964</v>
      </c>
      <c r="D49" s="163" t="str">
        <v>STARSCAP_MENA</v>
      </c>
      <c r="E49" s="164">
        <v>46099</v>
      </c>
      <c r="F49" s="165">
        <v>30</v>
      </c>
      <c r="G49" s="164">
        <v>46129</v>
      </c>
      <c r="H49" s="163" t="str">
        <v>USD</v>
      </c>
      <c r="I49" s="166" t="str">
        <f ca="1"/>
        <v/>
      </c>
      <c r="J49" s="167">
        <f ca="1"/>
        <v>5340.68</v>
      </c>
      <c r="K49" s="167" t="str">
        <f ca="1"/>
        <v/>
      </c>
      <c r="L49" s="167" t="str">
        <f ca="1"/>
        <v/>
      </c>
      <c r="M49" s="168" t="str">
        <f ca="1"/>
        <v/>
      </c>
      <c r="N49" s="168" t="str">
        <f ca="1"/>
        <v/>
      </c>
      <c r="O49" s="163" t="str">
        <v>Paid</v>
      </c>
      <c r="P49" s="163" t="str">
        <v>Collected</v>
      </c>
      <c r="Q49" s="163" t="str">
        <v>FAIRMONT AUSTIN TACTICAL 2025</v>
      </c>
    </row>
    <row r="50" spans="1:17" s="169" customFormat="1" ht="30.75" customHeight="1" x14ac:dyDescent="0.4">
      <c r="A50" s="163" t="str">
        <v>(M11)(M11)100108721</v>
      </c>
      <c r="B50" s="163" t="str">
        <v>MAPS HOTELS AND RESORTS HAWAII</v>
      </c>
      <c r="C50" s="163" t="str">
        <v>M11IN26-00009071</v>
      </c>
      <c r="D50" s="163" t="str">
        <v>STARSCAP_MENA</v>
      </c>
      <c r="E50" s="164">
        <v>46100</v>
      </c>
      <c r="F50" s="165">
        <v>30</v>
      </c>
      <c r="G50" s="164">
        <v>46130</v>
      </c>
      <c r="H50" s="163" t="str">
        <v>USD</v>
      </c>
      <c r="I50" s="166" t="str">
        <f ca="1"/>
        <v/>
      </c>
      <c r="J50" s="167">
        <f ca="1"/>
        <v>2063.5</v>
      </c>
      <c r="K50" s="167" t="str">
        <f ca="1"/>
        <v/>
      </c>
      <c r="L50" s="167" t="str">
        <f ca="1"/>
        <v/>
      </c>
      <c r="M50" s="168" t="str">
        <f ca="1"/>
        <v/>
      </c>
      <c r="N50" s="168" t="str">
        <f ca="1"/>
        <v/>
      </c>
      <c r="O50" s="163" t="str">
        <v>Paid</v>
      </c>
      <c r="P50" s="163" t="str">
        <v>Collected</v>
      </c>
      <c r="Q50" s="163" t="str">
        <v>FAIRMONT ORCHID HAWAII TACTICAL</v>
      </c>
    </row>
    <row r="51" spans="1:17" s="169" customFormat="1" ht="30.75" customHeight="1" x14ac:dyDescent="0.4">
      <c r="A51" s="163" t="str">
        <v>(M11)(M11)100108721</v>
      </c>
      <c r="B51" s="163" t="str">
        <v>MAPS HOTELS AND RESORTS HAWAII</v>
      </c>
      <c r="C51" s="163" t="str">
        <v>M11IN26-00010018</v>
      </c>
      <c r="D51" s="163" t="str">
        <v>STARSCAP_MENA</v>
      </c>
      <c r="E51" s="164">
        <v>46111</v>
      </c>
      <c r="F51" s="165">
        <v>30</v>
      </c>
      <c r="G51" s="164">
        <v>46141</v>
      </c>
      <c r="H51" s="163" t="str">
        <v>USD</v>
      </c>
      <c r="I51" s="166">
        <f ca="1"/>
        <v>24040.06</v>
      </c>
      <c r="J51" s="167" t="str">
        <f ca="1"/>
        <v/>
      </c>
      <c r="K51" s="167" t="str">
        <f ca="1"/>
        <v/>
      </c>
      <c r="L51" s="167" t="str">
        <f ca="1"/>
        <v/>
      </c>
      <c r="M51" s="168" t="str">
        <f ca="1"/>
        <v/>
      </c>
      <c r="N51" s="168" t="str">
        <f ca="1"/>
        <v/>
      </c>
      <c r="O51" s="163" t="str">
        <v>Paid</v>
      </c>
      <c r="P51" s="163" t="str">
        <v>Collected</v>
      </c>
      <c r="Q51" s="163" t="str">
        <v>FAIRMONT ORCHID HAWAII - ALWAYS ON 2026</v>
      </c>
    </row>
    <row r="52" spans="1:17" s="169" customFormat="1" ht="30.75" customHeight="1" x14ac:dyDescent="0.4">
      <c r="A52" s="163" t="str">
        <v>(M11)(M11)100108768</v>
      </c>
      <c r="B52" s="163" t="str">
        <v>MASON STREET OPCO LLC</v>
      </c>
      <c r="C52" s="163" t="str">
        <v>M11IN26-00008926</v>
      </c>
      <c r="D52" s="163" t="str">
        <v>STARSCAP_MENA</v>
      </c>
      <c r="E52" s="164">
        <v>46099</v>
      </c>
      <c r="F52" s="165">
        <v>30</v>
      </c>
      <c r="G52" s="164">
        <v>46129</v>
      </c>
      <c r="H52" s="163" t="str">
        <v>USD</v>
      </c>
      <c r="I52" s="166" t="str">
        <f ca="1"/>
        <v/>
      </c>
      <c r="J52" s="167">
        <f ca="1"/>
        <v>10734.95</v>
      </c>
      <c r="K52" s="167" t="str">
        <f ca="1"/>
        <v/>
      </c>
      <c r="L52" s="167" t="str">
        <f ca="1"/>
        <v/>
      </c>
      <c r="M52" s="168" t="str">
        <f ca="1"/>
        <v/>
      </c>
      <c r="N52" s="168" t="str">
        <f ca="1"/>
        <v/>
      </c>
      <c r="O52" s="163" t="str">
        <v>Paid</v>
      </c>
      <c r="P52" s="163" t="str">
        <v>Collected</v>
      </c>
      <c r="Q52" s="163" t="str">
        <v>FAIRMONT SAN FRANCISCO TACTICAL 2025</v>
      </c>
    </row>
    <row r="53" spans="1:17" s="169" customFormat="1" ht="30.75" customHeight="1" x14ac:dyDescent="0.4">
      <c r="A53" s="163" t="str">
        <v>(M11)(M11)100108768</v>
      </c>
      <c r="B53" s="163" t="str">
        <v>MASON STREET OPCO LLC</v>
      </c>
      <c r="C53" s="163" t="str">
        <v>M11IN26-00009999</v>
      </c>
      <c r="D53" s="163" t="str">
        <v>STARSCAP_MENA</v>
      </c>
      <c r="E53" s="164">
        <v>46111</v>
      </c>
      <c r="F53" s="165">
        <v>30</v>
      </c>
      <c r="G53" s="164">
        <v>46141</v>
      </c>
      <c r="H53" s="163" t="str">
        <v>USD</v>
      </c>
      <c r="I53" s="166">
        <f ca="1"/>
        <v>11397.88</v>
      </c>
      <c r="J53" s="167" t="str">
        <f ca="1"/>
        <v/>
      </c>
      <c r="K53" s="167" t="str">
        <f ca="1"/>
        <v/>
      </c>
      <c r="L53" s="167" t="str">
        <f ca="1"/>
        <v/>
      </c>
      <c r="M53" s="168" t="str">
        <f ca="1"/>
        <v/>
      </c>
      <c r="N53" s="168" t="str">
        <f ca="1"/>
        <v/>
      </c>
      <c r="O53" s="163" t="str">
        <v>Paid</v>
      </c>
      <c r="P53" s="163" t="str">
        <v>Collected</v>
      </c>
      <c r="Q53" s="163" t="str">
        <v>FAIRMONT SAN FRANCISCO - ALWAYS ON 2026</v>
      </c>
    </row>
    <row r="54" spans="1:17" s="169" customFormat="1" ht="30.75" customHeight="1" x14ac:dyDescent="0.4">
      <c r="A54" s="163" t="str">
        <v>(M11)(M11)100111977</v>
      </c>
      <c r="B54" s="163" t="str">
        <v>QUEEN ELIZABETH HOTEL LP</v>
      </c>
      <c r="C54" s="163" t="str">
        <v>M11IN26-00010086</v>
      </c>
      <c r="D54" s="163" t="str">
        <v>STARSCAP_MENA</v>
      </c>
      <c r="E54" s="164">
        <v>46111</v>
      </c>
      <c r="F54" s="165">
        <v>30</v>
      </c>
      <c r="G54" s="164">
        <v>46141</v>
      </c>
      <c r="H54" s="163" t="str">
        <v>USD</v>
      </c>
      <c r="I54" s="166">
        <f ca="1"/>
        <v>5801.2</v>
      </c>
      <c r="J54" s="167" t="str">
        <f ca="1"/>
        <v/>
      </c>
      <c r="K54" s="167" t="str">
        <f ca="1"/>
        <v/>
      </c>
      <c r="L54" s="167" t="str">
        <f ca="1"/>
        <v/>
      </c>
      <c r="M54" s="168" t="str">
        <f ca="1"/>
        <v/>
      </c>
      <c r="N54" s="168" t="str">
        <f ca="1"/>
        <v/>
      </c>
      <c r="O54" s="163" t="str">
        <v>Paid</v>
      </c>
      <c r="P54" s="163" t="str">
        <v>Collected</v>
      </c>
      <c r="Q54" s="163" t="str">
        <v>FAIRMONT QUEEN ELIZABETH ALWAYS ON 2026</v>
      </c>
    </row>
    <row r="55" spans="1:17" s="169" customFormat="1" ht="30.75" customHeight="1" x14ac:dyDescent="0.4">
      <c r="A55" s="163" t="str">
        <v>(M11)(M11)100113966</v>
      </c>
      <c r="B55" s="163" t="str">
        <v>RAFFLES SENTOSA SINGAPORE</v>
      </c>
      <c r="C55" s="163" t="str">
        <v>M11IN26-00001273</v>
      </c>
      <c r="D55" s="163" t="str">
        <v>STARSCAP_MENA</v>
      </c>
      <c r="E55" s="164">
        <v>46038</v>
      </c>
      <c r="F55" s="165">
        <v>30</v>
      </c>
      <c r="G55" s="164">
        <v>46068</v>
      </c>
      <c r="H55" s="163" t="str">
        <v>USD</v>
      </c>
      <c r="I55" s="166" t="str">
        <f ca="1"/>
        <v/>
      </c>
      <c r="J55" s="167" t="str">
        <f ca="1"/>
        <v/>
      </c>
      <c r="K55" s="167" t="str">
        <f ca="1"/>
        <v/>
      </c>
      <c r="L55" s="167">
        <f ca="1"/>
        <v>516.69000000000005</v>
      </c>
      <c r="M55" s="168" t="str">
        <f ca="1"/>
        <v/>
      </c>
      <c r="N55" s="168" t="str">
        <f ca="1"/>
        <v/>
      </c>
      <c r="O55" s="163" t="str">
        <v>Paid</v>
      </c>
      <c r="P55" s="163" t="str">
        <v>Collected</v>
      </c>
      <c r="Q55" s="163" t="str">
        <v>RAFFLES SENTOSA SINGAPORE ALWAYS ON 2025</v>
      </c>
    </row>
    <row r="56" spans="1:17" s="169" customFormat="1" ht="30.75" customHeight="1" x14ac:dyDescent="0.4">
      <c r="A56" s="163" t="str">
        <v>(M11)(M11)100113966</v>
      </c>
      <c r="B56" s="163" t="str">
        <v>RAFFLES SENTOSA SINGAPORE</v>
      </c>
      <c r="C56" s="163" t="str">
        <v>M11IN26-00001559</v>
      </c>
      <c r="D56" s="163" t="str">
        <v>STARSCAP_MENA</v>
      </c>
      <c r="E56" s="164">
        <v>46041</v>
      </c>
      <c r="F56" s="165">
        <v>30</v>
      </c>
      <c r="G56" s="164">
        <v>46071</v>
      </c>
      <c r="H56" s="163" t="str">
        <v>USD</v>
      </c>
      <c r="I56" s="166" t="str">
        <f ca="1"/>
        <v/>
      </c>
      <c r="J56" s="167" t="str">
        <f ca="1"/>
        <v/>
      </c>
      <c r="K56" s="167" t="str">
        <f ca="1"/>
        <v/>
      </c>
      <c r="L56" s="167">
        <f ca="1"/>
        <v>388.26</v>
      </c>
      <c r="M56" s="168" t="str">
        <f ca="1"/>
        <v/>
      </c>
      <c r="N56" s="168" t="str">
        <f ca="1"/>
        <v/>
      </c>
      <c r="O56" s="163" t="str">
        <v>Paid</v>
      </c>
      <c r="P56" s="163" t="str">
        <v>Collected</v>
      </c>
      <c r="Q56" s="163" t="str">
        <v>RAFFLES SENTOSA SINGAPORE ALWAYS ON 2025</v>
      </c>
    </row>
    <row r="57" spans="1:17" s="169" customFormat="1" ht="30.75" customHeight="1" x14ac:dyDescent="0.4">
      <c r="A57" s="163" t="str">
        <v>(M11)(M11)100113966</v>
      </c>
      <c r="B57" s="163" t="str">
        <v>RAFFLES SENTOSA SINGAPORE</v>
      </c>
      <c r="C57" s="163" t="str">
        <v>M11IN26-00006623</v>
      </c>
      <c r="D57" s="163" t="str">
        <v>STARSCAP_MENA</v>
      </c>
      <c r="E57" s="164">
        <v>46077</v>
      </c>
      <c r="F57" s="165">
        <v>30</v>
      </c>
      <c r="G57" s="164">
        <v>46107</v>
      </c>
      <c r="H57" s="163" t="str">
        <v>USD</v>
      </c>
      <c r="I57" s="166" t="str">
        <f ca="1"/>
        <v/>
      </c>
      <c r="J57" s="167" t="str">
        <f ca="1"/>
        <v/>
      </c>
      <c r="K57" s="167">
        <f ca="1"/>
        <v>831.15</v>
      </c>
      <c r="L57" s="167" t="str">
        <f ca="1"/>
        <v/>
      </c>
      <c r="M57" s="168" t="str">
        <f ca="1"/>
        <v/>
      </c>
      <c r="N57" s="168" t="str">
        <f ca="1"/>
        <v/>
      </c>
      <c r="O57" s="163" t="str">
        <v>Paid</v>
      </c>
      <c r="P57" s="163" t="str">
        <v>Collected</v>
      </c>
      <c r="Q57" s="163" t="str">
        <v>RAFFLES SENTOSA SINGAPORE ALWAYS ON 2026</v>
      </c>
    </row>
    <row r="58" spans="1:17" s="169" customFormat="1" ht="30.75" customHeight="1" x14ac:dyDescent="0.4">
      <c r="A58" s="163" t="str">
        <v>(M11)(M11)100117529</v>
      </c>
      <c r="B58" s="163" t="str">
        <v>ROYAL YORK OPERATIONS LP</v>
      </c>
      <c r="C58" s="163" t="str">
        <v>M11IN26-00010014</v>
      </c>
      <c r="D58" s="163" t="str">
        <v>STARSCAP_MENA</v>
      </c>
      <c r="E58" s="164">
        <v>46111</v>
      </c>
      <c r="F58" s="165">
        <v>30</v>
      </c>
      <c r="G58" s="164">
        <v>46141</v>
      </c>
      <c r="H58" s="163" t="str">
        <v>USD</v>
      </c>
      <c r="I58" s="166">
        <f ca="1"/>
        <v>14290.81</v>
      </c>
      <c r="J58" s="167" t="str">
        <f ca="1"/>
        <v/>
      </c>
      <c r="K58" s="167" t="str">
        <f ca="1"/>
        <v/>
      </c>
      <c r="L58" s="167" t="str">
        <f ca="1"/>
        <v/>
      </c>
      <c r="M58" s="168" t="str">
        <f ca="1"/>
        <v/>
      </c>
      <c r="N58" s="168" t="str">
        <f ca="1"/>
        <v/>
      </c>
      <c r="O58" s="163" t="str">
        <v>Paid</v>
      </c>
      <c r="P58" s="163" t="str">
        <v>Collected</v>
      </c>
      <c r="Q58" s="163" t="str">
        <v>FAIRMONT ROYAL YORK ALWAYS ON 2026</v>
      </c>
    </row>
    <row r="59" spans="1:17" s="169" customFormat="1" ht="30.75" customHeight="1" x14ac:dyDescent="0.4">
      <c r="A59" s="163" t="str">
        <v>(M11)(M11)100114317</v>
      </c>
      <c r="B59" s="163" t="str">
        <v>RP HOTELS (BARBADOS) INC.</v>
      </c>
      <c r="C59" s="163" t="str">
        <v>M11IN26-00006625</v>
      </c>
      <c r="D59" s="163" t="str">
        <v>STARSCAP_MENA</v>
      </c>
      <c r="E59" s="164">
        <v>46077</v>
      </c>
      <c r="F59" s="165">
        <v>30</v>
      </c>
      <c r="G59" s="164">
        <v>46107</v>
      </c>
      <c r="H59" s="163" t="str">
        <v>USD</v>
      </c>
      <c r="I59" s="166" t="str">
        <f ca="1"/>
        <v/>
      </c>
      <c r="J59" s="167" t="str">
        <f ca="1"/>
        <v/>
      </c>
      <c r="K59" s="167">
        <f ca="1"/>
        <v>3563.37</v>
      </c>
      <c r="L59" s="167" t="str">
        <f ca="1"/>
        <v/>
      </c>
      <c r="M59" s="168" t="str">
        <f ca="1"/>
        <v/>
      </c>
      <c r="N59" s="168" t="str">
        <f ca="1"/>
        <v/>
      </c>
      <c r="O59" s="163" t="str">
        <v>Paid</v>
      </c>
      <c r="P59" s="163" t="str">
        <v>Collected</v>
      </c>
      <c r="Q59" s="163" t="str">
        <v>FAIRMONT ROYAL PAVILLION ALWAYS ON 2026</v>
      </c>
    </row>
    <row r="60" spans="1:17" s="169" customFormat="1" ht="30.75" customHeight="1" x14ac:dyDescent="0.4">
      <c r="A60" s="163" t="str">
        <v>(M11)(M11)100114317</v>
      </c>
      <c r="B60" s="163" t="str">
        <v>RP HOTELS (BARBADOS) INC.</v>
      </c>
      <c r="C60" s="163" t="str">
        <v>M11IN25-00016162</v>
      </c>
      <c r="D60" s="163" t="str">
        <v>STARSCAP_MENA</v>
      </c>
      <c r="E60" s="164">
        <v>45826</v>
      </c>
      <c r="F60" s="165">
        <v>30</v>
      </c>
      <c r="G60" s="164">
        <v>45856</v>
      </c>
      <c r="H60" s="163" t="str">
        <v>USD</v>
      </c>
      <c r="I60" s="166" t="str">
        <f ca="1"/>
        <v/>
      </c>
      <c r="J60" s="167" t="str">
        <f ca="1"/>
        <v/>
      </c>
      <c r="K60" s="167" t="str">
        <f ca="1"/>
        <v/>
      </c>
      <c r="L60" s="167" t="str">
        <f ca="1"/>
        <v/>
      </c>
      <c r="M60" s="168" t="str">
        <f ca="1"/>
        <v/>
      </c>
      <c r="N60" s="168">
        <f ca="1"/>
        <v>2634.82</v>
      </c>
      <c r="O60" s="163" t="str">
        <v>Paid</v>
      </c>
      <c r="P60" s="163" t="str">
        <v>Collected</v>
      </c>
      <c r="Q60" s="163" t="str">
        <v>FAIRMONT ROYAL PAVILION - ALWAYS ON 2025</v>
      </c>
    </row>
    <row r="61" spans="1:17" s="169" customFormat="1" ht="30.75" customHeight="1" x14ac:dyDescent="0.4">
      <c r="A61" s="163" t="str">
        <v>(M11)(M11)100114317</v>
      </c>
      <c r="B61" s="163" t="str">
        <v>RP HOTELS (BARBADOS) INC.</v>
      </c>
      <c r="C61" s="163" t="str">
        <v>M11IN25-00019611</v>
      </c>
      <c r="D61" s="163" t="str">
        <v>STARSCAP_MENA</v>
      </c>
      <c r="E61" s="164">
        <v>45866</v>
      </c>
      <c r="F61" s="165">
        <v>30</v>
      </c>
      <c r="G61" s="164">
        <v>45896</v>
      </c>
      <c r="H61" s="163" t="str">
        <v>USD</v>
      </c>
      <c r="I61" s="166" t="str">
        <f ca="1"/>
        <v/>
      </c>
      <c r="J61" s="167" t="str">
        <f ca="1"/>
        <v/>
      </c>
      <c r="K61" s="167" t="str">
        <f ca="1"/>
        <v/>
      </c>
      <c r="L61" s="167" t="str">
        <f ca="1"/>
        <v/>
      </c>
      <c r="M61" s="168" t="str">
        <f ca="1"/>
        <v/>
      </c>
      <c r="N61" s="168">
        <f ca="1"/>
        <v>2621.65</v>
      </c>
      <c r="O61" s="163" t="str">
        <v>Paid</v>
      </c>
      <c r="P61" s="163" t="str">
        <v>Collected</v>
      </c>
      <c r="Q61" s="163" t="str">
        <v>FAIRMONT ROYAL PAVILION - ALWAYS ON 2025</v>
      </c>
    </row>
    <row r="62" spans="1:17" s="169" customFormat="1" ht="30.75" customHeight="1" x14ac:dyDescent="0.4">
      <c r="A62" s="163" t="str">
        <v>(M11)(M11)100115027</v>
      </c>
      <c r="B62" s="163" t="str">
        <v>RWW HE SPÓŁKA Z OGRANICZONĄ</v>
      </c>
      <c r="C62" s="163" t="str">
        <v>M11IN26-00001497</v>
      </c>
      <c r="D62" s="163" t="str">
        <v>STARSCAP_MENA</v>
      </c>
      <c r="E62" s="164">
        <v>46041</v>
      </c>
      <c r="F62" s="165">
        <v>30</v>
      </c>
      <c r="G62" s="164">
        <v>46071</v>
      </c>
      <c r="H62" s="163" t="str">
        <v>USD</v>
      </c>
      <c r="I62" s="166" t="str">
        <f ca="1"/>
        <v/>
      </c>
      <c r="J62" s="167" t="str">
        <f ca="1"/>
        <v/>
      </c>
      <c r="K62" s="167" t="str">
        <f ca="1"/>
        <v/>
      </c>
      <c r="L62" s="167">
        <f ca="1"/>
        <v>163.6</v>
      </c>
      <c r="M62" s="168" t="str">
        <f ca="1"/>
        <v/>
      </c>
      <c r="N62" s="168" t="str">
        <f ca="1"/>
        <v/>
      </c>
      <c r="O62" s="163" t="str">
        <v>Paid</v>
      </c>
      <c r="P62" s="163" t="str">
        <v>Collected</v>
      </c>
      <c r="Q62" s="163" t="str">
        <v>RAFFLES EUROPEJSKI WARSAW - ALWAYS ON 2025</v>
      </c>
    </row>
    <row r="63" spans="1:17" s="169" customFormat="1" ht="30.75" customHeight="1" x14ac:dyDescent="0.4">
      <c r="A63" s="163" t="str">
        <v>(M11)(M11)100115027</v>
      </c>
      <c r="B63" s="163" t="str">
        <v>RWW HE SPÓŁKA Z OGRANICZONĄ</v>
      </c>
      <c r="C63" s="163" t="str">
        <v>M11IN25-00015097</v>
      </c>
      <c r="D63" s="163" t="str">
        <v>STARSCAP_MENA</v>
      </c>
      <c r="E63" s="164">
        <v>45812</v>
      </c>
      <c r="F63" s="165">
        <v>30</v>
      </c>
      <c r="G63" s="164">
        <v>45842</v>
      </c>
      <c r="H63" s="163" t="str">
        <v>USD</v>
      </c>
      <c r="I63" s="166" t="str">
        <f ca="1"/>
        <v/>
      </c>
      <c r="J63" s="167" t="str">
        <f ca="1"/>
        <v/>
      </c>
      <c r="K63" s="167" t="str">
        <f ca="1"/>
        <v/>
      </c>
      <c r="L63" s="167" t="str">
        <f ca="1"/>
        <v/>
      </c>
      <c r="M63" s="168" t="str">
        <f ca="1"/>
        <v/>
      </c>
      <c r="N63" s="168">
        <f ca="1"/>
        <v>3809.24</v>
      </c>
      <c r="O63" s="163" t="str">
        <v>Paid</v>
      </c>
      <c r="P63" s="163" t="str">
        <v>Collected</v>
      </c>
      <c r="Q63" s="163" t="str">
        <v>RAFFLES_ALWAYS ON_RAFFLES Europejski Warsaw_NON</v>
      </c>
    </row>
    <row r="64" spans="1:17" s="169" customFormat="1" ht="30.75" customHeight="1" x14ac:dyDescent="0.4">
      <c r="A64" s="163" t="str">
        <v>(M11)(M11)100115027</v>
      </c>
      <c r="B64" s="163" t="str">
        <v>RWW HE SPÓŁKA Z OGRANICZONĄ</v>
      </c>
      <c r="C64" s="163" t="str">
        <v>M11IN25-00015101</v>
      </c>
      <c r="D64" s="163" t="str">
        <v>STARSCAP_MENA</v>
      </c>
      <c r="E64" s="164">
        <v>45812</v>
      </c>
      <c r="F64" s="165">
        <v>30</v>
      </c>
      <c r="G64" s="164">
        <v>45842</v>
      </c>
      <c r="H64" s="163" t="str">
        <v>USD</v>
      </c>
      <c r="I64" s="166" t="str">
        <f ca="1"/>
        <v/>
      </c>
      <c r="J64" s="167" t="str">
        <f ca="1"/>
        <v/>
      </c>
      <c r="K64" s="167" t="str">
        <f ca="1"/>
        <v/>
      </c>
      <c r="L64" s="167" t="str">
        <f ca="1"/>
        <v/>
      </c>
      <c r="M64" s="168" t="str">
        <f ca="1"/>
        <v/>
      </c>
      <c r="N64" s="168">
        <f ca="1"/>
        <v>1780.6</v>
      </c>
      <c r="O64" s="163" t="str">
        <v>Paid</v>
      </c>
      <c r="P64" s="163" t="str">
        <v>Collected</v>
      </c>
      <c r="Q64" s="163" t="str">
        <v>RAFFLES_ALWAYS ON_RAFFLES Europejski Warsaw</v>
      </c>
    </row>
    <row r="65" spans="1:17" s="169" customFormat="1" ht="30.75" customHeight="1" x14ac:dyDescent="0.4">
      <c r="A65" s="163" t="str">
        <v>(M11)(M11)100115027</v>
      </c>
      <c r="B65" s="163" t="str">
        <v>RWW HE SPÓŁKA Z OGRANICZONĄ</v>
      </c>
      <c r="C65" s="163" t="str">
        <v>M11IN25-00015926</v>
      </c>
      <c r="D65" s="163" t="str">
        <v>STARSCAP_MENA</v>
      </c>
      <c r="E65" s="164">
        <v>45826</v>
      </c>
      <c r="F65" s="165">
        <v>30</v>
      </c>
      <c r="G65" s="164">
        <v>45856</v>
      </c>
      <c r="H65" s="163" t="str">
        <v>USD</v>
      </c>
      <c r="I65" s="166" t="str">
        <f ca="1"/>
        <v/>
      </c>
      <c r="J65" s="167" t="str">
        <f ca="1"/>
        <v/>
      </c>
      <c r="K65" s="167" t="str">
        <f ca="1"/>
        <v/>
      </c>
      <c r="L65" s="167" t="str">
        <f ca="1"/>
        <v/>
      </c>
      <c r="M65" s="168" t="str">
        <f ca="1"/>
        <v/>
      </c>
      <c r="N65" s="168">
        <f ca="1"/>
        <v>3157.67</v>
      </c>
      <c r="O65" s="163" t="str">
        <v>Paid</v>
      </c>
      <c r="P65" s="163" t="str">
        <v>Collected</v>
      </c>
      <c r="Q65" s="163" t="str">
        <v>RAFFLES EUROPEJSKI WARSAW - ALWAYS ON 2025</v>
      </c>
    </row>
    <row r="66" spans="1:17" s="169" customFormat="1" ht="30.75" customHeight="1" x14ac:dyDescent="0.4">
      <c r="A66" s="163" t="str">
        <v>(M11)(M11)100115027</v>
      </c>
      <c r="B66" s="163" t="str">
        <v>RWW HE SPÓŁKA Z OGRANICZONĄ</v>
      </c>
      <c r="C66" s="163" t="str">
        <v>M11IN25-00016145</v>
      </c>
      <c r="D66" s="163" t="str">
        <v>STARSCAP_MENA</v>
      </c>
      <c r="E66" s="164">
        <v>45826</v>
      </c>
      <c r="F66" s="165">
        <v>30</v>
      </c>
      <c r="G66" s="164">
        <v>45856</v>
      </c>
      <c r="H66" s="163" t="str">
        <v>USD</v>
      </c>
      <c r="I66" s="166" t="str">
        <f ca="1"/>
        <v/>
      </c>
      <c r="J66" s="167" t="str">
        <f ca="1"/>
        <v/>
      </c>
      <c r="K66" s="167" t="str">
        <f ca="1"/>
        <v/>
      </c>
      <c r="L66" s="167" t="str">
        <f ca="1"/>
        <v/>
      </c>
      <c r="M66" s="168" t="str">
        <f ca="1"/>
        <v/>
      </c>
      <c r="N66" s="168">
        <f ca="1"/>
        <v>418.24</v>
      </c>
      <c r="O66" s="163" t="str">
        <v>Paid</v>
      </c>
      <c r="P66" s="163" t="str">
        <v>Collected</v>
      </c>
      <c r="Q66" s="163" t="str">
        <v>RAFFLES EUROPEJSKI WARSAW - ALWAYS ON 2025</v>
      </c>
    </row>
    <row r="67" spans="1:17" s="169" customFormat="1" ht="30.75" customHeight="1" x14ac:dyDescent="0.4">
      <c r="A67" s="163" t="str">
        <v>(M11)(M11)100115027</v>
      </c>
      <c r="B67" s="163" t="str">
        <v>RWW HE SPÓŁKA Z OGRANICZONĄ</v>
      </c>
      <c r="C67" s="163" t="str">
        <v>M11IN25-00018255</v>
      </c>
      <c r="D67" s="163" t="str">
        <v>STARSCAP_MENA</v>
      </c>
      <c r="E67" s="164">
        <v>45859</v>
      </c>
      <c r="F67" s="165">
        <v>30</v>
      </c>
      <c r="G67" s="164">
        <v>45889</v>
      </c>
      <c r="H67" s="163" t="str">
        <v>USD</v>
      </c>
      <c r="I67" s="166" t="str">
        <f ca="1"/>
        <v/>
      </c>
      <c r="J67" s="167" t="str">
        <f ca="1"/>
        <v/>
      </c>
      <c r="K67" s="167" t="str">
        <f ca="1"/>
        <v/>
      </c>
      <c r="L67" s="167" t="str">
        <f ca="1"/>
        <v/>
      </c>
      <c r="M67" s="168" t="str">
        <f ca="1"/>
        <v/>
      </c>
      <c r="N67" s="168">
        <f ca="1"/>
        <v>389.95</v>
      </c>
      <c r="O67" s="163" t="str">
        <v>Paid</v>
      </c>
      <c r="P67" s="163" t="str">
        <v>Collected</v>
      </c>
      <c r="Q67" s="163" t="str">
        <v>RAFFLES EUROPEJSKI WARSAW - ALWAYS ON 2025</v>
      </c>
    </row>
    <row r="68" spans="1:17" s="169" customFormat="1" ht="30.75" customHeight="1" x14ac:dyDescent="0.4">
      <c r="A68" s="163" t="str">
        <v>(M11)(M11)100115027</v>
      </c>
      <c r="B68" s="163" t="str">
        <v>RWW HE SPÓŁKA Z OGRANICZONĄ</v>
      </c>
      <c r="C68" s="163" t="str">
        <v>M11IN25-00023919</v>
      </c>
      <c r="D68" s="163" t="str">
        <v>STARSCAP_MENA</v>
      </c>
      <c r="E68" s="164">
        <v>45910</v>
      </c>
      <c r="F68" s="165">
        <v>30</v>
      </c>
      <c r="G68" s="164">
        <v>45940</v>
      </c>
      <c r="H68" s="163" t="str">
        <v>USD</v>
      </c>
      <c r="I68" s="166" t="str">
        <f ca="1"/>
        <v/>
      </c>
      <c r="J68" s="167" t="str">
        <f ca="1"/>
        <v/>
      </c>
      <c r="K68" s="167" t="str">
        <f ca="1"/>
        <v/>
      </c>
      <c r="L68" s="167" t="str">
        <f ca="1"/>
        <v/>
      </c>
      <c r="M68" s="168" t="str">
        <f ca="1"/>
        <v/>
      </c>
      <c r="N68" s="168">
        <f ca="1"/>
        <v>173.38</v>
      </c>
      <c r="O68" s="163" t="str">
        <v>Paid</v>
      </c>
      <c r="P68" s="163" t="str">
        <v>Collected</v>
      </c>
      <c r="Q68" s="163" t="str">
        <v>RAFFLES EUROPEJSKI WARSAW - ALWAYS ON 2025</v>
      </c>
    </row>
    <row r="69" spans="1:17" s="169" customFormat="1" ht="30.75" customHeight="1" x14ac:dyDescent="0.4">
      <c r="A69" s="163" t="str">
        <v>(M11)(M11)100115027</v>
      </c>
      <c r="B69" s="163" t="str">
        <v>RWW HE SPÓŁKA Z OGRANICZONĄ</v>
      </c>
      <c r="C69" s="163" t="str">
        <v>M11IN25-00024544</v>
      </c>
      <c r="D69" s="163" t="str">
        <v>STARSCAP_MENA</v>
      </c>
      <c r="E69" s="164">
        <v>45919</v>
      </c>
      <c r="F69" s="165">
        <v>30</v>
      </c>
      <c r="G69" s="164">
        <v>45949</v>
      </c>
      <c r="H69" s="163" t="str">
        <v>USD</v>
      </c>
      <c r="I69" s="166" t="str">
        <f ca="1"/>
        <v/>
      </c>
      <c r="J69" s="167" t="str">
        <f ca="1"/>
        <v/>
      </c>
      <c r="K69" s="167" t="str">
        <f ca="1"/>
        <v/>
      </c>
      <c r="L69" s="167" t="str">
        <f ca="1"/>
        <v/>
      </c>
      <c r="M69" s="168" t="str">
        <f ca="1"/>
        <v/>
      </c>
      <c r="N69" s="168">
        <f ca="1"/>
        <v>164.16</v>
      </c>
      <c r="O69" s="163" t="str">
        <v>Paid</v>
      </c>
      <c r="P69" s="163" t="str">
        <v>Collected</v>
      </c>
      <c r="Q69" s="163" t="str">
        <v>RAFFLES EUROPEJSKI WARSAW - ALWAYS ON 2025</v>
      </c>
    </row>
    <row r="70" spans="1:17" s="169" customFormat="1" ht="30.75" customHeight="1" x14ac:dyDescent="0.4">
      <c r="A70" s="163" t="str">
        <v>(M11)(M11)100115027</v>
      </c>
      <c r="B70" s="163" t="str">
        <v>RWW HE SPÓŁKA Z OGRANICZONĄ</v>
      </c>
      <c r="C70" s="163" t="str">
        <v>M11IN25-00027814</v>
      </c>
      <c r="D70" s="163" t="str">
        <v>STARSCAP_MENA</v>
      </c>
      <c r="E70" s="164">
        <v>45943</v>
      </c>
      <c r="F70" s="165">
        <v>30</v>
      </c>
      <c r="G70" s="164">
        <v>45973</v>
      </c>
      <c r="H70" s="163" t="str">
        <v>USD</v>
      </c>
      <c r="I70" s="166" t="str">
        <f ca="1"/>
        <v/>
      </c>
      <c r="J70" s="167" t="str">
        <f ca="1"/>
        <v/>
      </c>
      <c r="K70" s="167" t="str">
        <f ca="1"/>
        <v/>
      </c>
      <c r="L70" s="167" t="str">
        <f ca="1"/>
        <v/>
      </c>
      <c r="M70" s="168" t="str">
        <f ca="1"/>
        <v/>
      </c>
      <c r="N70" s="168">
        <f ca="1"/>
        <v>171.08</v>
      </c>
      <c r="O70" s="163" t="str">
        <v>Paid</v>
      </c>
      <c r="P70" s="163" t="str">
        <v>Collected</v>
      </c>
      <c r="Q70" s="163" t="str">
        <v>RAFFLES EUROPEJSKI WARSAW - ALWAYS ON 2025</v>
      </c>
    </row>
    <row r="71" spans="1:17" s="169" customFormat="1" ht="30.75" customHeight="1" x14ac:dyDescent="0.4">
      <c r="A71" s="163" t="str">
        <v>(M11)(M11)100115027</v>
      </c>
      <c r="B71" s="163" t="str">
        <v>RWW HE SPÓŁKA Z OGRANICZONĄ</v>
      </c>
      <c r="C71" s="163" t="str">
        <v>M11IN25-00032379</v>
      </c>
      <c r="D71" s="163" t="str">
        <v>STARSCAP_MENA</v>
      </c>
      <c r="E71" s="164">
        <v>45981</v>
      </c>
      <c r="F71" s="165">
        <v>30</v>
      </c>
      <c r="G71" s="164">
        <v>46011</v>
      </c>
      <c r="H71" s="163" t="str">
        <v>USD</v>
      </c>
      <c r="I71" s="166" t="str">
        <f ca="1"/>
        <v/>
      </c>
      <c r="J71" s="167" t="str">
        <f ca="1"/>
        <v/>
      </c>
      <c r="K71" s="167" t="str">
        <f ca="1"/>
        <v/>
      </c>
      <c r="L71" s="167" t="str">
        <f ca="1"/>
        <v/>
      </c>
      <c r="M71" s="168" t="str">
        <f ca="1"/>
        <v/>
      </c>
      <c r="N71" s="168">
        <f ca="1"/>
        <v>168.08</v>
      </c>
      <c r="O71" s="163" t="str">
        <v>Paid</v>
      </c>
      <c r="P71" s="163" t="str">
        <v>Collected</v>
      </c>
      <c r="Q71" s="163" t="str">
        <v>RAFFLES EUROPEJSKI WARSAW - ALWAYS ON 2025</v>
      </c>
    </row>
    <row r="72" spans="1:17" s="169" customFormat="1" ht="30.75" customHeight="1" x14ac:dyDescent="0.4">
      <c r="A72" s="163" t="str">
        <v>(M11)(M11)100115019</v>
      </c>
      <c r="B72" s="163" t="str">
        <v>SHARIKAT ALBAWAABAT ALAIQTISADIAT</v>
      </c>
      <c r="C72" s="163" t="str">
        <v>M11IN26-00001314</v>
      </c>
      <c r="D72" s="163" t="str">
        <v>STARSCAP_MENA</v>
      </c>
      <c r="E72" s="164">
        <v>46038</v>
      </c>
      <c r="F72" s="165">
        <v>30</v>
      </c>
      <c r="G72" s="164">
        <v>46068</v>
      </c>
      <c r="H72" s="163" t="str">
        <v>USD</v>
      </c>
      <c r="I72" s="166" t="str">
        <f ca="1"/>
        <v/>
      </c>
      <c r="J72" s="167" t="str">
        <f ca="1"/>
        <v/>
      </c>
      <c r="K72" s="167" t="str">
        <f ca="1"/>
        <v/>
      </c>
      <c r="L72" s="167">
        <f ca="1"/>
        <v>889.76</v>
      </c>
      <c r="M72" s="168" t="str">
        <f ca="1"/>
        <v/>
      </c>
      <c r="N72" s="168" t="str">
        <f ca="1"/>
        <v/>
      </c>
      <c r="O72" s="163" t="str">
        <v>Paid</v>
      </c>
      <c r="P72" s="163" t="str">
        <v>Collected</v>
      </c>
      <c r="Q72" s="163" t="str">
        <v>FAIRMONT RIYADH - ALWAYS ON 2025</v>
      </c>
    </row>
    <row r="73" spans="1:17" s="169" customFormat="1" ht="30.75" customHeight="1" x14ac:dyDescent="0.4">
      <c r="A73" s="163" t="str">
        <v>(M11)(M11)100115019</v>
      </c>
      <c r="B73" s="163" t="str">
        <v>SHARIKAT ALBAWAABAT ALAIQTISADIAT</v>
      </c>
      <c r="C73" s="163" t="str">
        <v>M11IN26-00001819</v>
      </c>
      <c r="D73" s="163" t="str">
        <v>STARSCAP_MENA</v>
      </c>
      <c r="E73" s="164">
        <v>46044</v>
      </c>
      <c r="F73" s="165">
        <v>30</v>
      </c>
      <c r="G73" s="164">
        <v>46074</v>
      </c>
      <c r="H73" s="163" t="str">
        <v>USD</v>
      </c>
      <c r="I73" s="166" t="str">
        <f ca="1"/>
        <v/>
      </c>
      <c r="J73" s="167" t="str">
        <f ca="1"/>
        <v/>
      </c>
      <c r="K73" s="167" t="str">
        <f ca="1"/>
        <v/>
      </c>
      <c r="L73" s="167">
        <f ca="1"/>
        <v>965.09</v>
      </c>
      <c r="M73" s="168" t="str">
        <f ca="1"/>
        <v/>
      </c>
      <c r="N73" s="168" t="str">
        <f ca="1"/>
        <v/>
      </c>
      <c r="O73" s="163" t="str">
        <v>Paid</v>
      </c>
      <c r="P73" s="163" t="str">
        <v>Collected</v>
      </c>
      <c r="Q73" s="163" t="str">
        <v>FAIRMONT RIYADH - ALWAYS ON 2025</v>
      </c>
    </row>
    <row r="74" spans="1:17" s="169" customFormat="1" ht="30.75" customHeight="1" x14ac:dyDescent="0.4">
      <c r="A74" s="163" t="str">
        <v>(M11)(M11)100115026</v>
      </c>
      <c r="B74" s="163" t="str">
        <v>SHIBAURA HOTEL MANAGEMENT LLC</v>
      </c>
      <c r="C74" s="163" t="str">
        <v>M11IN26-00009438</v>
      </c>
      <c r="D74" s="163" t="str">
        <v>STARSCAP_MENA</v>
      </c>
      <c r="E74" s="164">
        <v>46104</v>
      </c>
      <c r="F74" s="165">
        <v>30</v>
      </c>
      <c r="G74" s="164">
        <v>46134</v>
      </c>
      <c r="H74" s="163" t="str">
        <v>USD</v>
      </c>
      <c r="I74" s="166" t="str">
        <f ca="1"/>
        <v/>
      </c>
      <c r="J74" s="167">
        <f ca="1"/>
        <v>1447.27</v>
      </c>
      <c r="K74" s="167" t="str">
        <f ca="1"/>
        <v/>
      </c>
      <c r="L74" s="167" t="str">
        <f ca="1"/>
        <v/>
      </c>
      <c r="M74" s="168" t="str">
        <f ca="1"/>
        <v/>
      </c>
      <c r="N74" s="168" t="str">
        <f ca="1"/>
        <v/>
      </c>
      <c r="O74" s="163" t="str">
        <v>Paid</v>
      </c>
      <c r="P74" s="163" t="str">
        <v>Collected</v>
      </c>
      <c r="Q74" s="163" t="str">
        <v>FAIRMONT TOKYO ALWAYS ON 2025</v>
      </c>
    </row>
    <row r="75" spans="1:17" s="169" customFormat="1" ht="30.75" customHeight="1" x14ac:dyDescent="0.4">
      <c r="A75" s="163" t="str">
        <v>(M11)(M11)100115026</v>
      </c>
      <c r="B75" s="163" t="str">
        <v>SHIBAURA HOTEL MANAGEMENT LLC</v>
      </c>
      <c r="C75" s="163" t="str">
        <v>M11IN26-00009993</v>
      </c>
      <c r="D75" s="163" t="str">
        <v>STARSCAP_MENA</v>
      </c>
      <c r="E75" s="164">
        <v>46111</v>
      </c>
      <c r="F75" s="165">
        <v>30</v>
      </c>
      <c r="G75" s="164">
        <v>46141</v>
      </c>
      <c r="H75" s="163" t="str">
        <v>USD</v>
      </c>
      <c r="I75" s="166">
        <f ca="1"/>
        <v>6988.55</v>
      </c>
      <c r="J75" s="167" t="str">
        <f ca="1"/>
        <v/>
      </c>
      <c r="K75" s="167" t="str">
        <f ca="1"/>
        <v/>
      </c>
      <c r="L75" s="167" t="str">
        <f ca="1"/>
        <v/>
      </c>
      <c r="M75" s="168" t="str">
        <f ca="1"/>
        <v/>
      </c>
      <c r="N75" s="168" t="str">
        <f ca="1"/>
        <v/>
      </c>
      <c r="O75" s="163" t="str">
        <v>Paid</v>
      </c>
      <c r="P75" s="163" t="str">
        <v>Collected</v>
      </c>
      <c r="Q75" s="163" t="str">
        <v>FAIRMONT TOKYO ALWAYS ON 2026</v>
      </c>
    </row>
    <row r="76" spans="1:17" s="169" customFormat="1" ht="30.75" customHeight="1" x14ac:dyDescent="0.4">
      <c r="A76" s="163" t="str">
        <v>(M11)(M11)100117448</v>
      </c>
      <c r="B76" s="163" t="str">
        <v>SHREM AIRPORT HOTELS</v>
      </c>
      <c r="C76" s="163" t="str">
        <v>M11IN26-00000936</v>
      </c>
      <c r="D76" s="163" t="str">
        <v>STARSCAP_MENA</v>
      </c>
      <c r="E76" s="164">
        <v>46034</v>
      </c>
      <c r="F76" s="165">
        <v>30</v>
      </c>
      <c r="G76" s="164">
        <v>46064</v>
      </c>
      <c r="H76" s="163" t="str">
        <v>USD</v>
      </c>
      <c r="I76" s="166" t="str">
        <f ca="1"/>
        <v/>
      </c>
      <c r="J76" s="167" t="str">
        <f ca="1"/>
        <v/>
      </c>
      <c r="K76" s="167" t="str">
        <f ca="1"/>
        <v/>
      </c>
      <c r="L76" s="167">
        <f ca="1"/>
        <v>2435.46</v>
      </c>
      <c r="M76" s="168" t="str">
        <f ca="1"/>
        <v/>
      </c>
      <c r="N76" s="168" t="str">
        <f ca="1"/>
        <v/>
      </c>
      <c r="O76" s="163" t="str">
        <v>Paid</v>
      </c>
      <c r="P76" s="163" t="str">
        <v>Collected</v>
      </c>
      <c r="Q76" s="163" t="str">
        <v>FAIRMONT MUMBAI - ALWAYS ON 2025</v>
      </c>
    </row>
    <row r="77" spans="1:17" s="169" customFormat="1" ht="30.75" customHeight="1" x14ac:dyDescent="0.4">
      <c r="A77" s="163" t="str">
        <v>(M11)(M11)100111923</v>
      </c>
      <c r="B77" s="163" t="str">
        <v>SONOMA HOTEL OPERATOR, LLC</v>
      </c>
      <c r="C77" s="163" t="str">
        <v>M11IN26-00006816</v>
      </c>
      <c r="D77" s="163" t="str">
        <v>STARSCAP_MENA</v>
      </c>
      <c r="E77" s="164">
        <v>46079</v>
      </c>
      <c r="F77" s="165">
        <v>30</v>
      </c>
      <c r="G77" s="164">
        <v>46109</v>
      </c>
      <c r="H77" s="163" t="str">
        <v>USD</v>
      </c>
      <c r="I77" s="166" t="str">
        <f ca="1"/>
        <v/>
      </c>
      <c r="J77" s="167" t="str">
        <f ca="1"/>
        <v/>
      </c>
      <c r="K77" s="167">
        <f ca="1"/>
        <v>2704.8</v>
      </c>
      <c r="L77" s="167" t="str">
        <f ca="1"/>
        <v/>
      </c>
      <c r="M77" s="168" t="str">
        <f ca="1"/>
        <v/>
      </c>
      <c r="N77" s="168" t="str">
        <f ca="1"/>
        <v/>
      </c>
      <c r="O77" s="163" t="str">
        <v>Paid</v>
      </c>
      <c r="P77" s="163" t="str">
        <v>Collected</v>
      </c>
      <c r="Q77" s="163" t="str">
        <v>FAIRMONT SONOMA MISSION INN AND SPA - ALWAYS ON</v>
      </c>
    </row>
    <row r="78" spans="1:17" s="169" customFormat="1" ht="30.75" customHeight="1" x14ac:dyDescent="0.4">
      <c r="A78" s="163" t="str">
        <v>(M11)(M11)100111923</v>
      </c>
      <c r="B78" s="163" t="str">
        <v>SONOMA HOTEL OPERATOR, LLC</v>
      </c>
      <c r="C78" s="163" t="str">
        <v>M11IN26-00006947</v>
      </c>
      <c r="D78" s="163" t="str">
        <v>STARSCAP_MENA</v>
      </c>
      <c r="E78" s="164">
        <v>46079</v>
      </c>
      <c r="F78" s="165">
        <v>30</v>
      </c>
      <c r="G78" s="164">
        <v>46109</v>
      </c>
      <c r="H78" s="163" t="str">
        <v>USD</v>
      </c>
      <c r="I78" s="166" t="str">
        <f ca="1"/>
        <v/>
      </c>
      <c r="J78" s="167" t="str">
        <f ca="1"/>
        <v/>
      </c>
      <c r="K78" s="167">
        <f ca="1"/>
        <v>3612.95</v>
      </c>
      <c r="L78" s="167" t="str">
        <f ca="1"/>
        <v/>
      </c>
      <c r="M78" s="168" t="str">
        <f ca="1"/>
        <v/>
      </c>
      <c r="N78" s="168" t="str">
        <f ca="1"/>
        <v/>
      </c>
      <c r="O78" s="163" t="str">
        <v>Paid</v>
      </c>
      <c r="P78" s="163" t="str">
        <v>Collected</v>
      </c>
      <c r="Q78" s="163" t="str">
        <v>FAIRMONT SONOMA MISSION INN AND SPA - ALWAYS ON</v>
      </c>
    </row>
    <row r="79" spans="1:17" s="169" customFormat="1" ht="30.75" customHeight="1" x14ac:dyDescent="0.4">
      <c r="A79" s="163" t="str">
        <v>(M11)(M11)100108790</v>
      </c>
      <c r="B79" s="163" t="str">
        <v>TRINITY STUART HOTEL LLC</v>
      </c>
      <c r="C79" s="163" t="str">
        <v>M11IN26-00006839</v>
      </c>
      <c r="D79" s="163" t="str">
        <v>STARSCAP_MENA</v>
      </c>
      <c r="E79" s="164">
        <v>46078</v>
      </c>
      <c r="F79" s="165">
        <v>30</v>
      </c>
      <c r="G79" s="164">
        <v>46108</v>
      </c>
      <c r="H79" s="163" t="str">
        <v>USD</v>
      </c>
      <c r="I79" s="166" t="str">
        <f ca="1"/>
        <v/>
      </c>
      <c r="J79" s="167" t="str">
        <f ca="1"/>
        <v/>
      </c>
      <c r="K79" s="167">
        <f ca="1"/>
        <v>4054.16</v>
      </c>
      <c r="L79" s="167" t="str">
        <f ca="1"/>
        <v/>
      </c>
      <c r="M79" s="168" t="str">
        <f ca="1"/>
        <v/>
      </c>
      <c r="N79" s="168" t="str">
        <f ca="1"/>
        <v/>
      </c>
      <c r="O79" s="163" t="str">
        <v>Paid</v>
      </c>
      <c r="P79" s="163" t="str">
        <v>Collected</v>
      </c>
      <c r="Q79" s="163" t="str">
        <v>RAFFLES BOSTON ALWAYS ON 2026</v>
      </c>
    </row>
    <row r="80" spans="1:17" s="169" customFormat="1" ht="30.75" customHeight="1" x14ac:dyDescent="0.4">
      <c r="A80" s="163" t="str">
        <v>(M11)(M11)100113203</v>
      </c>
      <c r="B80" s="163" t="str">
        <v>WHITEHALL HOTEL LIMITED</v>
      </c>
      <c r="C80" s="163" t="str">
        <v>M11IN26-00008980</v>
      </c>
      <c r="D80" s="163" t="str">
        <v>STARSCAP_MENA</v>
      </c>
      <c r="E80" s="164">
        <v>46100</v>
      </c>
      <c r="F80" s="165">
        <v>30</v>
      </c>
      <c r="G80" s="164">
        <v>46130</v>
      </c>
      <c r="H80" s="163" t="str">
        <v>USD</v>
      </c>
      <c r="I80" s="166" t="str">
        <f ca="1"/>
        <v/>
      </c>
      <c r="J80" s="167">
        <f ca="1"/>
        <v>4021.3</v>
      </c>
      <c r="K80" s="167" t="str">
        <f ca="1"/>
        <v/>
      </c>
      <c r="L80" s="167" t="str">
        <f ca="1"/>
        <v/>
      </c>
      <c r="M80" s="168" t="str">
        <f ca="1"/>
        <v/>
      </c>
      <c r="N80" s="168" t="str">
        <f ca="1"/>
        <v/>
      </c>
      <c r="O80" s="163" t="str">
        <v>Paid</v>
      </c>
      <c r="P80" s="163" t="str">
        <v>Collected</v>
      </c>
      <c r="Q80" s="163" t="str">
        <v>RAFFLES LONDON AT OWO - ALWAYS ON 2026</v>
      </c>
    </row>
    <row r="81" spans="1:17" s="169" customFormat="1" ht="30.75" customHeight="1" x14ac:dyDescent="0.4">
      <c r="A81" s="163" t="str">
        <v>(M11)(M11)100115148</v>
      </c>
      <c r="B81" s="163" t="str">
        <v>WIC PRAGUE A.S.</v>
      </c>
      <c r="C81" s="163" t="str">
        <v>M11IN26-00007064</v>
      </c>
      <c r="D81" s="163" t="str">
        <v>STARSCAP_MENA</v>
      </c>
      <c r="E81" s="164">
        <v>46078</v>
      </c>
      <c r="F81" s="165">
        <v>30</v>
      </c>
      <c r="G81" s="164">
        <v>46108</v>
      </c>
      <c r="H81" s="163" t="str">
        <v>USD</v>
      </c>
      <c r="I81" s="166" t="str">
        <f ca="1"/>
        <v/>
      </c>
      <c r="J81" s="167" t="str">
        <f ca="1"/>
        <v/>
      </c>
      <c r="K81" s="167">
        <f ca="1"/>
        <v>2625.3</v>
      </c>
      <c r="L81" s="167" t="str">
        <f ca="1"/>
        <v/>
      </c>
      <c r="M81" s="168" t="str">
        <f ca="1"/>
        <v/>
      </c>
      <c r="N81" s="168" t="str">
        <f ca="1"/>
        <v/>
      </c>
      <c r="O81" s="163" t="str">
        <v>Paid</v>
      </c>
      <c r="P81" s="163" t="str">
        <v>Collected</v>
      </c>
      <c r="Q81" s="163" t="str">
        <v>FAIRMONT PRAGUE TACTICAL 2025</v>
      </c>
    </row>
    <row r="82" spans="1:17" s="169" customFormat="1" ht="30.75" customHeight="1" x14ac:dyDescent="0.4">
      <c r="A82" s="163" t="str">
        <v>(M11)(M11)100115148</v>
      </c>
      <c r="B82" s="163" t="str">
        <v>WIC PRAGUE A.S.</v>
      </c>
      <c r="C82" s="163" t="str">
        <v>M11IN26-00009304</v>
      </c>
      <c r="D82" s="163" t="str">
        <v>STARSCAP_MENA</v>
      </c>
      <c r="E82" s="164">
        <v>46104</v>
      </c>
      <c r="F82" s="165">
        <v>30</v>
      </c>
      <c r="G82" s="164">
        <v>46134</v>
      </c>
      <c r="H82" s="163" t="str">
        <v>USD</v>
      </c>
      <c r="I82" s="166" t="str">
        <f ca="1"/>
        <v/>
      </c>
      <c r="J82" s="167">
        <f ca="1"/>
        <v>30688.92</v>
      </c>
      <c r="K82" s="167" t="str">
        <f ca="1"/>
        <v/>
      </c>
      <c r="L82" s="167" t="str">
        <f ca="1"/>
        <v/>
      </c>
      <c r="M82" s="168" t="str">
        <f ca="1"/>
        <v/>
      </c>
      <c r="N82" s="168" t="str">
        <f ca="1"/>
        <v/>
      </c>
      <c r="O82" s="163" t="str">
        <v>Paid</v>
      </c>
      <c r="P82" s="163" t="str">
        <v>Collected</v>
      </c>
      <c r="Q82" s="163" t="str">
        <v>FAIRMONT PRAGUE TACTICAL 2025</v>
      </c>
    </row>
    <row r="83" spans="1:17" s="169" customFormat="1" ht="30.75" customHeight="1" x14ac:dyDescent="0.4">
      <c r="A83" s="163" t="str">
        <v>(M11)(M11)100111939</v>
      </c>
      <c r="B83" s="163" t="str">
        <v>XHR PITTSBURGH MARKET TRS LLC</v>
      </c>
      <c r="C83" s="163" t="str">
        <v>M11IN26-00007035</v>
      </c>
      <c r="D83" s="163" t="str">
        <v>STARSCAP_MENA</v>
      </c>
      <c r="E83" s="164">
        <v>46078</v>
      </c>
      <c r="F83" s="165">
        <v>30</v>
      </c>
      <c r="G83" s="164">
        <v>46108</v>
      </c>
      <c r="H83" s="163" t="str">
        <v>USD</v>
      </c>
      <c r="I83" s="166" t="str">
        <f ca="1"/>
        <v/>
      </c>
      <c r="J83" s="167" t="str">
        <f ca="1"/>
        <v/>
      </c>
      <c r="K83" s="167">
        <f ca="1"/>
        <v>639.91</v>
      </c>
      <c r="L83" s="167" t="str">
        <f ca="1"/>
        <v/>
      </c>
      <c r="M83" s="168" t="str">
        <f ca="1"/>
        <v/>
      </c>
      <c r="N83" s="168" t="str">
        <f ca="1"/>
        <v/>
      </c>
      <c r="O83" s="163" t="str">
        <v>Paid</v>
      </c>
      <c r="P83" s="163" t="str">
        <v>Collected</v>
      </c>
      <c r="Q83" s="163" t="str">
        <v>FAIRMONT PITTSBURGH - ALWAYS ON 2026</v>
      </c>
    </row>
    <row r="84" spans="1:17" s="169" customFormat="1" ht="30.75" customHeight="1" x14ac:dyDescent="0.4">
      <c r="A84" s="163" t="str">
        <v>(M11)(M11)100113894</v>
      </c>
      <c r="B84" s="163" t="str">
        <v>ZORLU YAPI YATIRIM ANONİM ŞİRKETİ</v>
      </c>
      <c r="C84" s="163" t="str">
        <v>M11IN26-00006686</v>
      </c>
      <c r="D84" s="163" t="str">
        <v>STARSCAP_MENA</v>
      </c>
      <c r="E84" s="164">
        <v>46079</v>
      </c>
      <c r="F84" s="165">
        <v>30</v>
      </c>
      <c r="G84" s="164">
        <v>46109</v>
      </c>
      <c r="H84" s="163" t="str">
        <v>USD</v>
      </c>
      <c r="I84" s="166" t="str">
        <f ca="1"/>
        <v/>
      </c>
      <c r="J84" s="167" t="str">
        <f ca="1"/>
        <v/>
      </c>
      <c r="K84" s="167">
        <f ca="1"/>
        <v>852.24</v>
      </c>
      <c r="L84" s="167" t="str">
        <f ca="1"/>
        <v/>
      </c>
      <c r="M84" s="168" t="str">
        <f ca="1"/>
        <v/>
      </c>
      <c r="N84" s="168" t="str">
        <f ca="1"/>
        <v/>
      </c>
      <c r="O84" s="163" t="str">
        <v>Paid</v>
      </c>
      <c r="P84" s="163" t="str">
        <v>Collected</v>
      </c>
      <c r="Q84" s="163" t="str">
        <v>RAFFLES ISTANBUL ALWAYS ON 2026</v>
      </c>
    </row>
    <row r="85" spans="1:17" s="169" customFormat="1" ht="30.75" customHeight="1" x14ac:dyDescent="0.4">
      <c r="A85" s="163"/>
      <c r="B85" s="163"/>
      <c r="C85" s="163"/>
      <c r="D85" s="163"/>
      <c r="E85" s="164"/>
      <c r="F85" s="165"/>
      <c r="G85" s="164"/>
      <c r="H85" s="163"/>
      <c r="I85" s="166"/>
      <c r="J85" s="167"/>
      <c r="K85" s="167"/>
      <c r="L85" s="167"/>
      <c r="M85" s="168"/>
      <c r="N85" s="168"/>
      <c r="O85" s="163"/>
      <c r="P85" s="163"/>
      <c r="Q85" s="163"/>
    </row>
    <row r="86" spans="1:17" s="169" customFormat="1" ht="30.75" customHeight="1" x14ac:dyDescent="0.4">
      <c r="A86" s="163"/>
      <c r="B86" s="163"/>
      <c r="C86" s="163"/>
      <c r="D86" s="163"/>
      <c r="E86" s="164"/>
      <c r="F86" s="165"/>
      <c r="G86" s="164"/>
      <c r="H86" s="163"/>
      <c r="I86" s="166"/>
      <c r="J86" s="167"/>
      <c r="K86" s="167"/>
      <c r="L86" s="167"/>
      <c r="M86" s="168"/>
      <c r="N86" s="168"/>
      <c r="O86" s="163"/>
      <c r="P86" s="163"/>
      <c r="Q86" s="163"/>
    </row>
    <row r="87" spans="1:17" s="169" customFormat="1" ht="30.75" customHeight="1" x14ac:dyDescent="0.4">
      <c r="A87" s="163"/>
      <c r="B87" s="163"/>
      <c r="C87" s="163"/>
      <c r="D87" s="163"/>
      <c r="E87" s="164"/>
      <c r="F87" s="165"/>
      <c r="G87" s="164"/>
      <c r="H87" s="163"/>
      <c r="I87" s="166"/>
      <c r="J87" s="167"/>
      <c r="K87" s="167"/>
      <c r="L87" s="167"/>
      <c r="M87" s="168"/>
      <c r="N87" s="168"/>
      <c r="O87" s="163"/>
      <c r="P87" s="163"/>
      <c r="Q87" s="163"/>
    </row>
    <row r="88" spans="1:17" s="169" customFormat="1" ht="30.75" customHeight="1" x14ac:dyDescent="0.4">
      <c r="A88" s="163"/>
      <c r="B88" s="163"/>
      <c r="C88" s="163"/>
      <c r="D88" s="163"/>
      <c r="E88" s="164"/>
      <c r="F88" s="165"/>
      <c r="G88" s="164"/>
      <c r="H88" s="163"/>
      <c r="I88" s="166"/>
      <c r="J88" s="167"/>
      <c r="K88" s="167"/>
      <c r="L88" s="167"/>
      <c r="M88" s="168"/>
      <c r="N88" s="168"/>
      <c r="O88" s="163"/>
      <c r="P88" s="163"/>
      <c r="Q88" s="163"/>
    </row>
    <row r="89" spans="1:17" s="169" customFormat="1" ht="30.75" customHeight="1" x14ac:dyDescent="0.4">
      <c r="A89" s="163"/>
      <c r="B89" s="163"/>
      <c r="C89" s="163"/>
      <c r="D89" s="163"/>
      <c r="E89" s="164"/>
      <c r="F89" s="165"/>
      <c r="G89" s="164"/>
      <c r="H89" s="163"/>
      <c r="I89" s="166"/>
      <c r="J89" s="167"/>
      <c r="K89" s="167"/>
      <c r="L89" s="167"/>
      <c r="M89" s="168"/>
      <c r="N89" s="168"/>
      <c r="O89" s="163"/>
      <c r="P89" s="163"/>
      <c r="Q89" s="163"/>
    </row>
    <row r="90" spans="1:17" s="169" customFormat="1" ht="30.75" customHeight="1" x14ac:dyDescent="0.4">
      <c r="A90" s="163"/>
      <c r="B90" s="163"/>
      <c r="C90" s="163"/>
      <c r="D90" s="163"/>
      <c r="E90" s="164"/>
      <c r="F90" s="165"/>
      <c r="G90" s="164"/>
      <c r="H90" s="163"/>
      <c r="I90" s="166"/>
      <c r="J90" s="167"/>
      <c r="K90" s="167"/>
      <c r="L90" s="167"/>
      <c r="M90" s="168"/>
      <c r="N90" s="168"/>
      <c r="O90" s="163"/>
      <c r="P90" s="163"/>
      <c r="Q90" s="163"/>
    </row>
    <row r="91" spans="1:17" s="169" customFormat="1" ht="30.75" customHeight="1" x14ac:dyDescent="0.4">
      <c r="A91" s="163"/>
      <c r="B91" s="163"/>
      <c r="C91" s="163"/>
      <c r="D91" s="163"/>
      <c r="E91" s="164"/>
      <c r="F91" s="165"/>
      <c r="G91" s="164"/>
      <c r="H91" s="163"/>
      <c r="I91" s="166"/>
      <c r="J91" s="167"/>
      <c r="K91" s="167"/>
      <c r="L91" s="167"/>
      <c r="M91" s="168"/>
      <c r="N91" s="168"/>
      <c r="O91" s="163"/>
      <c r="P91" s="163"/>
      <c r="Q91" s="163"/>
    </row>
    <row r="92" spans="1:17" s="169" customFormat="1" ht="30.75" customHeight="1" x14ac:dyDescent="0.4">
      <c r="A92" s="163"/>
      <c r="B92" s="163"/>
      <c r="C92" s="163"/>
      <c r="D92" s="163"/>
      <c r="E92" s="164"/>
      <c r="F92" s="165"/>
      <c r="G92" s="164"/>
      <c r="H92" s="163"/>
      <c r="I92" s="166"/>
      <c r="J92" s="167"/>
      <c r="K92" s="167"/>
      <c r="L92" s="167"/>
      <c r="M92" s="168"/>
      <c r="N92" s="168"/>
      <c r="O92" s="163"/>
      <c r="P92" s="163"/>
      <c r="Q92" s="163"/>
    </row>
    <row r="93" spans="1:17" s="169" customFormat="1" ht="30.75" customHeight="1" x14ac:dyDescent="0.4">
      <c r="A93" s="163"/>
      <c r="B93" s="163"/>
      <c r="C93" s="163"/>
      <c r="D93" s="163"/>
      <c r="E93" s="164"/>
      <c r="F93" s="165"/>
      <c r="G93" s="164"/>
      <c r="H93" s="163"/>
      <c r="I93" s="166"/>
      <c r="J93" s="167"/>
      <c r="K93" s="167"/>
      <c r="L93" s="167"/>
      <c r="M93" s="168"/>
      <c r="N93" s="168"/>
      <c r="O93" s="163"/>
      <c r="P93" s="163"/>
      <c r="Q93" s="163"/>
    </row>
    <row r="94" spans="1:17" s="169" customFormat="1" ht="30.75" customHeight="1" x14ac:dyDescent="0.4">
      <c r="A94" s="163"/>
      <c r="B94" s="163"/>
      <c r="C94" s="163"/>
      <c r="D94" s="163"/>
      <c r="E94" s="164"/>
      <c r="F94" s="165"/>
      <c r="G94" s="164"/>
      <c r="H94" s="163"/>
      <c r="I94" s="166"/>
      <c r="J94" s="167"/>
      <c r="K94" s="167"/>
      <c r="L94" s="167"/>
      <c r="M94" s="168"/>
      <c r="N94" s="168"/>
      <c r="O94" s="163"/>
      <c r="P94" s="163"/>
      <c r="Q94" s="163"/>
    </row>
    <row r="95" spans="1:17" s="169" customFormat="1" ht="30.75" customHeight="1" x14ac:dyDescent="0.4">
      <c r="A95" s="163"/>
      <c r="B95" s="163"/>
      <c r="C95" s="163"/>
      <c r="D95" s="163"/>
      <c r="E95" s="164"/>
      <c r="F95" s="165"/>
      <c r="G95" s="164"/>
      <c r="H95" s="163"/>
      <c r="I95" s="166"/>
      <c r="J95" s="167"/>
      <c r="K95" s="167"/>
      <c r="L95" s="167"/>
      <c r="M95" s="168"/>
      <c r="N95" s="168"/>
      <c r="O95" s="163"/>
      <c r="P95" s="163"/>
      <c r="Q95" s="163"/>
    </row>
    <row r="96" spans="1:17" s="169" customFormat="1" ht="30.75" customHeight="1" x14ac:dyDescent="0.4">
      <c r="A96" s="163"/>
      <c r="B96" s="163"/>
      <c r="C96" s="163"/>
      <c r="D96" s="163"/>
      <c r="E96" s="164"/>
      <c r="F96" s="165"/>
      <c r="G96" s="164"/>
      <c r="H96" s="163"/>
      <c r="I96" s="166"/>
      <c r="J96" s="167"/>
      <c r="K96" s="167"/>
      <c r="L96" s="167"/>
      <c r="M96" s="168"/>
      <c r="N96" s="168"/>
      <c r="O96" s="163"/>
      <c r="P96" s="163"/>
      <c r="Q96" s="163"/>
    </row>
    <row r="97" spans="1:17" s="169" customFormat="1" ht="30.75" customHeight="1" x14ac:dyDescent="0.4">
      <c r="A97" s="163"/>
      <c r="B97" s="163"/>
      <c r="C97" s="163"/>
      <c r="D97" s="163"/>
      <c r="E97" s="164"/>
      <c r="F97" s="165"/>
      <c r="G97" s="164"/>
      <c r="H97" s="163"/>
      <c r="I97" s="166"/>
      <c r="J97" s="167"/>
      <c r="K97" s="167"/>
      <c r="L97" s="167"/>
      <c r="M97" s="168"/>
      <c r="N97" s="168"/>
      <c r="O97" s="163"/>
      <c r="P97" s="163"/>
      <c r="Q97" s="163"/>
    </row>
    <row r="98" spans="1:17" s="169" customFormat="1" ht="30.75" customHeight="1" x14ac:dyDescent="0.4">
      <c r="A98" s="163"/>
      <c r="B98" s="163"/>
      <c r="C98" s="163"/>
      <c r="D98" s="163"/>
      <c r="E98" s="164"/>
      <c r="F98" s="165"/>
      <c r="G98" s="164"/>
      <c r="H98" s="163"/>
      <c r="I98" s="166"/>
      <c r="J98" s="167"/>
      <c r="K98" s="167"/>
      <c r="L98" s="167"/>
      <c r="M98" s="168"/>
      <c r="N98" s="168"/>
      <c r="O98" s="163"/>
      <c r="P98" s="163"/>
      <c r="Q98" s="163"/>
    </row>
    <row r="99" spans="1:17" s="169" customFormat="1" ht="30.75" customHeight="1" x14ac:dyDescent="0.4">
      <c r="A99" s="163"/>
      <c r="B99" s="163"/>
      <c r="C99" s="163"/>
      <c r="D99" s="163"/>
      <c r="E99" s="164"/>
      <c r="F99" s="165"/>
      <c r="G99" s="164"/>
      <c r="H99" s="163"/>
      <c r="I99" s="166"/>
      <c r="J99" s="167"/>
      <c r="K99" s="167"/>
      <c r="L99" s="167"/>
      <c r="M99" s="168"/>
      <c r="N99" s="168"/>
      <c r="O99" s="163"/>
      <c r="P99" s="163"/>
      <c r="Q99" s="163"/>
    </row>
    <row r="100" spans="1:17" s="169" customFormat="1" ht="30.75" customHeight="1" x14ac:dyDescent="0.4">
      <c r="A100" s="163"/>
      <c r="B100" s="163"/>
      <c r="C100" s="163"/>
      <c r="D100" s="163"/>
      <c r="E100" s="164"/>
      <c r="F100" s="165"/>
      <c r="G100" s="164"/>
      <c r="H100" s="163"/>
      <c r="I100" s="166"/>
      <c r="J100" s="167"/>
      <c r="K100" s="167"/>
      <c r="L100" s="167"/>
      <c r="M100" s="168"/>
      <c r="N100" s="168"/>
      <c r="O100" s="163"/>
      <c r="P100" s="163"/>
      <c r="Q100" s="163"/>
    </row>
    <row r="101" spans="1:17" s="169" customFormat="1" ht="30.75" customHeight="1" x14ac:dyDescent="0.4">
      <c r="A101" s="163"/>
      <c r="B101" s="163"/>
      <c r="C101" s="163"/>
      <c r="D101" s="163"/>
      <c r="E101" s="164"/>
      <c r="F101" s="165"/>
      <c r="G101" s="164"/>
      <c r="H101" s="163"/>
      <c r="I101" s="166"/>
      <c r="J101" s="167"/>
      <c r="K101" s="167"/>
      <c r="L101" s="167"/>
      <c r="M101" s="168"/>
      <c r="N101" s="168"/>
      <c r="O101" s="163"/>
      <c r="P101" s="163"/>
      <c r="Q101" s="163"/>
    </row>
    <row r="102" spans="1:17" s="169" customFormat="1" ht="30.75" customHeight="1" x14ac:dyDescent="0.4">
      <c r="A102" s="163"/>
      <c r="B102" s="163"/>
      <c r="C102" s="163"/>
      <c r="D102" s="163"/>
      <c r="E102" s="164"/>
      <c r="F102" s="165"/>
      <c r="G102" s="164"/>
      <c r="H102" s="163"/>
      <c r="I102" s="166"/>
      <c r="J102" s="167"/>
      <c r="K102" s="167"/>
      <c r="L102" s="167"/>
      <c r="M102" s="168"/>
      <c r="N102" s="168"/>
      <c r="O102" s="163"/>
      <c r="P102" s="163"/>
      <c r="Q102" s="163"/>
    </row>
    <row r="103" spans="1:17" s="169" customFormat="1" ht="30.75" customHeight="1" x14ac:dyDescent="0.4">
      <c r="A103" s="163"/>
      <c r="B103" s="163"/>
      <c r="C103" s="163"/>
      <c r="D103" s="163"/>
      <c r="E103" s="164"/>
      <c r="F103" s="165"/>
      <c r="G103" s="164"/>
      <c r="H103" s="163"/>
      <c r="I103" s="166"/>
      <c r="J103" s="167"/>
      <c r="K103" s="167"/>
      <c r="L103" s="167"/>
      <c r="M103" s="168"/>
      <c r="N103" s="168"/>
      <c r="O103" s="163"/>
      <c r="P103" s="163"/>
      <c r="Q103" s="163"/>
    </row>
    <row r="104" spans="1:17" s="169" customFormat="1" ht="30.75" customHeight="1" x14ac:dyDescent="0.4">
      <c r="A104" s="163"/>
      <c r="B104" s="163"/>
      <c r="C104" s="163"/>
      <c r="D104" s="163"/>
      <c r="E104" s="164"/>
      <c r="F104" s="165"/>
      <c r="G104" s="164"/>
      <c r="H104" s="163"/>
      <c r="I104" s="166"/>
      <c r="J104" s="167"/>
      <c r="K104" s="167"/>
      <c r="L104" s="167"/>
      <c r="M104" s="168"/>
      <c r="N104" s="168"/>
      <c r="O104" s="163"/>
      <c r="P104" s="163"/>
      <c r="Q104" s="163"/>
    </row>
    <row r="105" spans="1:17" s="169" customFormat="1" ht="30.75" customHeight="1" x14ac:dyDescent="0.4">
      <c r="A105" s="163"/>
      <c r="B105" s="163"/>
      <c r="C105" s="163"/>
      <c r="D105" s="163"/>
      <c r="E105" s="164"/>
      <c r="F105" s="165"/>
      <c r="G105" s="164"/>
      <c r="H105" s="163"/>
      <c r="I105" s="166"/>
      <c r="J105" s="167"/>
      <c r="K105" s="167"/>
      <c r="L105" s="167"/>
      <c r="M105" s="168"/>
      <c r="N105" s="168"/>
      <c r="O105" s="163"/>
      <c r="P105" s="163"/>
      <c r="Q105" s="163"/>
    </row>
    <row r="106" spans="1:17" s="169" customFormat="1" ht="30.75" customHeight="1" x14ac:dyDescent="0.4">
      <c r="A106" s="163"/>
      <c r="B106" s="163"/>
      <c r="C106" s="163"/>
      <c r="D106" s="163"/>
      <c r="E106" s="164"/>
      <c r="F106" s="165"/>
      <c r="G106" s="164"/>
      <c r="H106" s="163"/>
      <c r="I106" s="166"/>
      <c r="J106" s="167"/>
      <c r="K106" s="167"/>
      <c r="L106" s="167"/>
      <c r="M106" s="168"/>
      <c r="N106" s="168"/>
      <c r="O106" s="163"/>
      <c r="P106" s="163"/>
      <c r="Q106" s="163"/>
    </row>
    <row r="107" spans="1:17" s="169" customFormat="1" ht="30.75" customHeight="1" x14ac:dyDescent="0.4">
      <c r="A107" s="163"/>
      <c r="B107" s="163"/>
      <c r="C107" s="163"/>
      <c r="D107" s="163"/>
      <c r="E107" s="164"/>
      <c r="F107" s="165"/>
      <c r="G107" s="164"/>
      <c r="H107" s="163"/>
      <c r="I107" s="166"/>
      <c r="J107" s="167"/>
      <c r="K107" s="167"/>
      <c r="L107" s="167"/>
      <c r="M107" s="168"/>
      <c r="N107" s="168"/>
      <c r="O107" s="163"/>
      <c r="P107" s="163"/>
      <c r="Q107" s="163"/>
    </row>
    <row r="108" spans="1:17" s="169" customFormat="1" ht="30.75" customHeight="1" x14ac:dyDescent="0.4">
      <c r="A108" s="163"/>
      <c r="B108" s="163"/>
      <c r="C108" s="163"/>
      <c r="D108" s="163"/>
      <c r="E108" s="164"/>
      <c r="F108" s="165"/>
      <c r="G108" s="164"/>
      <c r="H108" s="163"/>
      <c r="I108" s="166"/>
      <c r="J108" s="167"/>
      <c r="K108" s="167"/>
      <c r="L108" s="167"/>
      <c r="M108" s="168"/>
      <c r="N108" s="168"/>
      <c r="O108" s="163"/>
      <c r="P108" s="163"/>
      <c r="Q108" s="163"/>
    </row>
    <row r="109" spans="1:17" s="169" customFormat="1" ht="30.75" customHeight="1" x14ac:dyDescent="0.4">
      <c r="A109" s="163"/>
      <c r="B109" s="163"/>
      <c r="C109" s="163"/>
      <c r="D109" s="163"/>
      <c r="E109" s="164"/>
      <c r="F109" s="165"/>
      <c r="G109" s="164"/>
      <c r="H109" s="163"/>
      <c r="I109" s="166"/>
      <c r="J109" s="167"/>
      <c r="K109" s="167"/>
      <c r="L109" s="167"/>
      <c r="M109" s="168"/>
      <c r="N109" s="168"/>
      <c r="O109" s="163"/>
      <c r="P109" s="163"/>
      <c r="Q109" s="163"/>
    </row>
    <row r="110" spans="1:17" s="169" customFormat="1" ht="30.75" customHeight="1" x14ac:dyDescent="0.4">
      <c r="A110" s="163"/>
      <c r="B110" s="163"/>
      <c r="C110" s="163"/>
      <c r="D110" s="163"/>
      <c r="E110" s="164"/>
      <c r="F110" s="165"/>
      <c r="G110" s="164"/>
      <c r="H110" s="163"/>
      <c r="I110" s="166"/>
      <c r="J110" s="167"/>
      <c r="K110" s="167"/>
      <c r="L110" s="167"/>
      <c r="M110" s="168"/>
      <c r="N110" s="168"/>
      <c r="O110" s="163"/>
      <c r="P110" s="163"/>
      <c r="Q110" s="163"/>
    </row>
    <row r="111" spans="1:17" s="169" customFormat="1" ht="30.75" customHeight="1" x14ac:dyDescent="0.4">
      <c r="A111" s="163"/>
      <c r="B111" s="163"/>
      <c r="C111" s="163"/>
      <c r="D111" s="163"/>
      <c r="E111" s="164"/>
      <c r="F111" s="165"/>
      <c r="G111" s="164"/>
      <c r="H111" s="163"/>
      <c r="I111" s="166"/>
      <c r="J111" s="167"/>
      <c r="K111" s="167"/>
      <c r="L111" s="167"/>
      <c r="M111" s="168"/>
      <c r="N111" s="168"/>
      <c r="O111" s="163"/>
      <c r="P111" s="163"/>
      <c r="Q111" s="163"/>
    </row>
    <row r="112" spans="1:17" s="169" customFormat="1" ht="30.75" customHeight="1" x14ac:dyDescent="0.4">
      <c r="A112" s="163"/>
      <c r="B112" s="163"/>
      <c r="C112" s="163"/>
      <c r="D112" s="163"/>
      <c r="E112" s="164"/>
      <c r="F112" s="165"/>
      <c r="G112" s="164"/>
      <c r="H112" s="163"/>
      <c r="I112" s="166"/>
      <c r="J112" s="167"/>
      <c r="K112" s="167"/>
      <c r="L112" s="167"/>
      <c r="M112" s="168"/>
      <c r="N112" s="168"/>
      <c r="O112" s="163"/>
      <c r="P112" s="163"/>
      <c r="Q112" s="163"/>
    </row>
    <row r="113" spans="1:17" s="169" customFormat="1" ht="30.75" customHeight="1" x14ac:dyDescent="0.4">
      <c r="A113" s="163"/>
      <c r="B113" s="163"/>
      <c r="C113" s="163"/>
      <c r="D113" s="163"/>
      <c r="E113" s="164"/>
      <c r="F113" s="165"/>
      <c r="G113" s="164"/>
      <c r="H113" s="163"/>
      <c r="I113" s="166"/>
      <c r="J113" s="167"/>
      <c r="K113" s="167"/>
      <c r="L113" s="167"/>
      <c r="M113" s="168"/>
      <c r="N113" s="168"/>
      <c r="O113" s="163"/>
      <c r="P113" s="163"/>
      <c r="Q113" s="163"/>
    </row>
    <row r="114" spans="1:17" s="169" customFormat="1" ht="30.75" customHeight="1" x14ac:dyDescent="0.4">
      <c r="A114" s="163"/>
      <c r="B114" s="163"/>
      <c r="C114" s="163"/>
      <c r="D114" s="163"/>
      <c r="E114" s="164"/>
      <c r="F114" s="165"/>
      <c r="G114" s="164"/>
      <c r="H114" s="163"/>
      <c r="I114" s="166"/>
      <c r="J114" s="167"/>
      <c r="K114" s="167"/>
      <c r="L114" s="167"/>
      <c r="M114" s="168"/>
      <c r="N114" s="168"/>
      <c r="O114" s="163"/>
      <c r="P114" s="163"/>
      <c r="Q114" s="163"/>
    </row>
    <row r="115" spans="1:17" s="169" customFormat="1" ht="30.75" customHeight="1" x14ac:dyDescent="0.4">
      <c r="A115" s="163"/>
      <c r="B115" s="163"/>
      <c r="C115" s="163"/>
      <c r="D115" s="163"/>
      <c r="E115" s="164"/>
      <c r="F115" s="165"/>
      <c r="G115" s="164"/>
      <c r="H115" s="163"/>
      <c r="I115" s="166"/>
      <c r="J115" s="167"/>
      <c r="K115" s="167"/>
      <c r="L115" s="167"/>
      <c r="M115" s="168"/>
      <c r="N115" s="168"/>
      <c r="O115" s="163"/>
      <c r="P115" s="163"/>
      <c r="Q115" s="163"/>
    </row>
    <row r="116" spans="1:17" s="169" customFormat="1" ht="30.75" customHeight="1" x14ac:dyDescent="0.4">
      <c r="A116" s="163"/>
      <c r="B116" s="163"/>
      <c r="C116" s="163"/>
      <c r="D116" s="163"/>
      <c r="E116" s="164"/>
      <c r="F116" s="165"/>
      <c r="G116" s="164"/>
      <c r="H116" s="163"/>
      <c r="I116" s="166"/>
      <c r="J116" s="167"/>
      <c r="K116" s="167"/>
      <c r="L116" s="167"/>
      <c r="M116" s="168"/>
      <c r="N116" s="168"/>
      <c r="O116" s="163"/>
      <c r="P116" s="163"/>
      <c r="Q116" s="163"/>
    </row>
    <row r="117" spans="1:17" s="169" customFormat="1" ht="30.75" customHeight="1" x14ac:dyDescent="0.4">
      <c r="A117" s="163"/>
      <c r="B117" s="163"/>
      <c r="C117" s="163"/>
      <c r="D117" s="163"/>
      <c r="E117" s="164"/>
      <c r="F117" s="165"/>
      <c r="G117" s="164"/>
      <c r="H117" s="163"/>
      <c r="I117" s="166"/>
      <c r="J117" s="167"/>
      <c r="K117" s="167"/>
      <c r="L117" s="167"/>
      <c r="M117" s="168"/>
      <c r="N117" s="168"/>
      <c r="O117" s="163"/>
      <c r="P117" s="163"/>
      <c r="Q117" s="163"/>
    </row>
    <row r="118" spans="1:17" s="169" customFormat="1" ht="30.75" customHeight="1" x14ac:dyDescent="0.4">
      <c r="A118" s="163"/>
      <c r="B118" s="163"/>
      <c r="C118" s="163"/>
      <c r="D118" s="163"/>
      <c r="E118" s="164"/>
      <c r="F118" s="165"/>
      <c r="G118" s="164"/>
      <c r="H118" s="163"/>
      <c r="I118" s="166"/>
      <c r="J118" s="167"/>
      <c r="K118" s="167"/>
      <c r="L118" s="167"/>
      <c r="M118" s="168"/>
      <c r="N118" s="168"/>
      <c r="O118" s="163"/>
      <c r="P118" s="163"/>
      <c r="Q118" s="163"/>
    </row>
    <row r="119" spans="1:17" s="169" customFormat="1" ht="30.75" customHeight="1" x14ac:dyDescent="0.4">
      <c r="A119" s="163"/>
      <c r="B119" s="163"/>
      <c r="C119" s="163"/>
      <c r="D119" s="163"/>
      <c r="E119" s="164"/>
      <c r="F119" s="165"/>
      <c r="G119" s="164"/>
      <c r="H119" s="163"/>
      <c r="I119" s="166"/>
      <c r="J119" s="167"/>
      <c r="K119" s="167"/>
      <c r="L119" s="167"/>
      <c r="M119" s="168"/>
      <c r="N119" s="168"/>
      <c r="O119" s="163"/>
      <c r="P119" s="163"/>
      <c r="Q119" s="163"/>
    </row>
    <row r="120" spans="1:17" s="169" customFormat="1" ht="30.75" customHeight="1" x14ac:dyDescent="0.4">
      <c r="A120" s="163"/>
      <c r="B120" s="163"/>
      <c r="C120" s="163"/>
      <c r="D120" s="163"/>
      <c r="E120" s="164"/>
      <c r="F120" s="165"/>
      <c r="G120" s="164"/>
      <c r="H120" s="163"/>
      <c r="I120" s="166"/>
      <c r="J120" s="167"/>
      <c r="K120" s="167"/>
      <c r="L120" s="167"/>
      <c r="M120" s="168"/>
      <c r="N120" s="168"/>
      <c r="O120" s="163"/>
      <c r="P120" s="163"/>
      <c r="Q120" s="163"/>
    </row>
    <row r="121" spans="1:17" s="169" customFormat="1" ht="30.75" customHeight="1" x14ac:dyDescent="0.4">
      <c r="A121" s="163"/>
      <c r="B121" s="163"/>
      <c r="C121" s="163"/>
      <c r="D121" s="163"/>
      <c r="E121" s="164"/>
      <c r="F121" s="165"/>
      <c r="G121" s="164"/>
      <c r="H121" s="163"/>
      <c r="I121" s="166"/>
      <c r="J121" s="167"/>
      <c r="K121" s="167"/>
      <c r="L121" s="167"/>
      <c r="M121" s="168"/>
      <c r="N121" s="168"/>
      <c r="O121" s="163"/>
      <c r="P121" s="163"/>
      <c r="Q121" s="163"/>
    </row>
    <row r="122" spans="1:17" s="169" customFormat="1" ht="30.75" customHeight="1" x14ac:dyDescent="0.4">
      <c r="A122" s="163"/>
      <c r="B122" s="163"/>
      <c r="C122" s="163"/>
      <c r="D122" s="163"/>
      <c r="E122" s="164"/>
      <c r="F122" s="165"/>
      <c r="G122" s="164"/>
      <c r="H122" s="163"/>
      <c r="I122" s="166"/>
      <c r="J122" s="167"/>
      <c r="K122" s="167"/>
      <c r="L122" s="167"/>
      <c r="M122" s="168"/>
      <c r="N122" s="168"/>
      <c r="O122" s="163"/>
      <c r="P122" s="163"/>
      <c r="Q122" s="163"/>
    </row>
    <row r="123" spans="1:17" s="169" customFormat="1" ht="30.75" customHeight="1" x14ac:dyDescent="0.4">
      <c r="A123" s="163"/>
      <c r="B123" s="163"/>
      <c r="C123" s="163"/>
      <c r="D123" s="163"/>
      <c r="E123" s="164"/>
      <c r="F123" s="165"/>
      <c r="G123" s="164"/>
      <c r="H123" s="163"/>
      <c r="I123" s="166"/>
      <c r="J123" s="167"/>
      <c r="K123" s="167"/>
      <c r="L123" s="167"/>
      <c r="M123" s="168"/>
      <c r="N123" s="168"/>
      <c r="O123" s="163"/>
      <c r="P123" s="163"/>
      <c r="Q123" s="163"/>
    </row>
    <row r="124" spans="1:17" s="169" customFormat="1" ht="30.75" customHeight="1" x14ac:dyDescent="0.4">
      <c r="A124" s="163"/>
      <c r="B124" s="163"/>
      <c r="C124" s="163"/>
      <c r="D124" s="163"/>
      <c r="E124" s="164"/>
      <c r="F124" s="165"/>
      <c r="G124" s="164"/>
      <c r="H124" s="163"/>
      <c r="I124" s="166"/>
      <c r="J124" s="167"/>
      <c r="K124" s="167"/>
      <c r="L124" s="167"/>
      <c r="M124" s="168"/>
      <c r="N124" s="168"/>
      <c r="O124" s="163"/>
      <c r="P124" s="163"/>
      <c r="Q124" s="163"/>
    </row>
    <row r="125" spans="1:17" s="169" customFormat="1" ht="30.75" customHeight="1" x14ac:dyDescent="0.4">
      <c r="A125" s="163"/>
      <c r="B125" s="163"/>
      <c r="C125" s="163"/>
      <c r="D125" s="163"/>
      <c r="E125" s="164"/>
      <c r="F125" s="165"/>
      <c r="G125" s="164"/>
      <c r="H125" s="163"/>
      <c r="I125" s="166"/>
      <c r="J125" s="167"/>
      <c r="K125" s="167"/>
      <c r="L125" s="167"/>
      <c r="M125" s="168"/>
      <c r="N125" s="168"/>
      <c r="O125" s="163"/>
      <c r="P125" s="163"/>
      <c r="Q125" s="163"/>
    </row>
    <row r="126" spans="1:17" s="169" customFormat="1" ht="30.75" customHeight="1" x14ac:dyDescent="0.4">
      <c r="A126" s="163"/>
      <c r="B126" s="163"/>
      <c r="C126" s="163"/>
      <c r="D126" s="163"/>
      <c r="E126" s="164"/>
      <c r="F126" s="165"/>
      <c r="G126" s="164"/>
      <c r="H126" s="163"/>
      <c r="I126" s="166"/>
      <c r="J126" s="167"/>
      <c r="K126" s="167"/>
      <c r="L126" s="167"/>
      <c r="M126" s="168"/>
      <c r="N126" s="168"/>
      <c r="O126" s="163"/>
      <c r="P126" s="163"/>
      <c r="Q126" s="163"/>
    </row>
    <row r="127" spans="1:17" s="169" customFormat="1" ht="30.75" customHeight="1" x14ac:dyDescent="0.4">
      <c r="A127" s="163"/>
      <c r="B127" s="163"/>
      <c r="C127" s="163"/>
      <c r="D127" s="163"/>
      <c r="E127" s="164"/>
      <c r="F127" s="165"/>
      <c r="G127" s="164"/>
      <c r="H127" s="163"/>
      <c r="I127" s="166"/>
      <c r="J127" s="167"/>
      <c r="K127" s="167"/>
      <c r="L127" s="167"/>
      <c r="M127" s="168"/>
      <c r="N127" s="168"/>
      <c r="O127" s="163"/>
      <c r="P127" s="163"/>
      <c r="Q127" s="163"/>
    </row>
    <row r="128" spans="1:17" s="169" customFormat="1" ht="30.75" customHeight="1" x14ac:dyDescent="0.4">
      <c r="A128" s="163"/>
      <c r="B128" s="163"/>
      <c r="C128" s="163"/>
      <c r="D128" s="163"/>
      <c r="E128" s="164"/>
      <c r="F128" s="165"/>
      <c r="G128" s="164"/>
      <c r="H128" s="163"/>
      <c r="I128" s="166"/>
      <c r="J128" s="167"/>
      <c r="K128" s="167"/>
      <c r="L128" s="167"/>
      <c r="M128" s="168"/>
      <c r="N128" s="168"/>
      <c r="O128" s="163"/>
      <c r="P128" s="163"/>
      <c r="Q128" s="163"/>
    </row>
    <row r="129" spans="1:17" s="169" customFormat="1" ht="30.75" customHeight="1" x14ac:dyDescent="0.4">
      <c r="A129" s="163"/>
      <c r="B129" s="163"/>
      <c r="C129" s="163"/>
      <c r="D129" s="163"/>
      <c r="E129" s="164"/>
      <c r="F129" s="165"/>
      <c r="G129" s="164"/>
      <c r="H129" s="163"/>
      <c r="I129" s="166"/>
      <c r="J129" s="167"/>
      <c r="K129" s="167"/>
      <c r="L129" s="167"/>
      <c r="M129" s="168"/>
      <c r="N129" s="168"/>
      <c r="O129" s="163"/>
      <c r="P129" s="163"/>
      <c r="Q129" s="163"/>
    </row>
    <row r="130" spans="1:17" s="169" customFormat="1" ht="30.75" customHeight="1" x14ac:dyDescent="0.4">
      <c r="A130" s="163"/>
      <c r="B130" s="163"/>
      <c r="C130" s="163"/>
      <c r="D130" s="163"/>
      <c r="E130" s="164"/>
      <c r="F130" s="165"/>
      <c r="G130" s="164"/>
      <c r="H130" s="163"/>
      <c r="I130" s="166"/>
      <c r="J130" s="167"/>
      <c r="K130" s="167"/>
      <c r="L130" s="167"/>
      <c r="M130" s="168"/>
      <c r="N130" s="168"/>
      <c r="O130" s="163"/>
      <c r="P130" s="163"/>
      <c r="Q130" s="163"/>
    </row>
    <row r="131" spans="1:17" s="169" customFormat="1" ht="30.75" customHeight="1" x14ac:dyDescent="0.4">
      <c r="A131" s="163"/>
      <c r="B131" s="163"/>
      <c r="C131" s="163"/>
      <c r="D131" s="163"/>
      <c r="E131" s="164"/>
      <c r="F131" s="165"/>
      <c r="G131" s="164"/>
      <c r="H131" s="163"/>
      <c r="I131" s="166"/>
      <c r="J131" s="167"/>
      <c r="K131" s="167"/>
      <c r="L131" s="167"/>
      <c r="M131" s="168"/>
      <c r="N131" s="168"/>
      <c r="O131" s="163"/>
      <c r="P131" s="163"/>
      <c r="Q131" s="163"/>
    </row>
    <row r="132" spans="1:17" s="169" customFormat="1" ht="30.75" customHeight="1" x14ac:dyDescent="0.4">
      <c r="A132" s="163"/>
      <c r="B132" s="163"/>
      <c r="C132" s="163"/>
      <c r="D132" s="163"/>
      <c r="E132" s="164"/>
      <c r="F132" s="165"/>
      <c r="G132" s="164"/>
      <c r="H132" s="163"/>
      <c r="I132" s="166"/>
      <c r="J132" s="167"/>
      <c r="K132" s="167"/>
      <c r="L132" s="167"/>
      <c r="M132" s="168"/>
      <c r="N132" s="168"/>
      <c r="O132" s="163"/>
      <c r="P132" s="163"/>
      <c r="Q132" s="163"/>
    </row>
    <row r="133" spans="1:17" s="169" customFormat="1" ht="30.75" customHeight="1" x14ac:dyDescent="0.4">
      <c r="A133" s="163"/>
      <c r="B133" s="163"/>
      <c r="C133" s="163"/>
      <c r="D133" s="163"/>
      <c r="E133" s="164"/>
      <c r="F133" s="165"/>
      <c r="G133" s="164"/>
      <c r="H133" s="163"/>
      <c r="I133" s="166"/>
      <c r="J133" s="167"/>
      <c r="K133" s="167"/>
      <c r="L133" s="167"/>
      <c r="M133" s="168"/>
      <c r="N133" s="168"/>
      <c r="O133" s="163"/>
      <c r="P133" s="163"/>
      <c r="Q133" s="163"/>
    </row>
    <row r="134" spans="1:17" s="169" customFormat="1" ht="30.75" customHeight="1" x14ac:dyDescent="0.4">
      <c r="A134" s="163"/>
      <c r="B134" s="163"/>
      <c r="C134" s="163"/>
      <c r="D134" s="163"/>
      <c r="E134" s="164"/>
      <c r="F134" s="165"/>
      <c r="G134" s="164"/>
      <c r="H134" s="163"/>
      <c r="I134" s="166"/>
      <c r="J134" s="167"/>
      <c r="K134" s="167"/>
      <c r="L134" s="167"/>
      <c r="M134" s="168"/>
      <c r="N134" s="168"/>
      <c r="O134" s="163"/>
      <c r="P134" s="163"/>
      <c r="Q134" s="163"/>
    </row>
    <row r="135" spans="1:17" s="169" customFormat="1" ht="30.75" customHeight="1" x14ac:dyDescent="0.4">
      <c r="A135" s="163"/>
      <c r="B135" s="163"/>
      <c r="C135" s="163"/>
      <c r="D135" s="163"/>
      <c r="E135" s="164"/>
      <c r="F135" s="165"/>
      <c r="G135" s="164"/>
      <c r="H135" s="163"/>
      <c r="I135" s="166"/>
      <c r="J135" s="167"/>
      <c r="K135" s="167"/>
      <c r="L135" s="167"/>
      <c r="M135" s="168"/>
      <c r="N135" s="168"/>
      <c r="O135" s="163"/>
      <c r="P135" s="163"/>
      <c r="Q135" s="163"/>
    </row>
    <row r="136" spans="1:17" s="169" customFormat="1" ht="30.75" customHeight="1" x14ac:dyDescent="0.4">
      <c r="A136" s="163"/>
      <c r="B136" s="163"/>
      <c r="C136" s="163"/>
      <c r="D136" s="163"/>
      <c r="E136" s="164"/>
      <c r="F136" s="165"/>
      <c r="G136" s="164"/>
      <c r="H136" s="163"/>
      <c r="I136" s="166"/>
      <c r="J136" s="167"/>
      <c r="K136" s="167"/>
      <c r="L136" s="167"/>
      <c r="M136" s="168"/>
      <c r="N136" s="168"/>
      <c r="O136" s="163"/>
      <c r="P136" s="163"/>
      <c r="Q136" s="163"/>
    </row>
    <row r="137" spans="1:17" s="169" customFormat="1" ht="30.75" customHeight="1" x14ac:dyDescent="0.4">
      <c r="A137" s="163"/>
      <c r="B137" s="163"/>
      <c r="C137" s="163"/>
      <c r="D137" s="163"/>
      <c r="E137" s="164"/>
      <c r="F137" s="165"/>
      <c r="G137" s="164"/>
      <c r="H137" s="163"/>
      <c r="I137" s="166"/>
      <c r="J137" s="167"/>
      <c r="K137" s="167"/>
      <c r="L137" s="167"/>
      <c r="M137" s="168"/>
      <c r="N137" s="168"/>
      <c r="O137" s="163"/>
      <c r="P137" s="163"/>
      <c r="Q137" s="163"/>
    </row>
    <row r="138" spans="1:17" s="169" customFormat="1" ht="30.75" customHeight="1" x14ac:dyDescent="0.4">
      <c r="A138" s="163"/>
      <c r="B138" s="163"/>
      <c r="C138" s="163"/>
      <c r="D138" s="163"/>
      <c r="E138" s="164"/>
      <c r="F138" s="165"/>
      <c r="G138" s="164"/>
      <c r="H138" s="163"/>
      <c r="I138" s="166"/>
      <c r="J138" s="167"/>
      <c r="K138" s="167"/>
      <c r="L138" s="167"/>
      <c r="M138" s="168"/>
      <c r="N138" s="168"/>
      <c r="O138" s="163"/>
      <c r="P138" s="163"/>
      <c r="Q138" s="163"/>
    </row>
    <row r="139" spans="1:17" s="169" customFormat="1" ht="30.75" customHeight="1" x14ac:dyDescent="0.4">
      <c r="A139" s="163"/>
      <c r="B139" s="163"/>
      <c r="C139" s="163"/>
      <c r="D139" s="163"/>
      <c r="E139" s="164"/>
      <c r="F139" s="165"/>
      <c r="G139" s="164"/>
      <c r="H139" s="163"/>
      <c r="I139" s="166"/>
      <c r="J139" s="167"/>
      <c r="K139" s="167"/>
      <c r="L139" s="167"/>
      <c r="M139" s="168"/>
      <c r="N139" s="168"/>
      <c r="O139" s="163"/>
      <c r="P139" s="163"/>
      <c r="Q139" s="163"/>
    </row>
    <row r="140" spans="1:17" s="169" customFormat="1" ht="30.75" customHeight="1" x14ac:dyDescent="0.4">
      <c r="A140" s="163"/>
      <c r="B140" s="163"/>
      <c r="C140" s="163"/>
      <c r="D140" s="163"/>
      <c r="E140" s="164"/>
      <c r="F140" s="165"/>
      <c r="G140" s="164"/>
      <c r="H140" s="163"/>
      <c r="I140" s="166"/>
      <c r="J140" s="167"/>
      <c r="K140" s="167"/>
      <c r="L140" s="167"/>
      <c r="M140" s="168"/>
      <c r="N140" s="168"/>
      <c r="O140" s="163"/>
      <c r="P140" s="163"/>
      <c r="Q140" s="163"/>
    </row>
    <row r="141" spans="1:17" s="169" customFormat="1" ht="30.75" customHeight="1" x14ac:dyDescent="0.4">
      <c r="A141" s="163"/>
      <c r="B141" s="163"/>
      <c r="C141" s="163"/>
      <c r="D141" s="163"/>
      <c r="E141" s="164"/>
      <c r="F141" s="165"/>
      <c r="G141" s="164"/>
      <c r="H141" s="163"/>
      <c r="I141" s="166"/>
      <c r="J141" s="167"/>
      <c r="K141" s="167"/>
      <c r="L141" s="167"/>
      <c r="M141" s="168"/>
      <c r="N141" s="168"/>
      <c r="O141" s="163"/>
      <c r="P141" s="163"/>
      <c r="Q141" s="163"/>
    </row>
    <row r="142" spans="1:17" s="169" customFormat="1" ht="30.75" customHeight="1" x14ac:dyDescent="0.4">
      <c r="A142" s="163"/>
      <c r="B142" s="163"/>
      <c r="C142" s="163"/>
      <c r="D142" s="163"/>
      <c r="E142" s="164"/>
      <c r="F142" s="165"/>
      <c r="G142" s="164"/>
      <c r="H142" s="163"/>
      <c r="I142" s="166"/>
      <c r="J142" s="167"/>
      <c r="K142" s="167"/>
      <c r="L142" s="167"/>
      <c r="M142" s="168"/>
      <c r="N142" s="168"/>
      <c r="O142" s="163"/>
      <c r="P142" s="163"/>
      <c r="Q142" s="163"/>
    </row>
    <row r="143" spans="1:17" s="169" customFormat="1" ht="30.75" customHeight="1" x14ac:dyDescent="0.4">
      <c r="A143" s="163"/>
      <c r="B143" s="163"/>
      <c r="C143" s="163"/>
      <c r="D143" s="163"/>
      <c r="E143" s="164"/>
      <c r="F143" s="165"/>
      <c r="G143" s="164"/>
      <c r="H143" s="163"/>
      <c r="I143" s="166"/>
      <c r="J143" s="167"/>
      <c r="K143" s="167"/>
      <c r="L143" s="167"/>
      <c r="M143" s="168"/>
      <c r="N143" s="168"/>
      <c r="O143" s="163"/>
      <c r="P143" s="163"/>
      <c r="Q143" s="163"/>
    </row>
    <row r="144" spans="1:17" s="169" customFormat="1" ht="30.75" customHeight="1" x14ac:dyDescent="0.4">
      <c r="A144" s="163"/>
      <c r="B144" s="163"/>
      <c r="C144" s="163"/>
      <c r="D144" s="163"/>
      <c r="E144" s="164"/>
      <c r="F144" s="165"/>
      <c r="G144" s="164"/>
      <c r="H144" s="163"/>
      <c r="I144" s="166"/>
      <c r="J144" s="167"/>
      <c r="K144" s="167"/>
      <c r="L144" s="167"/>
      <c r="M144" s="168"/>
      <c r="N144" s="168"/>
      <c r="O144" s="163"/>
      <c r="P144" s="163"/>
      <c r="Q144" s="163"/>
    </row>
    <row r="145" spans="1:17" s="169" customFormat="1" ht="30.75" customHeight="1" x14ac:dyDescent="0.4">
      <c r="A145" s="163"/>
      <c r="B145" s="163"/>
      <c r="C145" s="163"/>
      <c r="D145" s="163"/>
      <c r="E145" s="164"/>
      <c r="F145" s="165"/>
      <c r="G145" s="164"/>
      <c r="H145" s="163"/>
      <c r="I145" s="166"/>
      <c r="J145" s="167"/>
      <c r="K145" s="167"/>
      <c r="L145" s="167"/>
      <c r="M145" s="168"/>
      <c r="N145" s="168"/>
      <c r="O145" s="163"/>
      <c r="P145" s="163"/>
      <c r="Q145" s="163"/>
    </row>
    <row r="146" spans="1:17" s="169" customFormat="1" ht="30.75" customHeight="1" x14ac:dyDescent="0.4">
      <c r="A146" s="163"/>
      <c r="B146" s="163"/>
      <c r="C146" s="163"/>
      <c r="D146" s="163"/>
      <c r="E146" s="164"/>
      <c r="F146" s="165"/>
      <c r="G146" s="164"/>
      <c r="H146" s="163"/>
      <c r="I146" s="166"/>
      <c r="J146" s="167"/>
      <c r="K146" s="167"/>
      <c r="L146" s="167"/>
      <c r="M146" s="168"/>
      <c r="N146" s="168"/>
      <c r="O146" s="163"/>
      <c r="P146" s="163"/>
      <c r="Q146" s="163"/>
    </row>
    <row r="147" spans="1:17" s="169" customFormat="1" ht="30.75" customHeight="1" x14ac:dyDescent="0.4">
      <c r="A147" s="163"/>
      <c r="B147" s="163"/>
      <c r="C147" s="163"/>
      <c r="D147" s="163"/>
      <c r="E147" s="164"/>
      <c r="F147" s="165"/>
      <c r="G147" s="164"/>
      <c r="H147" s="163"/>
      <c r="I147" s="166"/>
      <c r="J147" s="167"/>
      <c r="K147" s="167"/>
      <c r="L147" s="167"/>
      <c r="M147" s="168"/>
      <c r="N147" s="168"/>
      <c r="O147" s="163"/>
      <c r="P147" s="163"/>
      <c r="Q147" s="163"/>
    </row>
    <row r="148" spans="1:17" s="169" customFormat="1" ht="30.75" customHeight="1" x14ac:dyDescent="0.4">
      <c r="A148" s="163"/>
      <c r="B148" s="163"/>
      <c r="C148" s="163"/>
      <c r="D148" s="163"/>
      <c r="E148" s="164"/>
      <c r="F148" s="165"/>
      <c r="G148" s="164"/>
      <c r="H148" s="163"/>
      <c r="I148" s="166"/>
      <c r="J148" s="167"/>
      <c r="K148" s="167"/>
      <c r="L148" s="167"/>
      <c r="M148" s="168"/>
      <c r="N148" s="168"/>
      <c r="O148" s="163"/>
      <c r="P148" s="163"/>
      <c r="Q148" s="163"/>
    </row>
    <row r="149" spans="1:17" s="169" customFormat="1" ht="30.75" customHeight="1" x14ac:dyDescent="0.4">
      <c r="A149" s="163"/>
      <c r="B149" s="163"/>
      <c r="C149" s="163"/>
      <c r="D149" s="163"/>
      <c r="E149" s="164"/>
      <c r="F149" s="165"/>
      <c r="G149" s="164"/>
      <c r="H149" s="163"/>
      <c r="I149" s="166"/>
      <c r="J149" s="167"/>
      <c r="K149" s="167"/>
      <c r="L149" s="167"/>
      <c r="M149" s="168"/>
      <c r="N149" s="168"/>
      <c r="O149" s="163"/>
      <c r="P149" s="163"/>
      <c r="Q149" s="163"/>
    </row>
    <row r="150" spans="1:17" s="169" customFormat="1" ht="30.75" customHeight="1" x14ac:dyDescent="0.4">
      <c r="A150" s="163"/>
      <c r="B150" s="163"/>
      <c r="C150" s="163"/>
      <c r="D150" s="163"/>
      <c r="E150" s="164"/>
      <c r="F150" s="165"/>
      <c r="G150" s="164"/>
      <c r="H150" s="163"/>
      <c r="I150" s="166"/>
      <c r="J150" s="167"/>
      <c r="K150" s="167"/>
      <c r="L150" s="167"/>
      <c r="M150" s="168"/>
      <c r="N150" s="168"/>
      <c r="O150" s="163"/>
      <c r="P150" s="163"/>
      <c r="Q150" s="163"/>
    </row>
    <row r="151" spans="1:17" s="169" customFormat="1" ht="30.75" customHeight="1" x14ac:dyDescent="0.4">
      <c r="A151" s="163"/>
      <c r="B151" s="163"/>
      <c r="C151" s="163"/>
      <c r="D151" s="163"/>
      <c r="E151" s="164"/>
      <c r="F151" s="165"/>
      <c r="G151" s="164"/>
      <c r="H151" s="163"/>
      <c r="I151" s="166"/>
      <c r="J151" s="167"/>
      <c r="K151" s="167"/>
      <c r="L151" s="167"/>
      <c r="M151" s="168"/>
      <c r="N151" s="168"/>
      <c r="O151" s="163"/>
      <c r="P151" s="163"/>
      <c r="Q151" s="163"/>
    </row>
    <row r="152" spans="1:17" s="169" customFormat="1" ht="30.75" customHeight="1" x14ac:dyDescent="0.4">
      <c r="A152" s="163"/>
      <c r="B152" s="163"/>
      <c r="C152" s="163"/>
      <c r="D152" s="163"/>
      <c r="E152" s="164"/>
      <c r="F152" s="165"/>
      <c r="G152" s="164"/>
      <c r="H152" s="163"/>
      <c r="I152" s="166"/>
      <c r="J152" s="167"/>
      <c r="K152" s="167"/>
      <c r="L152" s="167"/>
      <c r="M152" s="168"/>
      <c r="N152" s="168"/>
      <c r="O152" s="163"/>
      <c r="P152" s="163"/>
      <c r="Q152" s="163"/>
    </row>
    <row r="153" spans="1:17" s="169" customFormat="1" ht="30.75" customHeight="1" x14ac:dyDescent="0.4">
      <c r="A153" s="163"/>
      <c r="B153" s="163"/>
      <c r="C153" s="163"/>
      <c r="D153" s="163"/>
      <c r="E153" s="164"/>
      <c r="F153" s="165"/>
      <c r="G153" s="164"/>
      <c r="H153" s="163"/>
      <c r="I153" s="166"/>
      <c r="J153" s="167"/>
      <c r="K153" s="167"/>
      <c r="L153" s="167"/>
      <c r="M153" s="168"/>
      <c r="N153" s="168"/>
      <c r="O153" s="163"/>
      <c r="P153" s="163"/>
      <c r="Q153" s="163"/>
    </row>
    <row r="154" spans="1:17" s="169" customFormat="1" ht="30.75" customHeight="1" x14ac:dyDescent="0.4">
      <c r="A154" s="163"/>
      <c r="B154" s="163"/>
      <c r="C154" s="163"/>
      <c r="D154" s="163"/>
      <c r="E154" s="164"/>
      <c r="F154" s="165"/>
      <c r="G154" s="164"/>
      <c r="H154" s="163"/>
      <c r="I154" s="166"/>
      <c r="J154" s="167"/>
      <c r="K154" s="167"/>
      <c r="L154" s="167"/>
      <c r="M154" s="168"/>
      <c r="N154" s="168"/>
      <c r="O154" s="163"/>
      <c r="P154" s="163"/>
      <c r="Q154" s="163"/>
    </row>
    <row r="155" spans="1:17" s="169" customFormat="1" ht="30.75" customHeight="1" x14ac:dyDescent="0.4">
      <c r="A155" s="163"/>
      <c r="B155" s="163"/>
      <c r="C155" s="163"/>
      <c r="D155" s="163"/>
      <c r="E155" s="164"/>
      <c r="F155" s="165"/>
      <c r="G155" s="164"/>
      <c r="H155" s="163"/>
      <c r="I155" s="166"/>
      <c r="J155" s="167"/>
      <c r="K155" s="167"/>
      <c r="L155" s="167"/>
      <c r="M155" s="168"/>
      <c r="N155" s="168"/>
      <c r="O155" s="163"/>
      <c r="P155" s="163"/>
      <c r="Q155" s="163"/>
    </row>
    <row r="156" spans="1:17" s="169" customFormat="1" ht="30.75" customHeight="1" x14ac:dyDescent="0.4">
      <c r="A156" s="163"/>
      <c r="B156" s="163"/>
      <c r="C156" s="163"/>
      <c r="D156" s="163"/>
      <c r="E156" s="164"/>
      <c r="F156" s="165"/>
      <c r="G156" s="164"/>
      <c r="H156" s="163"/>
      <c r="I156" s="166"/>
      <c r="J156" s="167"/>
      <c r="K156" s="167"/>
      <c r="L156" s="167"/>
      <c r="M156" s="168"/>
      <c r="N156" s="168"/>
      <c r="O156" s="163"/>
      <c r="P156" s="163"/>
      <c r="Q156" s="163"/>
    </row>
    <row r="157" spans="1:17" s="169" customFormat="1" ht="30.75" customHeight="1" x14ac:dyDescent="0.4">
      <c r="A157" s="163"/>
      <c r="B157" s="163"/>
      <c r="C157" s="163"/>
      <c r="D157" s="163"/>
      <c r="E157" s="164"/>
      <c r="F157" s="165"/>
      <c r="G157" s="164"/>
      <c r="H157" s="163"/>
      <c r="I157" s="166"/>
      <c r="J157" s="167"/>
      <c r="K157" s="167"/>
      <c r="L157" s="167"/>
      <c r="M157" s="168"/>
      <c r="N157" s="168"/>
      <c r="O157" s="163"/>
      <c r="P157" s="163"/>
      <c r="Q157" s="163"/>
    </row>
    <row r="158" spans="1:17" s="169" customFormat="1" ht="30.75" customHeight="1" x14ac:dyDescent="0.4">
      <c r="A158" s="163"/>
      <c r="B158" s="163"/>
      <c r="C158" s="163"/>
      <c r="D158" s="163"/>
      <c r="E158" s="164"/>
      <c r="F158" s="165"/>
      <c r="G158" s="164"/>
      <c r="H158" s="163"/>
      <c r="I158" s="166"/>
      <c r="J158" s="167"/>
      <c r="K158" s="167"/>
      <c r="L158" s="167"/>
      <c r="M158" s="168"/>
      <c r="N158" s="168"/>
      <c r="O158" s="163"/>
      <c r="P158" s="163"/>
      <c r="Q158" s="163"/>
    </row>
    <row r="159" spans="1:17" s="169" customFormat="1" ht="30.75" customHeight="1" x14ac:dyDescent="0.4">
      <c r="A159" s="163"/>
      <c r="B159" s="163"/>
      <c r="C159" s="163"/>
      <c r="D159" s="163"/>
      <c r="E159" s="164"/>
      <c r="F159" s="165"/>
      <c r="G159" s="164"/>
      <c r="H159" s="163"/>
      <c r="I159" s="166"/>
      <c r="J159" s="167"/>
      <c r="K159" s="167"/>
      <c r="L159" s="167"/>
      <c r="M159" s="168"/>
      <c r="N159" s="168"/>
      <c r="O159" s="163"/>
      <c r="P159" s="163"/>
      <c r="Q159" s="163"/>
    </row>
    <row r="160" spans="1:17" s="169" customFormat="1" ht="30.75" customHeight="1" x14ac:dyDescent="0.4">
      <c r="A160" s="163"/>
      <c r="B160" s="163"/>
      <c r="C160" s="163"/>
      <c r="D160" s="163"/>
      <c r="E160" s="164"/>
      <c r="F160" s="165"/>
      <c r="G160" s="164"/>
      <c r="H160" s="163"/>
      <c r="I160" s="166"/>
      <c r="J160" s="167"/>
      <c r="K160" s="167"/>
      <c r="L160" s="167"/>
      <c r="M160" s="168"/>
      <c r="N160" s="168"/>
      <c r="O160" s="163"/>
      <c r="P160" s="163"/>
      <c r="Q160" s="163"/>
    </row>
    <row r="161" spans="1:17" s="169" customFormat="1" ht="30.75" customHeight="1" x14ac:dyDescent="0.4">
      <c r="A161" s="163"/>
      <c r="B161" s="163"/>
      <c r="C161" s="163"/>
      <c r="D161" s="163"/>
      <c r="E161" s="164"/>
      <c r="F161" s="165"/>
      <c r="G161" s="164"/>
      <c r="H161" s="163"/>
      <c r="I161" s="166"/>
      <c r="J161" s="167"/>
      <c r="K161" s="167"/>
      <c r="L161" s="167"/>
      <c r="M161" s="168"/>
      <c r="N161" s="168"/>
      <c r="O161" s="163"/>
      <c r="P161" s="163"/>
      <c r="Q161" s="163"/>
    </row>
    <row r="162" spans="1:17" s="169" customFormat="1" ht="30.75" customHeight="1" x14ac:dyDescent="0.4">
      <c r="A162" s="163"/>
      <c r="B162" s="163"/>
      <c r="C162" s="163"/>
      <c r="D162" s="163"/>
      <c r="E162" s="164"/>
      <c r="F162" s="165"/>
      <c r="G162" s="164"/>
      <c r="H162" s="163"/>
      <c r="I162" s="166"/>
      <c r="J162" s="167"/>
      <c r="K162" s="167"/>
      <c r="L162" s="167"/>
      <c r="M162" s="168"/>
      <c r="N162" s="168"/>
      <c r="O162" s="163"/>
      <c r="P162" s="163"/>
      <c r="Q162" s="163"/>
    </row>
    <row r="163" spans="1:17" s="169" customFormat="1" ht="30.75" customHeight="1" x14ac:dyDescent="0.4">
      <c r="A163" s="163"/>
      <c r="B163" s="163"/>
      <c r="C163" s="163"/>
      <c r="D163" s="163"/>
      <c r="E163" s="164"/>
      <c r="F163" s="165"/>
      <c r="G163" s="164"/>
      <c r="H163" s="163"/>
      <c r="I163" s="166"/>
      <c r="J163" s="167"/>
      <c r="K163" s="167"/>
      <c r="L163" s="167"/>
      <c r="M163" s="168"/>
      <c r="N163" s="168"/>
      <c r="O163" s="163"/>
      <c r="P163" s="163"/>
      <c r="Q163" s="163"/>
    </row>
    <row r="164" spans="1:17" s="169" customFormat="1" ht="30.75" customHeight="1" x14ac:dyDescent="0.4">
      <c r="A164" s="163"/>
      <c r="B164" s="163"/>
      <c r="C164" s="163"/>
      <c r="D164" s="163"/>
      <c r="E164" s="164"/>
      <c r="F164" s="165"/>
      <c r="G164" s="164"/>
      <c r="H164" s="163"/>
      <c r="I164" s="166"/>
      <c r="J164" s="167"/>
      <c r="K164" s="167"/>
      <c r="L164" s="167"/>
      <c r="M164" s="168"/>
      <c r="N164" s="168"/>
      <c r="O164" s="163"/>
      <c r="P164" s="163"/>
      <c r="Q164" s="163"/>
    </row>
    <row r="165" spans="1:17" s="169" customFormat="1" ht="30.75" customHeight="1" x14ac:dyDescent="0.4">
      <c r="A165" s="163"/>
      <c r="B165" s="163"/>
      <c r="C165" s="163"/>
      <c r="D165" s="163"/>
      <c r="E165" s="164"/>
      <c r="F165" s="165"/>
      <c r="G165" s="164"/>
      <c r="H165" s="163"/>
      <c r="I165" s="166"/>
      <c r="J165" s="167"/>
      <c r="K165" s="167"/>
      <c r="L165" s="167"/>
      <c r="M165" s="168"/>
      <c r="N165" s="168"/>
      <c r="O165" s="163"/>
      <c r="P165" s="163"/>
      <c r="Q165" s="163"/>
    </row>
    <row r="166" spans="1:17" s="169" customFormat="1" ht="30.75" customHeight="1" x14ac:dyDescent="0.4">
      <c r="A166" s="163"/>
      <c r="B166" s="163"/>
      <c r="C166" s="163"/>
      <c r="D166" s="163"/>
      <c r="E166" s="164"/>
      <c r="F166" s="165"/>
      <c r="G166" s="164"/>
      <c r="H166" s="163"/>
      <c r="I166" s="166"/>
      <c r="J166" s="167"/>
      <c r="K166" s="167"/>
      <c r="L166" s="167"/>
      <c r="M166" s="168"/>
      <c r="N166" s="168"/>
      <c r="O166" s="163"/>
      <c r="P166" s="163"/>
      <c r="Q166" s="163"/>
    </row>
    <row r="167" spans="1:17" s="169" customFormat="1" ht="30.75" customHeight="1" x14ac:dyDescent="0.4">
      <c r="A167" s="163"/>
      <c r="B167" s="163"/>
      <c r="C167" s="163"/>
      <c r="D167" s="163"/>
      <c r="E167" s="164"/>
      <c r="F167" s="165"/>
      <c r="G167" s="164"/>
      <c r="H167" s="163"/>
      <c r="I167" s="166"/>
      <c r="J167" s="167"/>
      <c r="K167" s="167"/>
      <c r="L167" s="167"/>
      <c r="M167" s="168"/>
      <c r="N167" s="168"/>
      <c r="O167" s="163"/>
      <c r="P167" s="163"/>
      <c r="Q167" s="163"/>
    </row>
    <row r="168" spans="1:17" s="169" customFormat="1" ht="30.75" customHeight="1" x14ac:dyDescent="0.4">
      <c r="A168" s="163"/>
      <c r="B168" s="163"/>
      <c r="C168" s="163"/>
      <c r="D168" s="163"/>
      <c r="E168" s="164"/>
      <c r="F168" s="165"/>
      <c r="G168" s="164"/>
      <c r="H168" s="163"/>
      <c r="I168" s="166"/>
      <c r="J168" s="167"/>
      <c r="K168" s="167"/>
      <c r="L168" s="167"/>
      <c r="M168" s="168"/>
      <c r="N168" s="168"/>
      <c r="O168" s="163"/>
      <c r="P168" s="163"/>
      <c r="Q168" s="163"/>
    </row>
    <row r="169" spans="1:17" s="169" customFormat="1" ht="30.75" customHeight="1" x14ac:dyDescent="0.4">
      <c r="A169" s="163"/>
      <c r="B169" s="163"/>
      <c r="C169" s="163"/>
      <c r="D169" s="163"/>
      <c r="E169" s="164"/>
      <c r="F169" s="165"/>
      <c r="G169" s="164"/>
      <c r="H169" s="163"/>
      <c r="I169" s="166"/>
      <c r="J169" s="167"/>
      <c r="K169" s="167"/>
      <c r="L169" s="167"/>
      <c r="M169" s="168"/>
      <c r="N169" s="168"/>
      <c r="O169" s="163"/>
      <c r="P169" s="163"/>
      <c r="Q169" s="163"/>
    </row>
    <row r="170" spans="1:17" s="169" customFormat="1" ht="30.75" customHeight="1" x14ac:dyDescent="0.4">
      <c r="A170" s="163"/>
      <c r="B170" s="163"/>
      <c r="C170" s="163"/>
      <c r="D170" s="163"/>
      <c r="E170" s="164"/>
      <c r="F170" s="165"/>
      <c r="G170" s="164"/>
      <c r="H170" s="163"/>
      <c r="I170" s="166"/>
      <c r="J170" s="167"/>
      <c r="K170" s="167"/>
      <c r="L170" s="167"/>
      <c r="M170" s="168"/>
      <c r="N170" s="168"/>
      <c r="O170" s="163"/>
      <c r="P170" s="163"/>
      <c r="Q170" s="163"/>
    </row>
    <row r="171" spans="1:17" s="169" customFormat="1" ht="30.75" customHeight="1" x14ac:dyDescent="0.4">
      <c r="A171" s="163"/>
      <c r="B171" s="163"/>
      <c r="C171" s="163"/>
      <c r="D171" s="163"/>
      <c r="E171" s="164"/>
      <c r="F171" s="165"/>
      <c r="G171" s="164"/>
      <c r="H171" s="163"/>
      <c r="I171" s="166"/>
      <c r="J171" s="167"/>
      <c r="K171" s="167"/>
      <c r="L171" s="167"/>
      <c r="M171" s="168"/>
      <c r="N171" s="168"/>
      <c r="O171" s="163"/>
      <c r="P171" s="163"/>
      <c r="Q171" s="163"/>
    </row>
    <row r="172" spans="1:17" s="169" customFormat="1" ht="30.75" customHeight="1" x14ac:dyDescent="0.4">
      <c r="A172" s="163"/>
      <c r="B172" s="163"/>
      <c r="C172" s="163"/>
      <c r="D172" s="163"/>
      <c r="E172" s="164"/>
      <c r="F172" s="165"/>
      <c r="G172" s="164"/>
      <c r="H172" s="163"/>
      <c r="I172" s="166"/>
      <c r="J172" s="167"/>
      <c r="K172" s="167"/>
      <c r="L172" s="167"/>
      <c r="M172" s="168"/>
      <c r="N172" s="168"/>
      <c r="O172" s="163"/>
      <c r="P172" s="163"/>
      <c r="Q172" s="163"/>
    </row>
    <row r="173" spans="1:17" s="169" customFormat="1" ht="30.75" customHeight="1" x14ac:dyDescent="0.4">
      <c r="A173" s="163"/>
      <c r="B173" s="163"/>
      <c r="C173" s="163"/>
      <c r="D173" s="163"/>
      <c r="E173" s="164"/>
      <c r="F173" s="165"/>
      <c r="G173" s="164"/>
      <c r="H173" s="163"/>
      <c r="I173" s="166"/>
      <c r="J173" s="167"/>
      <c r="K173" s="167"/>
      <c r="L173" s="167"/>
      <c r="M173" s="168"/>
      <c r="N173" s="168"/>
      <c r="O173" s="163"/>
      <c r="P173" s="163"/>
      <c r="Q173" s="163"/>
    </row>
    <row r="174" spans="1:17" s="169" customFormat="1" ht="30.75" customHeight="1" x14ac:dyDescent="0.4">
      <c r="A174" s="163"/>
      <c r="B174" s="163"/>
      <c r="C174" s="163"/>
      <c r="D174" s="163"/>
      <c r="E174" s="164"/>
      <c r="F174" s="165"/>
      <c r="G174" s="164"/>
      <c r="H174" s="163"/>
      <c r="I174" s="166"/>
      <c r="J174" s="167"/>
      <c r="K174" s="167"/>
      <c r="L174" s="167"/>
      <c r="M174" s="168"/>
      <c r="N174" s="168"/>
      <c r="O174" s="163"/>
      <c r="P174" s="163"/>
      <c r="Q174" s="163"/>
    </row>
    <row r="175" spans="1:17" s="169" customFormat="1" ht="30.75" customHeight="1" x14ac:dyDescent="0.4">
      <c r="A175" s="163"/>
      <c r="B175" s="163"/>
      <c r="C175" s="163"/>
      <c r="D175" s="163"/>
      <c r="E175" s="164"/>
      <c r="F175" s="165"/>
      <c r="G175" s="164"/>
      <c r="H175" s="163"/>
      <c r="I175" s="166"/>
      <c r="J175" s="167"/>
      <c r="K175" s="167"/>
      <c r="L175" s="167"/>
      <c r="M175" s="168"/>
      <c r="N175" s="168"/>
      <c r="O175" s="163"/>
      <c r="P175" s="163"/>
      <c r="Q175" s="163"/>
    </row>
    <row r="176" spans="1:17" s="169" customFormat="1" ht="30.75" customHeight="1" x14ac:dyDescent="0.4">
      <c r="A176" s="163"/>
      <c r="B176" s="163"/>
      <c r="C176" s="163"/>
      <c r="D176" s="163"/>
      <c r="E176" s="164"/>
      <c r="F176" s="165"/>
      <c r="G176" s="164"/>
      <c r="H176" s="163"/>
      <c r="I176" s="166"/>
      <c r="J176" s="167"/>
      <c r="K176" s="167"/>
      <c r="L176" s="167"/>
      <c r="M176" s="168"/>
      <c r="N176" s="168"/>
      <c r="O176" s="163"/>
      <c r="P176" s="163"/>
      <c r="Q176" s="163"/>
    </row>
    <row r="177" spans="1:17" s="169" customFormat="1" ht="30.75" customHeight="1" x14ac:dyDescent="0.4">
      <c r="A177" s="163"/>
      <c r="B177" s="163"/>
      <c r="C177" s="163"/>
      <c r="D177" s="163"/>
      <c r="E177" s="164"/>
      <c r="F177" s="165"/>
      <c r="G177" s="164"/>
      <c r="H177" s="163"/>
      <c r="I177" s="166"/>
      <c r="J177" s="167"/>
      <c r="K177" s="167"/>
      <c r="L177" s="167"/>
      <c r="M177" s="168"/>
      <c r="N177" s="168"/>
      <c r="O177" s="163"/>
      <c r="P177" s="163"/>
      <c r="Q177" s="163"/>
    </row>
    <row r="178" spans="1:17" s="169" customFormat="1" ht="30.75" customHeight="1" x14ac:dyDescent="0.4">
      <c r="A178" s="163"/>
      <c r="B178" s="163"/>
      <c r="C178" s="163"/>
      <c r="D178" s="163"/>
      <c r="E178" s="164"/>
      <c r="F178" s="165"/>
      <c r="G178" s="164"/>
      <c r="H178" s="163"/>
      <c r="I178" s="166"/>
      <c r="J178" s="167"/>
      <c r="K178" s="167"/>
      <c r="L178" s="167"/>
      <c r="M178" s="168"/>
      <c r="N178" s="168"/>
      <c r="O178" s="163"/>
      <c r="P178" s="163"/>
      <c r="Q178" s="163"/>
    </row>
    <row r="179" spans="1:17" s="169" customFormat="1" ht="30.75" customHeight="1" x14ac:dyDescent="0.4">
      <c r="A179" s="163"/>
      <c r="B179" s="163"/>
      <c r="C179" s="163"/>
      <c r="D179" s="163"/>
      <c r="E179" s="164"/>
      <c r="F179" s="165"/>
      <c r="G179" s="164"/>
      <c r="H179" s="163"/>
      <c r="I179" s="166"/>
      <c r="J179" s="167"/>
      <c r="K179" s="167"/>
      <c r="L179" s="167"/>
      <c r="M179" s="168"/>
      <c r="N179" s="168"/>
      <c r="O179" s="163"/>
      <c r="P179" s="163"/>
      <c r="Q179" s="163"/>
    </row>
    <row r="180" spans="1:17" s="169" customFormat="1" ht="30.75" customHeight="1" x14ac:dyDescent="0.4">
      <c r="A180" s="163"/>
      <c r="B180" s="163"/>
      <c r="C180" s="163"/>
      <c r="D180" s="163"/>
      <c r="E180" s="164"/>
      <c r="F180" s="165"/>
      <c r="G180" s="164"/>
      <c r="H180" s="163"/>
      <c r="I180" s="166"/>
      <c r="J180" s="167"/>
      <c r="K180" s="167"/>
      <c r="L180" s="167"/>
      <c r="M180" s="168"/>
      <c r="N180" s="168"/>
      <c r="O180" s="163"/>
      <c r="P180" s="163"/>
      <c r="Q180" s="163"/>
    </row>
    <row r="181" spans="1:17" s="169" customFormat="1" ht="30.75" customHeight="1" x14ac:dyDescent="0.4">
      <c r="A181" s="163"/>
      <c r="B181" s="163"/>
      <c r="C181" s="163"/>
      <c r="D181" s="163"/>
      <c r="E181" s="164"/>
      <c r="F181" s="165"/>
      <c r="G181" s="164"/>
      <c r="H181" s="163"/>
      <c r="I181" s="166"/>
      <c r="J181" s="167"/>
      <c r="K181" s="167"/>
      <c r="L181" s="167"/>
      <c r="M181" s="168"/>
      <c r="N181" s="168"/>
      <c r="O181" s="163"/>
      <c r="P181" s="163"/>
      <c r="Q181" s="163"/>
    </row>
    <row r="182" spans="1:17" s="169" customFormat="1" ht="30.75" customHeight="1" x14ac:dyDescent="0.4">
      <c r="A182" s="163"/>
      <c r="B182" s="163"/>
      <c r="C182" s="163"/>
      <c r="D182" s="163"/>
      <c r="E182" s="164"/>
      <c r="F182" s="165"/>
      <c r="G182" s="164"/>
      <c r="H182" s="163"/>
      <c r="I182" s="166"/>
      <c r="J182" s="167"/>
      <c r="K182" s="167"/>
      <c r="L182" s="167"/>
      <c r="M182" s="168"/>
      <c r="N182" s="168"/>
      <c r="O182" s="163"/>
      <c r="P182" s="163"/>
      <c r="Q182" s="163"/>
    </row>
    <row r="183" spans="1:17" s="169" customFormat="1" ht="30.75" customHeight="1" x14ac:dyDescent="0.4">
      <c r="A183" s="163"/>
      <c r="B183" s="163"/>
      <c r="C183" s="163"/>
      <c r="D183" s="163"/>
      <c r="E183" s="164"/>
      <c r="F183" s="165"/>
      <c r="G183" s="164"/>
      <c r="H183" s="163"/>
      <c r="I183" s="166"/>
      <c r="J183" s="167"/>
      <c r="K183" s="167"/>
      <c r="L183" s="167"/>
      <c r="M183" s="168"/>
      <c r="N183" s="168"/>
      <c r="O183" s="163"/>
      <c r="P183" s="163"/>
      <c r="Q183" s="163"/>
    </row>
    <row r="184" spans="1:17" s="169" customFormat="1" ht="30.75" customHeight="1" x14ac:dyDescent="0.4">
      <c r="A184" s="163"/>
      <c r="B184" s="163"/>
      <c r="C184" s="163"/>
      <c r="D184" s="163"/>
      <c r="E184" s="164"/>
      <c r="F184" s="165"/>
      <c r="G184" s="164"/>
      <c r="H184" s="163"/>
      <c r="I184" s="166"/>
      <c r="J184" s="167"/>
      <c r="K184" s="167"/>
      <c r="L184" s="167"/>
      <c r="M184" s="168"/>
      <c r="N184" s="168"/>
      <c r="O184" s="163"/>
      <c r="P184" s="163"/>
      <c r="Q184" s="163"/>
    </row>
    <row r="185" spans="1:17" s="169" customFormat="1" ht="30.75" customHeight="1" x14ac:dyDescent="0.4">
      <c r="A185" s="163"/>
      <c r="B185" s="163"/>
      <c r="C185" s="163"/>
      <c r="D185" s="163"/>
      <c r="E185" s="164"/>
      <c r="F185" s="165"/>
      <c r="G185" s="164"/>
      <c r="H185" s="163"/>
      <c r="I185" s="166"/>
      <c r="J185" s="167"/>
      <c r="K185" s="167"/>
      <c r="L185" s="167"/>
      <c r="M185" s="168"/>
      <c r="N185" s="168"/>
      <c r="O185" s="163"/>
      <c r="P185" s="163"/>
      <c r="Q185" s="163"/>
    </row>
    <row r="186" spans="1:17" s="169" customFormat="1" ht="30.75" customHeight="1" x14ac:dyDescent="0.4">
      <c r="A186" s="163"/>
      <c r="B186" s="163"/>
      <c r="C186" s="163"/>
      <c r="D186" s="163"/>
      <c r="E186" s="164"/>
      <c r="F186" s="165"/>
      <c r="G186" s="164"/>
      <c r="H186" s="163"/>
      <c r="I186" s="166"/>
      <c r="J186" s="167"/>
      <c r="K186" s="167"/>
      <c r="L186" s="167"/>
      <c r="M186" s="168"/>
      <c r="N186" s="168"/>
      <c r="O186" s="163"/>
      <c r="P186" s="163"/>
      <c r="Q186" s="163"/>
    </row>
    <row r="187" spans="1:17" s="169" customFormat="1" ht="30.75" customHeight="1" x14ac:dyDescent="0.4">
      <c r="A187" s="163"/>
      <c r="B187" s="163"/>
      <c r="C187" s="163"/>
      <c r="D187" s="163"/>
      <c r="E187" s="164"/>
      <c r="F187" s="165"/>
      <c r="G187" s="164"/>
      <c r="H187" s="163"/>
      <c r="I187" s="166"/>
      <c r="J187" s="167"/>
      <c r="K187" s="167"/>
      <c r="L187" s="167"/>
      <c r="M187" s="168"/>
      <c r="N187" s="168"/>
      <c r="O187" s="163"/>
      <c r="P187" s="163"/>
      <c r="Q187" s="163"/>
    </row>
    <row r="188" spans="1:17" s="169" customFormat="1" ht="30.75" customHeight="1" x14ac:dyDescent="0.4">
      <c r="A188" s="163"/>
      <c r="B188" s="163"/>
      <c r="C188" s="163"/>
      <c r="D188" s="163"/>
      <c r="E188" s="164"/>
      <c r="F188" s="165"/>
      <c r="G188" s="164"/>
      <c r="H188" s="163"/>
      <c r="I188" s="166"/>
      <c r="J188" s="167"/>
      <c r="K188" s="167"/>
      <c r="L188" s="167"/>
      <c r="M188" s="168"/>
      <c r="N188" s="168"/>
      <c r="O188" s="163"/>
      <c r="P188" s="163"/>
      <c r="Q188" s="163"/>
    </row>
    <row r="189" spans="1:17" s="169" customFormat="1" ht="30.75" customHeight="1" x14ac:dyDescent="0.4">
      <c r="A189" s="163"/>
      <c r="B189" s="163"/>
      <c r="C189" s="163"/>
      <c r="D189" s="163"/>
      <c r="E189" s="164"/>
      <c r="F189" s="165"/>
      <c r="G189" s="164"/>
      <c r="H189" s="163"/>
      <c r="I189" s="166"/>
      <c r="J189" s="167"/>
      <c r="K189" s="167"/>
      <c r="L189" s="167"/>
      <c r="M189" s="168"/>
      <c r="N189" s="168"/>
      <c r="O189" s="163"/>
      <c r="P189" s="163"/>
      <c r="Q189" s="163"/>
    </row>
    <row r="190" spans="1:17" s="169" customFormat="1" ht="30.75" customHeight="1" x14ac:dyDescent="0.4">
      <c r="A190" s="163"/>
      <c r="B190" s="163"/>
      <c r="C190" s="163"/>
      <c r="D190" s="163"/>
      <c r="E190" s="164"/>
      <c r="F190" s="165"/>
      <c r="G190" s="164"/>
      <c r="H190" s="163"/>
      <c r="I190" s="166"/>
      <c r="J190" s="167"/>
      <c r="K190" s="167"/>
      <c r="L190" s="167"/>
      <c r="M190" s="168"/>
      <c r="N190" s="168"/>
      <c r="O190" s="163"/>
      <c r="P190" s="163"/>
      <c r="Q190" s="163"/>
    </row>
    <row r="191" spans="1:17" s="169" customFormat="1" ht="30.75" customHeight="1" x14ac:dyDescent="0.4">
      <c r="A191" s="163"/>
      <c r="B191" s="163"/>
      <c r="C191" s="163"/>
      <c r="D191" s="163"/>
      <c r="E191" s="164"/>
      <c r="F191" s="165"/>
      <c r="G191" s="164"/>
      <c r="H191" s="163"/>
      <c r="I191" s="166"/>
      <c r="J191" s="167"/>
      <c r="K191" s="167"/>
      <c r="L191" s="167"/>
      <c r="M191" s="168"/>
      <c r="N191" s="168"/>
      <c r="O191" s="163"/>
      <c r="P191" s="163"/>
      <c r="Q191" s="163"/>
    </row>
    <row r="192" spans="1:17" s="169" customFormat="1" ht="30.75" customHeight="1" x14ac:dyDescent="0.4">
      <c r="A192" s="163"/>
      <c r="B192" s="163"/>
      <c r="C192" s="163"/>
      <c r="D192" s="163"/>
      <c r="E192" s="164"/>
      <c r="F192" s="165"/>
      <c r="G192" s="164"/>
      <c r="H192" s="163"/>
      <c r="I192" s="166"/>
      <c r="J192" s="167"/>
      <c r="K192" s="167"/>
      <c r="L192" s="167"/>
      <c r="M192" s="168"/>
      <c r="N192" s="168"/>
      <c r="O192" s="163"/>
      <c r="P192" s="163"/>
      <c r="Q192" s="163"/>
    </row>
    <row r="193" spans="1:17" s="169" customFormat="1" ht="30.75" customHeight="1" x14ac:dyDescent="0.4">
      <c r="A193" s="163"/>
      <c r="B193" s="163"/>
      <c r="C193" s="163"/>
      <c r="D193" s="163"/>
      <c r="E193" s="164"/>
      <c r="F193" s="165"/>
      <c r="G193" s="164"/>
      <c r="H193" s="163"/>
      <c r="I193" s="166"/>
      <c r="J193" s="167"/>
      <c r="K193" s="167"/>
      <c r="L193" s="167"/>
      <c r="M193" s="168"/>
      <c r="N193" s="168"/>
      <c r="O193" s="163"/>
      <c r="P193" s="163"/>
      <c r="Q193" s="163"/>
    </row>
    <row r="194" spans="1:17" s="169" customFormat="1" ht="30.75" customHeight="1" x14ac:dyDescent="0.4">
      <c r="A194" s="163"/>
      <c r="B194" s="163"/>
      <c r="C194" s="163"/>
      <c r="D194" s="163"/>
      <c r="E194" s="164"/>
      <c r="F194" s="165"/>
      <c r="G194" s="164"/>
      <c r="H194" s="163"/>
      <c r="I194" s="166"/>
      <c r="J194" s="167"/>
      <c r="K194" s="167"/>
      <c r="L194" s="167"/>
      <c r="M194" s="168"/>
      <c r="N194" s="168"/>
      <c r="O194" s="163"/>
      <c r="P194" s="163"/>
      <c r="Q194" s="163"/>
    </row>
    <row r="195" spans="1:17" s="169" customFormat="1" ht="30.75" customHeight="1" x14ac:dyDescent="0.4">
      <c r="A195" s="163"/>
      <c r="B195" s="163"/>
      <c r="C195" s="163"/>
      <c r="D195" s="163"/>
      <c r="E195" s="164"/>
      <c r="F195" s="165"/>
      <c r="G195" s="164"/>
      <c r="H195" s="163"/>
      <c r="I195" s="166"/>
      <c r="J195" s="167"/>
      <c r="K195" s="167"/>
      <c r="L195" s="167"/>
      <c r="M195" s="168"/>
      <c r="N195" s="168"/>
      <c r="O195" s="163"/>
      <c r="P195" s="163"/>
      <c r="Q195" s="163"/>
    </row>
    <row r="196" spans="1:17" s="169" customFormat="1" ht="30.75" customHeight="1" x14ac:dyDescent="0.4">
      <c r="A196" s="163"/>
      <c r="B196" s="163"/>
      <c r="C196" s="163"/>
      <c r="D196" s="163"/>
      <c r="E196" s="164"/>
      <c r="F196" s="165"/>
      <c r="G196" s="164"/>
      <c r="H196" s="163"/>
      <c r="I196" s="166"/>
      <c r="J196" s="167"/>
      <c r="K196" s="167"/>
      <c r="L196" s="167"/>
      <c r="M196" s="168"/>
      <c r="N196" s="168"/>
      <c r="O196" s="163"/>
      <c r="P196" s="163"/>
      <c r="Q196" s="163"/>
    </row>
    <row r="197" spans="1:17" s="169" customFormat="1" ht="30.75" customHeight="1" x14ac:dyDescent="0.4">
      <c r="A197" s="163"/>
      <c r="B197" s="163"/>
      <c r="C197" s="163"/>
      <c r="D197" s="163"/>
      <c r="E197" s="164"/>
      <c r="F197" s="165"/>
      <c r="G197" s="164"/>
      <c r="H197" s="163"/>
      <c r="I197" s="166"/>
      <c r="J197" s="167"/>
      <c r="K197" s="167"/>
      <c r="L197" s="167"/>
      <c r="M197" s="168"/>
      <c r="N197" s="168"/>
      <c r="O197" s="163"/>
      <c r="P197" s="163"/>
      <c r="Q197" s="163"/>
    </row>
    <row r="198" spans="1:17" s="169" customFormat="1" ht="30.75" customHeight="1" x14ac:dyDescent="0.4">
      <c r="A198" s="163"/>
      <c r="B198" s="163"/>
      <c r="C198" s="163"/>
      <c r="D198" s="163"/>
      <c r="E198" s="164"/>
      <c r="F198" s="165"/>
      <c r="G198" s="164"/>
      <c r="H198" s="163"/>
      <c r="I198" s="166"/>
      <c r="J198" s="167"/>
      <c r="K198" s="167"/>
      <c r="L198" s="167"/>
      <c r="M198" s="168"/>
      <c r="N198" s="168"/>
      <c r="O198" s="163"/>
      <c r="P198" s="163"/>
      <c r="Q198" s="163"/>
    </row>
    <row r="199" spans="1:17" s="169" customFormat="1" ht="30.75" customHeight="1" x14ac:dyDescent="0.4">
      <c r="A199" s="163"/>
      <c r="B199" s="163"/>
      <c r="C199" s="163"/>
      <c r="D199" s="163"/>
      <c r="E199" s="164"/>
      <c r="F199" s="165"/>
      <c r="G199" s="164"/>
      <c r="H199" s="163"/>
      <c r="I199" s="166"/>
      <c r="J199" s="167"/>
      <c r="K199" s="167"/>
      <c r="L199" s="167"/>
      <c r="M199" s="168"/>
      <c r="N199" s="168"/>
      <c r="O199" s="163"/>
      <c r="P199" s="163"/>
      <c r="Q199" s="163"/>
    </row>
    <row r="200" spans="1:17" s="169" customFormat="1" ht="30.75" customHeight="1" x14ac:dyDescent="0.4">
      <c r="A200" s="163"/>
      <c r="B200" s="163"/>
      <c r="C200" s="163"/>
      <c r="D200" s="163"/>
      <c r="E200" s="164"/>
      <c r="F200" s="165"/>
      <c r="G200" s="164"/>
      <c r="H200" s="163"/>
      <c r="I200" s="166"/>
      <c r="J200" s="167"/>
      <c r="K200" s="167"/>
      <c r="L200" s="167"/>
      <c r="M200" s="168"/>
      <c r="N200" s="168"/>
      <c r="O200" s="163"/>
      <c r="P200" s="163"/>
      <c r="Q200" s="163"/>
    </row>
    <row r="201" spans="1:17" s="169" customFormat="1" ht="30.75" customHeight="1" x14ac:dyDescent="0.4">
      <c r="A201" s="163"/>
      <c r="B201" s="163"/>
      <c r="C201" s="163"/>
      <c r="D201" s="163"/>
      <c r="E201" s="164"/>
      <c r="F201" s="165"/>
      <c r="G201" s="164"/>
      <c r="H201" s="163"/>
      <c r="I201" s="166"/>
      <c r="J201" s="167"/>
      <c r="K201" s="167"/>
      <c r="L201" s="167"/>
      <c r="M201" s="168"/>
      <c r="N201" s="168"/>
      <c r="O201" s="163"/>
      <c r="P201" s="163"/>
      <c r="Q201" s="163"/>
    </row>
    <row r="202" spans="1:17" s="169" customFormat="1" ht="30.75" customHeight="1" x14ac:dyDescent="0.4">
      <c r="A202" s="163"/>
      <c r="B202" s="163"/>
      <c r="C202" s="163"/>
      <c r="D202" s="163"/>
      <c r="E202" s="164"/>
      <c r="F202" s="165"/>
      <c r="G202" s="164"/>
      <c r="H202" s="163"/>
      <c r="I202" s="166"/>
      <c r="J202" s="167"/>
      <c r="K202" s="167"/>
      <c r="L202" s="167"/>
      <c r="M202" s="168"/>
      <c r="N202" s="168"/>
      <c r="O202" s="163"/>
      <c r="P202" s="163"/>
      <c r="Q202" s="163"/>
    </row>
    <row r="203" spans="1:17" s="169" customFormat="1" ht="30.75" customHeight="1" x14ac:dyDescent="0.4">
      <c r="A203" s="163"/>
      <c r="B203" s="163"/>
      <c r="C203" s="163"/>
      <c r="D203" s="163"/>
      <c r="E203" s="164"/>
      <c r="F203" s="165"/>
      <c r="G203" s="164"/>
      <c r="H203" s="163"/>
      <c r="I203" s="166"/>
      <c r="J203" s="167"/>
      <c r="K203" s="167"/>
      <c r="L203" s="167"/>
      <c r="M203" s="168"/>
      <c r="N203" s="168"/>
      <c r="O203" s="163"/>
      <c r="P203" s="163"/>
      <c r="Q203" s="163"/>
    </row>
    <row r="204" spans="1:17" s="169" customFormat="1" ht="30.75" customHeight="1" x14ac:dyDescent="0.4">
      <c r="A204" s="163"/>
      <c r="B204" s="163"/>
      <c r="C204" s="163"/>
      <c r="D204" s="163"/>
      <c r="E204" s="164"/>
      <c r="F204" s="165"/>
      <c r="G204" s="164"/>
      <c r="H204" s="163"/>
      <c r="I204" s="166"/>
      <c r="J204" s="167"/>
      <c r="K204" s="167"/>
      <c r="L204" s="167"/>
      <c r="M204" s="168"/>
      <c r="N204" s="168"/>
      <c r="O204" s="163"/>
      <c r="P204" s="163"/>
      <c r="Q204" s="163"/>
    </row>
    <row r="205" spans="1:17" s="169" customFormat="1" ht="30.75" customHeight="1" x14ac:dyDescent="0.4">
      <c r="A205" s="163"/>
      <c r="B205" s="163"/>
      <c r="C205" s="163"/>
      <c r="D205" s="163"/>
      <c r="E205" s="164"/>
      <c r="F205" s="165"/>
      <c r="G205" s="164"/>
      <c r="H205" s="163"/>
      <c r="I205" s="166"/>
      <c r="J205" s="167"/>
      <c r="K205" s="167"/>
      <c r="L205" s="167"/>
      <c r="M205" s="168"/>
      <c r="N205" s="168"/>
      <c r="O205" s="163"/>
      <c r="P205" s="163"/>
      <c r="Q205" s="163"/>
    </row>
    <row r="206" spans="1:17" s="169" customFormat="1" ht="30.75" customHeight="1" x14ac:dyDescent="0.4">
      <c r="A206" s="163"/>
      <c r="B206" s="163"/>
      <c r="C206" s="163"/>
      <c r="D206" s="163"/>
      <c r="E206" s="164"/>
      <c r="F206" s="165"/>
      <c r="G206" s="164"/>
      <c r="H206" s="163"/>
      <c r="I206" s="166"/>
      <c r="J206" s="167"/>
      <c r="K206" s="167"/>
      <c r="L206" s="167"/>
      <c r="M206" s="168"/>
      <c r="N206" s="168"/>
      <c r="O206" s="163"/>
      <c r="P206" s="163"/>
      <c r="Q206" s="163"/>
    </row>
    <row r="207" spans="1:17" s="169" customFormat="1" ht="30.75" customHeight="1" x14ac:dyDescent="0.4">
      <c r="A207" s="163"/>
      <c r="B207" s="163"/>
      <c r="C207" s="163"/>
      <c r="D207" s="163"/>
      <c r="E207" s="164"/>
      <c r="F207" s="165"/>
      <c r="G207" s="164"/>
      <c r="H207" s="163"/>
      <c r="I207" s="166"/>
      <c r="J207" s="167"/>
      <c r="K207" s="167"/>
      <c r="L207" s="167"/>
      <c r="M207" s="168"/>
      <c r="N207" s="168"/>
      <c r="O207" s="163"/>
      <c r="P207" s="163"/>
      <c r="Q207" s="163"/>
    </row>
    <row r="208" spans="1:17" s="169" customFormat="1" ht="30.75" customHeight="1" x14ac:dyDescent="0.4">
      <c r="A208" s="163"/>
      <c r="B208" s="163"/>
      <c r="C208" s="163"/>
      <c r="D208" s="163"/>
      <c r="E208" s="164"/>
      <c r="F208" s="165"/>
      <c r="G208" s="164"/>
      <c r="H208" s="163"/>
      <c r="I208" s="166"/>
      <c r="J208" s="167"/>
      <c r="K208" s="167"/>
      <c r="L208" s="167"/>
      <c r="M208" s="168"/>
      <c r="N208" s="168"/>
      <c r="O208" s="163"/>
      <c r="P208" s="163"/>
      <c r="Q208" s="163"/>
    </row>
    <row r="209" spans="1:17" s="169" customFormat="1" ht="30.75" customHeight="1" x14ac:dyDescent="0.4">
      <c r="A209" s="163"/>
      <c r="B209" s="163"/>
      <c r="C209" s="163"/>
      <c r="D209" s="163"/>
      <c r="E209" s="164"/>
      <c r="F209" s="165"/>
      <c r="G209" s="164"/>
      <c r="H209" s="163"/>
      <c r="I209" s="166"/>
      <c r="J209" s="167"/>
      <c r="K209" s="167"/>
      <c r="L209" s="167"/>
      <c r="M209" s="168"/>
      <c r="N209" s="168"/>
      <c r="O209" s="163"/>
      <c r="P209" s="163"/>
      <c r="Q209" s="163"/>
    </row>
    <row r="210" spans="1:17" s="169" customFormat="1" ht="30.75" customHeight="1" x14ac:dyDescent="0.4">
      <c r="A210" s="163"/>
      <c r="B210" s="163"/>
      <c r="C210" s="163"/>
      <c r="D210" s="163"/>
      <c r="E210" s="164"/>
      <c r="F210" s="165"/>
      <c r="G210" s="164"/>
      <c r="H210" s="163"/>
      <c r="I210" s="166"/>
      <c r="J210" s="167"/>
      <c r="K210" s="167"/>
      <c r="L210" s="167"/>
      <c r="M210" s="168"/>
      <c r="N210" s="168"/>
      <c r="O210" s="163"/>
      <c r="P210" s="163"/>
      <c r="Q210" s="163"/>
    </row>
    <row r="211" spans="1:17" s="169" customFormat="1" ht="30.75" customHeight="1" x14ac:dyDescent="0.4">
      <c r="A211" s="163"/>
      <c r="B211" s="163"/>
      <c r="C211" s="163"/>
      <c r="D211" s="163"/>
      <c r="E211" s="164"/>
      <c r="F211" s="165"/>
      <c r="G211" s="164"/>
      <c r="H211" s="163"/>
      <c r="I211" s="166"/>
      <c r="J211" s="167"/>
      <c r="K211" s="167"/>
      <c r="L211" s="167"/>
      <c r="M211" s="168"/>
      <c r="N211" s="168"/>
      <c r="O211" s="163"/>
      <c r="P211" s="163"/>
      <c r="Q211" s="163"/>
    </row>
    <row r="212" spans="1:17" s="169" customFormat="1" ht="30.75" customHeight="1" x14ac:dyDescent="0.4">
      <c r="A212" s="163"/>
      <c r="B212" s="163"/>
      <c r="C212" s="163"/>
      <c r="D212" s="163"/>
      <c r="E212" s="164"/>
      <c r="F212" s="165"/>
      <c r="G212" s="164"/>
      <c r="H212" s="163"/>
      <c r="I212" s="166"/>
      <c r="J212" s="167"/>
      <c r="K212" s="167"/>
      <c r="L212" s="167"/>
      <c r="M212" s="168"/>
      <c r="N212" s="168"/>
      <c r="O212" s="163"/>
      <c r="P212" s="163"/>
      <c r="Q212" s="163"/>
    </row>
    <row r="213" spans="1:17" s="169" customFormat="1" ht="30.75" customHeight="1" x14ac:dyDescent="0.4">
      <c r="A213" s="163"/>
      <c r="B213" s="163"/>
      <c r="C213" s="163"/>
      <c r="D213" s="163"/>
      <c r="E213" s="164"/>
      <c r="F213" s="165"/>
      <c r="G213" s="164"/>
      <c r="H213" s="163"/>
      <c r="I213" s="166"/>
      <c r="J213" s="167"/>
      <c r="K213" s="167"/>
      <c r="L213" s="167"/>
      <c r="M213" s="168"/>
      <c r="N213" s="168"/>
      <c r="O213" s="163"/>
      <c r="P213" s="163"/>
      <c r="Q213" s="163"/>
    </row>
    <row r="214" spans="1:17" s="169" customFormat="1" ht="30.75" customHeight="1" x14ac:dyDescent="0.4">
      <c r="A214" s="163"/>
      <c r="B214" s="163"/>
      <c r="C214" s="163"/>
      <c r="D214" s="163"/>
      <c r="E214" s="164"/>
      <c r="F214" s="165"/>
      <c r="G214" s="164"/>
      <c r="H214" s="163"/>
      <c r="I214" s="166"/>
      <c r="J214" s="167"/>
      <c r="K214" s="167"/>
      <c r="L214" s="167"/>
      <c r="M214" s="168"/>
      <c r="N214" s="168"/>
      <c r="O214" s="163"/>
      <c r="P214" s="163"/>
      <c r="Q214" s="163"/>
    </row>
    <row r="215" spans="1:17" s="169" customFormat="1" ht="30.75" customHeight="1" x14ac:dyDescent="0.4">
      <c r="A215" s="163"/>
      <c r="B215" s="163"/>
      <c r="C215" s="163"/>
      <c r="D215" s="163"/>
      <c r="E215" s="164"/>
      <c r="F215" s="165"/>
      <c r="G215" s="164"/>
      <c r="H215" s="163"/>
      <c r="I215" s="166"/>
      <c r="J215" s="167"/>
      <c r="K215" s="167"/>
      <c r="L215" s="167"/>
      <c r="M215" s="168"/>
      <c r="N215" s="168"/>
      <c r="O215" s="163"/>
      <c r="P215" s="163"/>
      <c r="Q215" s="163"/>
    </row>
    <row r="216" spans="1:17" s="169" customFormat="1" ht="30.75" customHeight="1" x14ac:dyDescent="0.4">
      <c r="A216" s="163"/>
      <c r="B216" s="163"/>
      <c r="C216" s="163"/>
      <c r="D216" s="163"/>
      <c r="E216" s="164"/>
      <c r="F216" s="165"/>
      <c r="G216" s="164"/>
      <c r="H216" s="163"/>
      <c r="I216" s="166"/>
      <c r="J216" s="167"/>
      <c r="K216" s="167"/>
      <c r="L216" s="167"/>
      <c r="M216" s="168"/>
      <c r="N216" s="168"/>
      <c r="O216" s="163"/>
      <c r="P216" s="163"/>
      <c r="Q216" s="163"/>
    </row>
    <row r="217" spans="1:17" s="169" customFormat="1" ht="30.75" customHeight="1" x14ac:dyDescent="0.4">
      <c r="A217" s="163"/>
      <c r="B217" s="163"/>
      <c r="C217" s="163"/>
      <c r="D217" s="163"/>
      <c r="E217" s="164"/>
      <c r="F217" s="165"/>
      <c r="G217" s="164"/>
      <c r="H217" s="163"/>
      <c r="I217" s="166"/>
      <c r="J217" s="167"/>
      <c r="K217" s="167"/>
      <c r="L217" s="167"/>
      <c r="M217" s="168"/>
      <c r="N217" s="168"/>
      <c r="O217" s="163"/>
      <c r="P217" s="163"/>
      <c r="Q217" s="163"/>
    </row>
    <row r="218" spans="1:17" s="169" customFormat="1" ht="30.75" customHeight="1" x14ac:dyDescent="0.4">
      <c r="A218" s="163"/>
      <c r="B218" s="163"/>
      <c r="C218" s="163"/>
      <c r="D218" s="163"/>
      <c r="E218" s="164"/>
      <c r="F218" s="165"/>
      <c r="G218" s="164"/>
      <c r="H218" s="163"/>
      <c r="I218" s="166"/>
      <c r="J218" s="167"/>
      <c r="K218" s="167"/>
      <c r="L218" s="167"/>
      <c r="M218" s="168"/>
      <c r="N218" s="168"/>
      <c r="O218" s="163"/>
      <c r="P218" s="163"/>
      <c r="Q218" s="163"/>
    </row>
    <row r="219" spans="1:17" s="169" customFormat="1" ht="30.75" customHeight="1" x14ac:dyDescent="0.4">
      <c r="A219" s="163"/>
      <c r="B219" s="163"/>
      <c r="C219" s="163"/>
      <c r="D219" s="163"/>
      <c r="E219" s="164"/>
      <c r="F219" s="165"/>
      <c r="G219" s="164"/>
      <c r="H219" s="163"/>
      <c r="I219" s="166"/>
      <c r="J219" s="167"/>
      <c r="K219" s="167"/>
      <c r="L219" s="167"/>
      <c r="M219" s="168"/>
      <c r="N219" s="168"/>
      <c r="O219" s="163"/>
      <c r="P219" s="163"/>
      <c r="Q219" s="163"/>
    </row>
    <row r="220" spans="1:17" s="169" customFormat="1" ht="30.75" customHeight="1" x14ac:dyDescent="0.4">
      <c r="A220" s="163"/>
      <c r="B220" s="163"/>
      <c r="C220" s="163"/>
      <c r="D220" s="163"/>
      <c r="E220" s="164"/>
      <c r="F220" s="165"/>
      <c r="G220" s="164"/>
      <c r="H220" s="163"/>
      <c r="I220" s="166"/>
      <c r="J220" s="167"/>
      <c r="K220" s="167"/>
      <c r="L220" s="167"/>
      <c r="M220" s="168"/>
      <c r="N220" s="168"/>
      <c r="O220" s="163"/>
      <c r="P220" s="163"/>
      <c r="Q220" s="163"/>
    </row>
    <row r="221" spans="1:17" s="169" customFormat="1" ht="30.75" customHeight="1" x14ac:dyDescent="0.4">
      <c r="A221" s="163"/>
      <c r="B221" s="163"/>
      <c r="C221" s="163"/>
      <c r="D221" s="163"/>
      <c r="E221" s="164"/>
      <c r="F221" s="165"/>
      <c r="G221" s="164"/>
      <c r="H221" s="163"/>
      <c r="I221" s="166"/>
      <c r="J221" s="167"/>
      <c r="K221" s="167"/>
      <c r="L221" s="167"/>
      <c r="M221" s="168"/>
      <c r="N221" s="168"/>
      <c r="O221" s="163"/>
      <c r="P221" s="163"/>
      <c r="Q221" s="163"/>
    </row>
    <row r="222" spans="1:17" s="169" customFormat="1" ht="30.75" customHeight="1" x14ac:dyDescent="0.4">
      <c r="A222" s="163"/>
      <c r="B222" s="163"/>
      <c r="C222" s="163"/>
      <c r="D222" s="163"/>
      <c r="E222" s="164"/>
      <c r="F222" s="165"/>
      <c r="G222" s="164"/>
      <c r="H222" s="163"/>
      <c r="I222" s="166"/>
      <c r="J222" s="167"/>
      <c r="K222" s="167"/>
      <c r="L222" s="167"/>
      <c r="M222" s="168"/>
      <c r="N222" s="168"/>
      <c r="O222" s="163"/>
      <c r="P222" s="163"/>
      <c r="Q222" s="163"/>
    </row>
    <row r="223" spans="1:17" s="169" customFormat="1" ht="30.75" customHeight="1" x14ac:dyDescent="0.4">
      <c r="A223" s="163"/>
      <c r="B223" s="163"/>
      <c r="C223" s="163"/>
      <c r="D223" s="163"/>
      <c r="E223" s="164"/>
      <c r="F223" s="165"/>
      <c r="G223" s="164"/>
      <c r="H223" s="163"/>
      <c r="I223" s="166"/>
      <c r="J223" s="167"/>
      <c r="K223" s="167"/>
      <c r="L223" s="167"/>
      <c r="M223" s="168"/>
      <c r="N223" s="168"/>
      <c r="O223" s="163"/>
      <c r="P223" s="163"/>
      <c r="Q223" s="163"/>
    </row>
    <row r="224" spans="1:17" s="169" customFormat="1" ht="30.75" customHeight="1" x14ac:dyDescent="0.4">
      <c r="A224" s="163"/>
      <c r="B224" s="163"/>
      <c r="C224" s="163"/>
      <c r="D224" s="163"/>
      <c r="E224" s="164"/>
      <c r="F224" s="165"/>
      <c r="G224" s="164"/>
      <c r="H224" s="163"/>
      <c r="I224" s="166"/>
      <c r="J224" s="167"/>
      <c r="K224" s="167"/>
      <c r="L224" s="167"/>
      <c r="M224" s="168"/>
      <c r="N224" s="168"/>
      <c r="O224" s="163"/>
      <c r="P224" s="163"/>
      <c r="Q224" s="163"/>
    </row>
    <row r="225" spans="1:17" s="169" customFormat="1" ht="30.75" customHeight="1" x14ac:dyDescent="0.4">
      <c r="A225" s="163"/>
      <c r="B225" s="163"/>
      <c r="C225" s="163"/>
      <c r="D225" s="163"/>
      <c r="E225" s="164"/>
      <c r="F225" s="165"/>
      <c r="G225" s="164"/>
      <c r="H225" s="163"/>
      <c r="I225" s="166"/>
      <c r="J225" s="167"/>
      <c r="K225" s="167"/>
      <c r="L225" s="167"/>
      <c r="M225" s="168"/>
      <c r="N225" s="168"/>
      <c r="O225" s="163"/>
      <c r="P225" s="163"/>
      <c r="Q225" s="163"/>
    </row>
    <row r="226" spans="1:17" s="169" customFormat="1" ht="30.75" customHeight="1" x14ac:dyDescent="0.4">
      <c r="A226" s="163"/>
      <c r="B226" s="163"/>
      <c r="C226" s="163"/>
      <c r="D226" s="163"/>
      <c r="E226" s="164"/>
      <c r="F226" s="165"/>
      <c r="G226" s="164"/>
      <c r="H226" s="163"/>
      <c r="I226" s="166"/>
      <c r="J226" s="167"/>
      <c r="K226" s="167"/>
      <c r="L226" s="167"/>
      <c r="M226" s="168"/>
      <c r="N226" s="168"/>
      <c r="O226" s="163"/>
      <c r="P226" s="163"/>
      <c r="Q226" s="163"/>
    </row>
    <row r="227" spans="1:17" s="169" customFormat="1" ht="30.75" customHeight="1" x14ac:dyDescent="0.4">
      <c r="A227" s="163"/>
      <c r="B227" s="163"/>
      <c r="C227" s="163"/>
      <c r="D227" s="163"/>
      <c r="E227" s="164"/>
      <c r="F227" s="165"/>
      <c r="G227" s="164"/>
      <c r="H227" s="163"/>
      <c r="I227" s="166"/>
      <c r="J227" s="167"/>
      <c r="K227" s="167"/>
      <c r="L227" s="167"/>
      <c r="M227" s="168"/>
      <c r="N227" s="168"/>
      <c r="O227" s="163"/>
      <c r="P227" s="163"/>
      <c r="Q227" s="163"/>
    </row>
    <row r="228" spans="1:17" s="169" customFormat="1" ht="30.75" customHeight="1" x14ac:dyDescent="0.4">
      <c r="A228" s="163"/>
      <c r="B228" s="163"/>
      <c r="C228" s="163"/>
      <c r="D228" s="163"/>
      <c r="E228" s="164"/>
      <c r="F228" s="165"/>
      <c r="G228" s="164"/>
      <c r="H228" s="163"/>
      <c r="I228" s="166"/>
      <c r="J228" s="167"/>
      <c r="K228" s="167"/>
      <c r="L228" s="167"/>
      <c r="M228" s="168"/>
      <c r="N228" s="168"/>
      <c r="O228" s="163"/>
      <c r="P228" s="163"/>
      <c r="Q228" s="163"/>
    </row>
    <row r="229" spans="1:17" s="169" customFormat="1" ht="30.75" customHeight="1" x14ac:dyDescent="0.4">
      <c r="A229" s="163"/>
      <c r="B229" s="163"/>
      <c r="C229" s="163"/>
      <c r="D229" s="163"/>
      <c r="E229" s="164"/>
      <c r="F229" s="165"/>
      <c r="G229" s="164"/>
      <c r="H229" s="163"/>
      <c r="I229" s="166"/>
      <c r="J229" s="167"/>
      <c r="K229" s="167"/>
      <c r="L229" s="167"/>
      <c r="M229" s="168"/>
      <c r="N229" s="168"/>
      <c r="O229" s="163"/>
      <c r="P229" s="163"/>
      <c r="Q229" s="163"/>
    </row>
    <row r="230" spans="1:17" s="169" customFormat="1" ht="30.75" customHeight="1" x14ac:dyDescent="0.4">
      <c r="A230" s="163"/>
      <c r="B230" s="163"/>
      <c r="C230" s="163"/>
      <c r="D230" s="163"/>
      <c r="E230" s="164"/>
      <c r="F230" s="165"/>
      <c r="G230" s="164"/>
      <c r="H230" s="163"/>
      <c r="I230" s="166"/>
      <c r="J230" s="167"/>
      <c r="K230" s="167"/>
      <c r="L230" s="167"/>
      <c r="M230" s="168"/>
      <c r="N230" s="168"/>
      <c r="O230" s="163"/>
      <c r="P230" s="163"/>
      <c r="Q230" s="163"/>
    </row>
    <row r="231" spans="1:17" s="169" customFormat="1" ht="30.75" customHeight="1" x14ac:dyDescent="0.4">
      <c r="A231" s="163"/>
      <c r="B231" s="163"/>
      <c r="C231" s="163"/>
      <c r="D231" s="163"/>
      <c r="E231" s="164"/>
      <c r="F231" s="165"/>
      <c r="G231" s="164"/>
      <c r="H231" s="163"/>
      <c r="I231" s="166"/>
      <c r="J231" s="167"/>
      <c r="K231" s="167"/>
      <c r="L231" s="167"/>
      <c r="M231" s="168"/>
      <c r="N231" s="168"/>
      <c r="O231" s="163"/>
      <c r="P231" s="163"/>
      <c r="Q231" s="163"/>
    </row>
    <row r="232" spans="1:17" s="169" customFormat="1" ht="30.75" customHeight="1" x14ac:dyDescent="0.4">
      <c r="A232" s="163"/>
      <c r="B232" s="163"/>
      <c r="C232" s="163"/>
      <c r="D232" s="163"/>
      <c r="E232" s="164"/>
      <c r="F232" s="165"/>
      <c r="G232" s="164"/>
      <c r="H232" s="163"/>
      <c r="I232" s="166"/>
      <c r="J232" s="167"/>
      <c r="K232" s="167"/>
      <c r="L232" s="167"/>
      <c r="M232" s="168"/>
      <c r="N232" s="168"/>
      <c r="O232" s="163"/>
      <c r="P232" s="163"/>
      <c r="Q232" s="163"/>
    </row>
    <row r="233" spans="1:17" s="169" customFormat="1" ht="30.75" customHeight="1" x14ac:dyDescent="0.4">
      <c r="A233" s="163"/>
      <c r="B233" s="163"/>
      <c r="C233" s="163"/>
      <c r="D233" s="163"/>
      <c r="E233" s="164"/>
      <c r="F233" s="165"/>
      <c r="G233" s="164"/>
      <c r="H233" s="163"/>
      <c r="I233" s="166"/>
      <c r="J233" s="167"/>
      <c r="K233" s="167"/>
      <c r="L233" s="167"/>
      <c r="M233" s="168"/>
      <c r="N233" s="168"/>
      <c r="O233" s="163"/>
      <c r="P233" s="163"/>
      <c r="Q233" s="163"/>
    </row>
    <row r="234" spans="1:17" s="169" customFormat="1" ht="30.75" customHeight="1" x14ac:dyDescent="0.4">
      <c r="A234" s="163"/>
      <c r="B234" s="163"/>
      <c r="C234" s="163"/>
      <c r="D234" s="163"/>
      <c r="E234" s="164"/>
      <c r="F234" s="165"/>
      <c r="G234" s="164"/>
      <c r="H234" s="163"/>
      <c r="I234" s="166"/>
      <c r="J234" s="167"/>
      <c r="K234" s="167"/>
      <c r="L234" s="167"/>
      <c r="M234" s="168"/>
      <c r="N234" s="168"/>
      <c r="O234" s="163"/>
      <c r="P234" s="163"/>
      <c r="Q234" s="163"/>
    </row>
    <row r="235" spans="1:17" s="169" customFormat="1" ht="30.75" customHeight="1" x14ac:dyDescent="0.4">
      <c r="A235" s="163"/>
      <c r="B235" s="163"/>
      <c r="C235" s="163"/>
      <c r="D235" s="163"/>
      <c r="E235" s="164"/>
      <c r="F235" s="165"/>
      <c r="G235" s="164"/>
      <c r="H235" s="163"/>
      <c r="I235" s="166"/>
      <c r="J235" s="167"/>
      <c r="K235" s="167"/>
      <c r="L235" s="167"/>
      <c r="M235" s="168"/>
      <c r="N235" s="168"/>
      <c r="O235" s="163"/>
      <c r="P235" s="163"/>
      <c r="Q235" s="163"/>
    </row>
    <row r="236" spans="1:17" s="169" customFormat="1" ht="30.75" customHeight="1" x14ac:dyDescent="0.4">
      <c r="A236" s="163"/>
      <c r="B236" s="163"/>
      <c r="C236" s="163"/>
      <c r="D236" s="163"/>
      <c r="E236" s="164"/>
      <c r="F236" s="165"/>
      <c r="G236" s="164"/>
      <c r="H236" s="163"/>
      <c r="I236" s="166"/>
      <c r="J236" s="167"/>
      <c r="K236" s="167"/>
      <c r="L236" s="167"/>
      <c r="M236" s="168"/>
      <c r="N236" s="168"/>
      <c r="O236" s="163"/>
      <c r="P236" s="163"/>
      <c r="Q236" s="163"/>
    </row>
    <row r="237" spans="1:17" s="169" customFormat="1" ht="30.75" customHeight="1" x14ac:dyDescent="0.4">
      <c r="A237" s="163"/>
      <c r="B237" s="163"/>
      <c r="C237" s="163"/>
      <c r="D237" s="163"/>
      <c r="E237" s="164"/>
      <c r="F237" s="165"/>
      <c r="G237" s="164"/>
      <c r="H237" s="163"/>
      <c r="I237" s="166"/>
      <c r="J237" s="167"/>
      <c r="K237" s="167"/>
      <c r="L237" s="167"/>
      <c r="M237" s="168"/>
      <c r="N237" s="168"/>
      <c r="O237" s="163"/>
      <c r="P237" s="163"/>
      <c r="Q237" s="163"/>
    </row>
    <row r="238" spans="1:17" s="169" customFormat="1" ht="30.75" customHeight="1" x14ac:dyDescent="0.4">
      <c r="A238" s="163"/>
      <c r="B238" s="163"/>
      <c r="C238" s="163"/>
      <c r="D238" s="163"/>
      <c r="E238" s="164"/>
      <c r="F238" s="165"/>
      <c r="G238" s="164"/>
      <c r="H238" s="163"/>
      <c r="I238" s="166"/>
      <c r="J238" s="167"/>
      <c r="K238" s="167"/>
      <c r="L238" s="167"/>
      <c r="M238" s="168"/>
      <c r="N238" s="168"/>
      <c r="O238" s="163"/>
      <c r="P238" s="163"/>
      <c r="Q238" s="163"/>
    </row>
    <row r="239" spans="1:17" s="169" customFormat="1" ht="30.75" customHeight="1" x14ac:dyDescent="0.4">
      <c r="A239" s="163"/>
      <c r="B239" s="163"/>
      <c r="C239" s="163"/>
      <c r="D239" s="163"/>
      <c r="E239" s="164"/>
      <c r="F239" s="165"/>
      <c r="G239" s="164"/>
      <c r="H239" s="163"/>
      <c r="I239" s="166"/>
      <c r="J239" s="167"/>
      <c r="K239" s="167"/>
      <c r="L239" s="167"/>
      <c r="M239" s="168"/>
      <c r="N239" s="168"/>
      <c r="O239" s="163"/>
      <c r="P239" s="163"/>
      <c r="Q239" s="163"/>
    </row>
    <row r="240" spans="1:17" s="169" customFormat="1" ht="30.75" customHeight="1" x14ac:dyDescent="0.4">
      <c r="A240" s="163"/>
      <c r="B240" s="163"/>
      <c r="C240" s="163"/>
      <c r="D240" s="163"/>
      <c r="E240" s="164"/>
      <c r="F240" s="165"/>
      <c r="G240" s="164"/>
      <c r="H240" s="163"/>
      <c r="I240" s="166"/>
      <c r="J240" s="167"/>
      <c r="K240" s="167"/>
      <c r="L240" s="167"/>
      <c r="M240" s="168"/>
      <c r="N240" s="168"/>
      <c r="O240" s="163"/>
      <c r="P240" s="163"/>
      <c r="Q240" s="163"/>
    </row>
    <row r="241" spans="1:17" s="169" customFormat="1" ht="30.75" customHeight="1" x14ac:dyDescent="0.4">
      <c r="A241" s="163"/>
      <c r="B241" s="163"/>
      <c r="C241" s="163"/>
      <c r="D241" s="163"/>
      <c r="E241" s="164"/>
      <c r="F241" s="165"/>
      <c r="G241" s="164"/>
      <c r="H241" s="163"/>
      <c r="I241" s="166"/>
      <c r="J241" s="167"/>
      <c r="K241" s="167"/>
      <c r="L241" s="167"/>
      <c r="M241" s="168"/>
      <c r="N241" s="168"/>
      <c r="O241" s="163"/>
      <c r="P241" s="163"/>
      <c r="Q241" s="163"/>
    </row>
    <row r="242" spans="1:17" s="169" customFormat="1" ht="30.75" customHeight="1" x14ac:dyDescent="0.4">
      <c r="A242" s="163"/>
      <c r="B242" s="163"/>
      <c r="C242" s="163"/>
      <c r="D242" s="163"/>
      <c r="E242" s="164"/>
      <c r="F242" s="165"/>
      <c r="G242" s="164"/>
      <c r="H242" s="163"/>
      <c r="I242" s="166"/>
      <c r="J242" s="167"/>
      <c r="K242" s="167"/>
      <c r="L242" s="167"/>
      <c r="M242" s="168"/>
      <c r="N242" s="168"/>
      <c r="O242" s="163"/>
      <c r="P242" s="163"/>
      <c r="Q242" s="163"/>
    </row>
    <row r="243" spans="1:17" s="169" customFormat="1" ht="30.75" customHeight="1" x14ac:dyDescent="0.4">
      <c r="A243" s="163"/>
      <c r="B243" s="163"/>
      <c r="C243" s="163"/>
      <c r="D243" s="163"/>
      <c r="E243" s="164"/>
      <c r="F243" s="165"/>
      <c r="G243" s="164"/>
      <c r="H243" s="163"/>
      <c r="I243" s="166"/>
      <c r="J243" s="167"/>
      <c r="K243" s="167"/>
      <c r="L243" s="167"/>
      <c r="M243" s="168"/>
      <c r="N243" s="168"/>
      <c r="O243" s="163"/>
      <c r="P243" s="163"/>
      <c r="Q243" s="163"/>
    </row>
    <row r="244" spans="1:17" s="169" customFormat="1" ht="30.75" customHeight="1" x14ac:dyDescent="0.4">
      <c r="A244" s="163"/>
      <c r="B244" s="163"/>
      <c r="C244" s="163"/>
      <c r="D244" s="163"/>
      <c r="E244" s="164"/>
      <c r="F244" s="165"/>
      <c r="G244" s="164"/>
      <c r="H244" s="163"/>
      <c r="I244" s="166"/>
      <c r="J244" s="167"/>
      <c r="K244" s="167"/>
      <c r="L244" s="167"/>
      <c r="M244" s="168"/>
      <c r="N244" s="168"/>
      <c r="O244" s="163"/>
      <c r="P244" s="163"/>
      <c r="Q244" s="163"/>
    </row>
    <row r="245" spans="1:17" s="169" customFormat="1" ht="30.75" customHeight="1" x14ac:dyDescent="0.4">
      <c r="A245" s="163"/>
      <c r="B245" s="163"/>
      <c r="C245" s="163"/>
      <c r="D245" s="163"/>
      <c r="E245" s="164"/>
      <c r="F245" s="165"/>
      <c r="G245" s="164"/>
      <c r="H245" s="163"/>
      <c r="I245" s="166"/>
      <c r="J245" s="167"/>
      <c r="K245" s="167"/>
      <c r="L245" s="167"/>
      <c r="M245" s="168"/>
      <c r="N245" s="168"/>
      <c r="O245" s="163"/>
      <c r="P245" s="163"/>
      <c r="Q245" s="163"/>
    </row>
    <row r="246" spans="1:17" s="169" customFormat="1" ht="30.75" customHeight="1" x14ac:dyDescent="0.4">
      <c r="A246" s="163"/>
      <c r="B246" s="163"/>
      <c r="C246" s="163"/>
      <c r="D246" s="163"/>
      <c r="E246" s="164"/>
      <c r="F246" s="165"/>
      <c r="G246" s="164"/>
      <c r="H246" s="163"/>
      <c r="I246" s="166"/>
      <c r="J246" s="167"/>
      <c r="K246" s="167"/>
      <c r="L246" s="167"/>
      <c r="M246" s="168"/>
      <c r="N246" s="168"/>
      <c r="O246" s="163"/>
      <c r="P246" s="163"/>
      <c r="Q246" s="163"/>
    </row>
    <row r="247" spans="1:17" s="169" customFormat="1" ht="30.75" customHeight="1" x14ac:dyDescent="0.4">
      <c r="A247" s="163"/>
      <c r="B247" s="163"/>
      <c r="C247" s="163"/>
      <c r="D247" s="163"/>
      <c r="E247" s="164"/>
      <c r="F247" s="165"/>
      <c r="G247" s="164"/>
      <c r="H247" s="163"/>
      <c r="I247" s="166"/>
      <c r="J247" s="167"/>
      <c r="K247" s="167"/>
      <c r="L247" s="167"/>
      <c r="M247" s="168"/>
      <c r="N247" s="168"/>
      <c r="O247" s="163"/>
      <c r="P247" s="163"/>
      <c r="Q247" s="163"/>
    </row>
    <row r="248" spans="1:17" s="169" customFormat="1" ht="30.75" customHeight="1" x14ac:dyDescent="0.4">
      <c r="A248" s="163"/>
      <c r="B248" s="163"/>
      <c r="C248" s="163"/>
      <c r="D248" s="163"/>
      <c r="E248" s="164"/>
      <c r="F248" s="165"/>
      <c r="G248" s="164"/>
      <c r="H248" s="163"/>
      <c r="I248" s="166"/>
      <c r="J248" s="167"/>
      <c r="K248" s="167"/>
      <c r="L248" s="167"/>
      <c r="M248" s="168"/>
      <c r="N248" s="168"/>
      <c r="O248" s="163"/>
      <c r="P248" s="163"/>
      <c r="Q248" s="163"/>
    </row>
    <row r="249" spans="1:17" s="169" customFormat="1" ht="30.75" customHeight="1" x14ac:dyDescent="0.4">
      <c r="A249" s="163"/>
      <c r="B249" s="163"/>
      <c r="C249" s="163"/>
      <c r="D249" s="163"/>
      <c r="E249" s="164"/>
      <c r="F249" s="165"/>
      <c r="G249" s="164"/>
      <c r="H249" s="163"/>
      <c r="I249" s="166"/>
      <c r="J249" s="167"/>
      <c r="K249" s="167"/>
      <c r="L249" s="167"/>
      <c r="M249" s="168"/>
      <c r="N249" s="168"/>
      <c r="O249" s="163"/>
      <c r="P249" s="163"/>
      <c r="Q249" s="163"/>
    </row>
    <row r="250" spans="1:17" s="169" customFormat="1" ht="30.75" customHeight="1" x14ac:dyDescent="0.4">
      <c r="A250" s="163"/>
      <c r="B250" s="163"/>
      <c r="C250" s="163"/>
      <c r="D250" s="163"/>
      <c r="E250" s="164"/>
      <c r="F250" s="165"/>
      <c r="G250" s="164"/>
      <c r="H250" s="163"/>
      <c r="I250" s="166"/>
      <c r="J250" s="167"/>
      <c r="K250" s="167"/>
      <c r="L250" s="167"/>
      <c r="M250" s="168"/>
      <c r="N250" s="168"/>
      <c r="O250" s="163"/>
      <c r="P250" s="163"/>
      <c r="Q250" s="163"/>
    </row>
    <row r="251" spans="1:17" s="169" customFormat="1" ht="30.75" customHeight="1" x14ac:dyDescent="0.4">
      <c r="A251" s="163"/>
      <c r="B251" s="163"/>
      <c r="C251" s="163"/>
      <c r="D251" s="163"/>
      <c r="E251" s="164"/>
      <c r="F251" s="165"/>
      <c r="G251" s="164"/>
      <c r="H251" s="163"/>
      <c r="I251" s="166"/>
      <c r="J251" s="167"/>
      <c r="K251" s="167"/>
      <c r="L251" s="167"/>
      <c r="M251" s="168"/>
      <c r="N251" s="168"/>
      <c r="O251" s="163"/>
      <c r="P251" s="163"/>
      <c r="Q251" s="163"/>
    </row>
    <row r="252" spans="1:17" s="169" customFormat="1" ht="30.75" customHeight="1" x14ac:dyDescent="0.4">
      <c r="A252" s="163"/>
      <c r="B252" s="163"/>
      <c r="C252" s="163"/>
      <c r="D252" s="163"/>
      <c r="E252" s="164"/>
      <c r="F252" s="165"/>
      <c r="G252" s="164"/>
      <c r="H252" s="163"/>
      <c r="I252" s="166"/>
      <c r="J252" s="167"/>
      <c r="K252" s="167"/>
      <c r="L252" s="167"/>
      <c r="M252" s="168"/>
      <c r="N252" s="168"/>
      <c r="O252" s="163"/>
      <c r="P252" s="163"/>
      <c r="Q252" s="163"/>
    </row>
    <row r="253" spans="1:17" s="169" customFormat="1" ht="30.75" customHeight="1" x14ac:dyDescent="0.4">
      <c r="A253" s="163"/>
      <c r="B253" s="163"/>
      <c r="C253" s="163"/>
      <c r="D253" s="163"/>
      <c r="E253" s="164"/>
      <c r="F253" s="165"/>
      <c r="G253" s="164"/>
      <c r="H253" s="163"/>
      <c r="I253" s="166"/>
      <c r="J253" s="167"/>
      <c r="K253" s="167"/>
      <c r="L253" s="167"/>
      <c r="M253" s="168"/>
      <c r="N253" s="168"/>
      <c r="O253" s="163"/>
      <c r="P253" s="163"/>
      <c r="Q253" s="163"/>
    </row>
    <row r="254" spans="1:17" s="169" customFormat="1" ht="30.75" customHeight="1" x14ac:dyDescent="0.4">
      <c r="A254" s="163"/>
      <c r="B254" s="163"/>
      <c r="C254" s="163"/>
      <c r="D254" s="163"/>
      <c r="E254" s="164"/>
      <c r="F254" s="165"/>
      <c r="G254" s="164"/>
      <c r="H254" s="163"/>
      <c r="I254" s="166"/>
      <c r="J254" s="167"/>
      <c r="K254" s="167"/>
      <c r="L254" s="167"/>
      <c r="M254" s="168"/>
      <c r="N254" s="168"/>
      <c r="O254" s="163"/>
      <c r="P254" s="163"/>
      <c r="Q254" s="163"/>
    </row>
    <row r="255" spans="1:17" s="169" customFormat="1" ht="30.75" customHeight="1" x14ac:dyDescent="0.4">
      <c r="A255" s="163"/>
      <c r="B255" s="163"/>
      <c r="C255" s="163"/>
      <c r="D255" s="163"/>
      <c r="E255" s="164"/>
      <c r="F255" s="165"/>
      <c r="G255" s="164"/>
      <c r="H255" s="163"/>
      <c r="I255" s="166"/>
      <c r="J255" s="167"/>
      <c r="K255" s="167"/>
      <c r="L255" s="167"/>
      <c r="M255" s="168"/>
      <c r="N255" s="168"/>
      <c r="O255" s="163"/>
      <c r="P255" s="163"/>
      <c r="Q255" s="163"/>
    </row>
    <row r="256" spans="1:17" s="169" customFormat="1" ht="30.75" customHeight="1" x14ac:dyDescent="0.4">
      <c r="A256" s="163"/>
      <c r="B256" s="163"/>
      <c r="C256" s="163"/>
      <c r="D256" s="163"/>
      <c r="E256" s="164"/>
      <c r="F256" s="165"/>
      <c r="G256" s="164"/>
      <c r="H256" s="163"/>
      <c r="I256" s="166"/>
      <c r="J256" s="167"/>
      <c r="K256" s="167"/>
      <c r="L256" s="167"/>
      <c r="M256" s="168"/>
      <c r="N256" s="168"/>
      <c r="O256" s="163"/>
      <c r="P256" s="163"/>
      <c r="Q256" s="163"/>
    </row>
    <row r="257" spans="1:17" s="169" customFormat="1" ht="30.75" customHeight="1" x14ac:dyDescent="0.4">
      <c r="A257" s="163"/>
      <c r="B257" s="163"/>
      <c r="C257" s="163"/>
      <c r="D257" s="163"/>
      <c r="E257" s="164"/>
      <c r="F257" s="165"/>
      <c r="G257" s="164"/>
      <c r="H257" s="163"/>
      <c r="I257" s="166"/>
      <c r="J257" s="167"/>
      <c r="K257" s="167"/>
      <c r="L257" s="167"/>
      <c r="M257" s="168"/>
      <c r="N257" s="168"/>
      <c r="O257" s="163"/>
      <c r="P257" s="163"/>
      <c r="Q257" s="163"/>
    </row>
    <row r="258" spans="1:17" s="169" customFormat="1" ht="30.75" customHeight="1" x14ac:dyDescent="0.4">
      <c r="A258" s="163"/>
      <c r="B258" s="163"/>
      <c r="C258" s="163"/>
      <c r="D258" s="163"/>
      <c r="E258" s="164"/>
      <c r="F258" s="165"/>
      <c r="G258" s="164"/>
      <c r="H258" s="163"/>
      <c r="I258" s="166"/>
      <c r="J258" s="167"/>
      <c r="K258" s="167"/>
      <c r="L258" s="167"/>
      <c r="M258" s="168"/>
      <c r="N258" s="168"/>
      <c r="O258" s="163"/>
      <c r="P258" s="163"/>
      <c r="Q258" s="163"/>
    </row>
    <row r="259" spans="1:17" s="169" customFormat="1" ht="30.75" customHeight="1" x14ac:dyDescent="0.4">
      <c r="A259" s="163"/>
      <c r="B259" s="163"/>
      <c r="C259" s="163"/>
      <c r="D259" s="163"/>
      <c r="E259" s="164"/>
      <c r="F259" s="165"/>
      <c r="G259" s="164"/>
      <c r="H259" s="163"/>
      <c r="I259" s="166"/>
      <c r="J259" s="167"/>
      <c r="K259" s="167"/>
      <c r="L259" s="167"/>
      <c r="M259" s="168"/>
      <c r="N259" s="168"/>
      <c r="O259" s="163"/>
      <c r="P259" s="163"/>
      <c r="Q259" s="163"/>
    </row>
    <row r="260" spans="1:17" s="169" customFormat="1" ht="30.75" customHeight="1" x14ac:dyDescent="0.4">
      <c r="A260" s="163"/>
      <c r="B260" s="163"/>
      <c r="C260" s="163"/>
      <c r="D260" s="163"/>
      <c r="E260" s="164"/>
      <c r="F260" s="165"/>
      <c r="G260" s="164"/>
      <c r="H260" s="163"/>
      <c r="I260" s="166"/>
      <c r="J260" s="167"/>
      <c r="K260" s="167"/>
      <c r="L260" s="167"/>
      <c r="M260" s="168"/>
      <c r="N260" s="168"/>
      <c r="O260" s="163"/>
      <c r="P260" s="163"/>
      <c r="Q260" s="163"/>
    </row>
    <row r="261" spans="1:17" s="169" customFormat="1" ht="30.75" customHeight="1" x14ac:dyDescent="0.4">
      <c r="A261" s="163"/>
      <c r="B261" s="163"/>
      <c r="C261" s="163"/>
      <c r="D261" s="163"/>
      <c r="E261" s="164"/>
      <c r="F261" s="165"/>
      <c r="G261" s="164"/>
      <c r="H261" s="163"/>
      <c r="I261" s="166"/>
      <c r="J261" s="167"/>
      <c r="K261" s="167"/>
      <c r="L261" s="167"/>
      <c r="M261" s="168"/>
      <c r="N261" s="168"/>
      <c r="O261" s="163"/>
      <c r="P261" s="163"/>
      <c r="Q261" s="163"/>
    </row>
    <row r="262" spans="1:17" s="169" customFormat="1" ht="30.75" customHeight="1" x14ac:dyDescent="0.4">
      <c r="A262" s="163"/>
      <c r="B262" s="163"/>
      <c r="C262" s="163"/>
      <c r="D262" s="163"/>
      <c r="E262" s="164"/>
      <c r="F262" s="165"/>
      <c r="G262" s="164"/>
      <c r="H262" s="163"/>
      <c r="I262" s="166"/>
      <c r="J262" s="167"/>
      <c r="K262" s="167"/>
      <c r="L262" s="167"/>
      <c r="M262" s="168"/>
      <c r="N262" s="168"/>
      <c r="O262" s="163"/>
      <c r="P262" s="163"/>
      <c r="Q262" s="163"/>
    </row>
    <row r="263" spans="1:17" s="169" customFormat="1" ht="30.75" customHeight="1" x14ac:dyDescent="0.4">
      <c r="A263" s="163"/>
      <c r="B263" s="163"/>
      <c r="C263" s="163"/>
      <c r="D263" s="163"/>
      <c r="E263" s="164"/>
      <c r="F263" s="165"/>
      <c r="G263" s="164"/>
      <c r="H263" s="163"/>
      <c r="I263" s="166"/>
      <c r="J263" s="167"/>
      <c r="K263" s="167"/>
      <c r="L263" s="167"/>
      <c r="M263" s="168"/>
      <c r="N263" s="168"/>
      <c r="O263" s="163"/>
      <c r="P263" s="163"/>
      <c r="Q263" s="163"/>
    </row>
    <row r="264" spans="1:17" s="169" customFormat="1" ht="30.75" customHeight="1" x14ac:dyDescent="0.4">
      <c r="A264" s="163"/>
      <c r="B264" s="163"/>
      <c r="C264" s="163"/>
      <c r="D264" s="163"/>
      <c r="E264" s="164"/>
      <c r="F264" s="165"/>
      <c r="G264" s="164"/>
      <c r="H264" s="163"/>
      <c r="I264" s="166"/>
      <c r="J264" s="167"/>
      <c r="K264" s="167"/>
      <c r="L264" s="167"/>
      <c r="M264" s="168"/>
      <c r="N264" s="168"/>
      <c r="O264" s="163"/>
      <c r="P264" s="163"/>
      <c r="Q264" s="163"/>
    </row>
    <row r="265" spans="1:17" s="169" customFormat="1" ht="30.75" customHeight="1" x14ac:dyDescent="0.4">
      <c r="A265" s="163"/>
      <c r="B265" s="163"/>
      <c r="C265" s="163"/>
      <c r="D265" s="163"/>
      <c r="E265" s="164"/>
      <c r="F265" s="165"/>
      <c r="G265" s="164"/>
      <c r="H265" s="163"/>
      <c r="I265" s="166"/>
      <c r="J265" s="167"/>
      <c r="K265" s="167"/>
      <c r="L265" s="167"/>
      <c r="M265" s="168"/>
      <c r="N265" s="168"/>
      <c r="O265" s="163"/>
      <c r="P265" s="163"/>
      <c r="Q265" s="163"/>
    </row>
    <row r="266" spans="1:17" s="169" customFormat="1" ht="30.75" customHeight="1" x14ac:dyDescent="0.4">
      <c r="A266" s="163"/>
      <c r="B266" s="163"/>
      <c r="C266" s="163"/>
      <c r="D266" s="163"/>
      <c r="E266" s="164"/>
      <c r="F266" s="165"/>
      <c r="G266" s="164"/>
      <c r="H266" s="163"/>
      <c r="I266" s="166"/>
      <c r="J266" s="167"/>
      <c r="K266" s="167"/>
      <c r="L266" s="167"/>
      <c r="M266" s="168"/>
      <c r="N266" s="168"/>
      <c r="O266" s="163"/>
      <c r="P266" s="163"/>
      <c r="Q266" s="163"/>
    </row>
    <row r="267" spans="1:17" s="169" customFormat="1" ht="30.75" customHeight="1" x14ac:dyDescent="0.4">
      <c r="A267" s="163"/>
      <c r="B267" s="163"/>
      <c r="C267" s="163"/>
      <c r="D267" s="163"/>
      <c r="E267" s="164"/>
      <c r="F267" s="165"/>
      <c r="G267" s="164"/>
      <c r="H267" s="163"/>
      <c r="I267" s="166"/>
      <c r="J267" s="167"/>
      <c r="K267" s="167"/>
      <c r="L267" s="167"/>
      <c r="M267" s="168"/>
      <c r="N267" s="168"/>
      <c r="O267" s="163"/>
      <c r="P267" s="163"/>
      <c r="Q267" s="163"/>
    </row>
    <row r="268" spans="1:17" s="169" customFormat="1" ht="30.75" customHeight="1" x14ac:dyDescent="0.4">
      <c r="A268" s="163"/>
      <c r="B268" s="163"/>
      <c r="C268" s="163"/>
      <c r="D268" s="163"/>
      <c r="E268" s="164"/>
      <c r="F268" s="165"/>
      <c r="G268" s="164"/>
      <c r="H268" s="163"/>
      <c r="I268" s="166"/>
      <c r="J268" s="167"/>
      <c r="K268" s="167"/>
      <c r="L268" s="167"/>
      <c r="M268" s="168"/>
      <c r="N268" s="168"/>
      <c r="O268" s="163"/>
      <c r="P268" s="163"/>
      <c r="Q268" s="163"/>
    </row>
    <row r="269" spans="1:17" s="169" customFormat="1" ht="30.75" customHeight="1" x14ac:dyDescent="0.4">
      <c r="A269" s="163"/>
      <c r="B269" s="163"/>
      <c r="C269" s="163"/>
      <c r="D269" s="163"/>
      <c r="E269" s="164"/>
      <c r="F269" s="165"/>
      <c r="G269" s="164"/>
      <c r="H269" s="163"/>
      <c r="I269" s="166"/>
      <c r="J269" s="167"/>
      <c r="K269" s="167"/>
      <c r="L269" s="167"/>
      <c r="M269" s="168"/>
      <c r="N269" s="168"/>
      <c r="O269" s="163"/>
      <c r="P269" s="163"/>
      <c r="Q269" s="163"/>
    </row>
    <row r="270" spans="1:17" s="169" customFormat="1" ht="30.75" customHeight="1" x14ac:dyDescent="0.4">
      <c r="A270" s="163"/>
      <c r="B270" s="163"/>
      <c r="C270" s="163"/>
      <c r="D270" s="163"/>
      <c r="E270" s="164"/>
      <c r="F270" s="165"/>
      <c r="G270" s="164"/>
      <c r="H270" s="163"/>
      <c r="I270" s="166"/>
      <c r="J270" s="167"/>
      <c r="K270" s="167"/>
      <c r="L270" s="167"/>
      <c r="M270" s="168"/>
      <c r="N270" s="168"/>
      <c r="O270" s="163"/>
      <c r="P270" s="163"/>
      <c r="Q270" s="163"/>
    </row>
    <row r="271" spans="1:17" s="169" customFormat="1" ht="30.75" customHeight="1" x14ac:dyDescent="0.4">
      <c r="A271" s="163"/>
      <c r="B271" s="163"/>
      <c r="C271" s="163"/>
      <c r="D271" s="163"/>
      <c r="E271" s="164"/>
      <c r="F271" s="165"/>
      <c r="G271" s="164"/>
      <c r="H271" s="163"/>
      <c r="I271" s="166"/>
      <c r="J271" s="167"/>
      <c r="K271" s="167"/>
      <c r="L271" s="167"/>
      <c r="M271" s="168"/>
      <c r="N271" s="168"/>
      <c r="O271" s="163"/>
      <c r="P271" s="163"/>
      <c r="Q271" s="163"/>
    </row>
    <row r="272" spans="1:17" s="169" customFormat="1" ht="30.75" customHeight="1" x14ac:dyDescent="0.4">
      <c r="A272" s="163"/>
      <c r="B272" s="163"/>
      <c r="C272" s="163"/>
      <c r="D272" s="163"/>
      <c r="E272" s="164"/>
      <c r="F272" s="165"/>
      <c r="G272" s="164"/>
      <c r="H272" s="163"/>
      <c r="I272" s="166"/>
      <c r="J272" s="167"/>
      <c r="K272" s="167"/>
      <c r="L272" s="167"/>
      <c r="M272" s="168"/>
      <c r="N272" s="168"/>
      <c r="O272" s="163"/>
      <c r="P272" s="163"/>
      <c r="Q272" s="163"/>
    </row>
    <row r="273" spans="1:17" s="169" customFormat="1" ht="30.75" customHeight="1" x14ac:dyDescent="0.4">
      <c r="A273" s="163"/>
      <c r="B273" s="163"/>
      <c r="C273" s="163"/>
      <c r="D273" s="163"/>
      <c r="E273" s="164"/>
      <c r="F273" s="165"/>
      <c r="G273" s="164"/>
      <c r="H273" s="163"/>
      <c r="I273" s="166"/>
      <c r="J273" s="167"/>
      <c r="K273" s="167"/>
      <c r="L273" s="167"/>
      <c r="M273" s="168"/>
      <c r="N273" s="168"/>
      <c r="O273" s="163"/>
      <c r="P273" s="163"/>
      <c r="Q273" s="163"/>
    </row>
    <row r="274" spans="1:17" s="169" customFormat="1" ht="30.75" customHeight="1" x14ac:dyDescent="0.4">
      <c r="A274" s="163"/>
      <c r="B274" s="163"/>
      <c r="C274" s="163"/>
      <c r="D274" s="163"/>
      <c r="E274" s="164"/>
      <c r="F274" s="165"/>
      <c r="G274" s="164"/>
      <c r="H274" s="163"/>
      <c r="I274" s="166"/>
      <c r="J274" s="167"/>
      <c r="K274" s="167"/>
      <c r="L274" s="167"/>
      <c r="M274" s="168"/>
      <c r="N274" s="168"/>
      <c r="O274" s="163"/>
      <c r="P274" s="163"/>
      <c r="Q274" s="163"/>
    </row>
    <row r="275" spans="1:17" s="169" customFormat="1" ht="30.75" customHeight="1" x14ac:dyDescent="0.4">
      <c r="A275" s="163"/>
      <c r="B275" s="163"/>
      <c r="C275" s="163"/>
      <c r="D275" s="163"/>
      <c r="E275" s="164"/>
      <c r="F275" s="165"/>
      <c r="G275" s="164"/>
      <c r="H275" s="163"/>
      <c r="I275" s="166"/>
      <c r="J275" s="167"/>
      <c r="K275" s="167"/>
      <c r="L275" s="167"/>
      <c r="M275" s="168"/>
      <c r="N275" s="168"/>
      <c r="O275" s="163"/>
      <c r="P275" s="163"/>
      <c r="Q275" s="163"/>
    </row>
    <row r="276" spans="1:17" s="169" customFormat="1" ht="30.75" customHeight="1" x14ac:dyDescent="0.4">
      <c r="A276" s="163"/>
      <c r="B276" s="163"/>
      <c r="C276" s="163"/>
      <c r="D276" s="163"/>
      <c r="E276" s="164"/>
      <c r="F276" s="165"/>
      <c r="G276" s="164"/>
      <c r="H276" s="163"/>
      <c r="I276" s="166"/>
      <c r="J276" s="167"/>
      <c r="K276" s="167"/>
      <c r="L276" s="167"/>
      <c r="M276" s="168"/>
      <c r="N276" s="168"/>
      <c r="O276" s="163"/>
      <c r="P276" s="163"/>
      <c r="Q276" s="163"/>
    </row>
    <row r="277" spans="1:17" s="169" customFormat="1" ht="30.75" customHeight="1" x14ac:dyDescent="0.4">
      <c r="A277" s="163"/>
      <c r="B277" s="163"/>
      <c r="C277" s="163"/>
      <c r="D277" s="163"/>
      <c r="E277" s="164"/>
      <c r="F277" s="165"/>
      <c r="G277" s="164"/>
      <c r="H277" s="163"/>
      <c r="I277" s="166"/>
      <c r="J277" s="167"/>
      <c r="K277" s="167"/>
      <c r="L277" s="167"/>
      <c r="M277" s="168"/>
      <c r="N277" s="168"/>
      <c r="O277" s="163"/>
      <c r="P277" s="163"/>
      <c r="Q277" s="163"/>
    </row>
    <row r="278" spans="1:17" s="169" customFormat="1" ht="30.75" customHeight="1" x14ac:dyDescent="0.4">
      <c r="A278" s="163"/>
      <c r="B278" s="163"/>
      <c r="C278" s="163"/>
      <c r="D278" s="163"/>
      <c r="E278" s="164"/>
      <c r="F278" s="165"/>
      <c r="G278" s="164"/>
      <c r="H278" s="163"/>
      <c r="I278" s="166"/>
      <c r="J278" s="167"/>
      <c r="K278" s="167"/>
      <c r="L278" s="167"/>
      <c r="M278" s="168"/>
      <c r="N278" s="168"/>
      <c r="O278" s="163"/>
      <c r="P278" s="163"/>
      <c r="Q278" s="163"/>
    </row>
    <row r="279" spans="1:17" s="169" customFormat="1" ht="30.75" customHeight="1" x14ac:dyDescent="0.4">
      <c r="A279" s="163"/>
      <c r="B279" s="163"/>
      <c r="C279" s="163"/>
      <c r="D279" s="163"/>
      <c r="E279" s="164"/>
      <c r="F279" s="165"/>
      <c r="G279" s="164"/>
      <c r="H279" s="163"/>
      <c r="I279" s="166"/>
      <c r="J279" s="167"/>
      <c r="K279" s="167"/>
      <c r="L279" s="167"/>
      <c r="M279" s="168"/>
      <c r="N279" s="168"/>
      <c r="O279" s="163"/>
      <c r="P279" s="163"/>
      <c r="Q279" s="163"/>
    </row>
    <row r="280" spans="1:17" s="169" customFormat="1" ht="30.75" customHeight="1" x14ac:dyDescent="0.4">
      <c r="A280" s="163"/>
      <c r="B280" s="163"/>
      <c r="C280" s="163"/>
      <c r="D280" s="163"/>
      <c r="E280" s="164"/>
      <c r="F280" s="165"/>
      <c r="G280" s="164"/>
      <c r="H280" s="163"/>
      <c r="I280" s="166"/>
      <c r="J280" s="167"/>
      <c r="K280" s="167"/>
      <c r="L280" s="167"/>
      <c r="M280" s="168"/>
      <c r="N280" s="168"/>
      <c r="O280" s="163"/>
      <c r="P280" s="163"/>
      <c r="Q280" s="163"/>
    </row>
    <row r="281" spans="1:17" s="169" customFormat="1" ht="30.75" customHeight="1" x14ac:dyDescent="0.4">
      <c r="A281" s="163"/>
      <c r="B281" s="163"/>
      <c r="C281" s="163"/>
      <c r="D281" s="163"/>
      <c r="E281" s="164"/>
      <c r="F281" s="165"/>
      <c r="G281" s="164"/>
      <c r="H281" s="163"/>
      <c r="I281" s="166"/>
      <c r="J281" s="167"/>
      <c r="K281" s="167"/>
      <c r="L281" s="167"/>
      <c r="M281" s="168"/>
      <c r="N281" s="168"/>
      <c r="O281" s="163"/>
      <c r="P281" s="163"/>
      <c r="Q281" s="163"/>
    </row>
    <row r="282" spans="1:17" s="169" customFormat="1" ht="30.75" customHeight="1" x14ac:dyDescent="0.4">
      <c r="A282" s="163"/>
      <c r="B282" s="163"/>
      <c r="C282" s="163"/>
      <c r="D282" s="163"/>
      <c r="E282" s="164"/>
      <c r="F282" s="165"/>
      <c r="G282" s="164"/>
      <c r="H282" s="163"/>
      <c r="I282" s="166"/>
      <c r="J282" s="167"/>
      <c r="K282" s="167"/>
      <c r="L282" s="167"/>
      <c r="M282" s="168"/>
      <c r="N282" s="168"/>
      <c r="O282" s="163"/>
      <c r="P282" s="163"/>
      <c r="Q282" s="163"/>
    </row>
    <row r="283" spans="1:17" s="169" customFormat="1" ht="30.75" customHeight="1" x14ac:dyDescent="0.4">
      <c r="A283" s="163"/>
      <c r="B283" s="163"/>
      <c r="C283" s="163"/>
      <c r="D283" s="163"/>
      <c r="E283" s="164"/>
      <c r="F283" s="165"/>
      <c r="G283" s="164"/>
      <c r="H283" s="163"/>
      <c r="I283" s="166"/>
      <c r="J283" s="167"/>
      <c r="K283" s="167"/>
      <c r="L283" s="167"/>
      <c r="M283" s="168"/>
      <c r="N283" s="168"/>
      <c r="O283" s="163"/>
      <c r="P283" s="163"/>
      <c r="Q283" s="163"/>
    </row>
    <row r="284" spans="1:17" s="169" customFormat="1" ht="30.75" customHeight="1" x14ac:dyDescent="0.4">
      <c r="A284" s="163"/>
      <c r="B284" s="163"/>
      <c r="C284" s="163"/>
      <c r="D284" s="163"/>
      <c r="E284" s="164"/>
      <c r="F284" s="165"/>
      <c r="G284" s="164"/>
      <c r="H284" s="163"/>
      <c r="I284" s="166"/>
      <c r="J284" s="167"/>
      <c r="K284" s="167"/>
      <c r="L284" s="167"/>
      <c r="M284" s="168"/>
      <c r="N284" s="168"/>
      <c r="O284" s="163"/>
      <c r="P284" s="163"/>
      <c r="Q284" s="163"/>
    </row>
    <row r="285" spans="1:17" s="169" customFormat="1" ht="30.75" customHeight="1" x14ac:dyDescent="0.4">
      <c r="A285" s="163"/>
      <c r="B285" s="163"/>
      <c r="C285" s="163"/>
      <c r="D285" s="163"/>
      <c r="E285" s="164"/>
      <c r="F285" s="165"/>
      <c r="G285" s="164"/>
      <c r="H285" s="163"/>
      <c r="I285" s="166"/>
      <c r="J285" s="167"/>
      <c r="K285" s="167"/>
      <c r="L285" s="167"/>
      <c r="M285" s="168"/>
      <c r="N285" s="168"/>
      <c r="O285" s="163"/>
      <c r="P285" s="163"/>
      <c r="Q285" s="163"/>
    </row>
    <row r="286" spans="1:17" s="169" customFormat="1" ht="30.75" customHeight="1" x14ac:dyDescent="0.4">
      <c r="A286" s="163"/>
      <c r="B286" s="163"/>
      <c r="C286" s="163"/>
      <c r="D286" s="163"/>
      <c r="E286" s="164"/>
      <c r="F286" s="165"/>
      <c r="G286" s="164"/>
      <c r="H286" s="163"/>
      <c r="I286" s="166"/>
      <c r="J286" s="167"/>
      <c r="K286" s="167"/>
      <c r="L286" s="167"/>
      <c r="M286" s="168"/>
      <c r="N286" s="168"/>
      <c r="O286" s="163"/>
      <c r="P286" s="163"/>
      <c r="Q286" s="163"/>
    </row>
    <row r="287" spans="1:17" s="169" customFormat="1" ht="30.75" customHeight="1" x14ac:dyDescent="0.4">
      <c r="A287" s="163"/>
      <c r="B287" s="163"/>
      <c r="C287" s="163"/>
      <c r="D287" s="163"/>
      <c r="E287" s="164"/>
      <c r="F287" s="165"/>
      <c r="G287" s="164"/>
      <c r="H287" s="163"/>
      <c r="I287" s="166"/>
      <c r="J287" s="167"/>
      <c r="K287" s="167"/>
      <c r="L287" s="167"/>
      <c r="M287" s="168"/>
      <c r="N287" s="168"/>
      <c r="O287" s="163"/>
      <c r="P287" s="163"/>
      <c r="Q287" s="163"/>
    </row>
    <row r="288" spans="1:17" s="169" customFormat="1" ht="30.75" customHeight="1" x14ac:dyDescent="0.4">
      <c r="A288" s="163"/>
      <c r="B288" s="163"/>
      <c r="C288" s="163"/>
      <c r="D288" s="163"/>
      <c r="E288" s="164"/>
      <c r="F288" s="165"/>
      <c r="G288" s="164"/>
      <c r="H288" s="163"/>
      <c r="I288" s="166"/>
      <c r="J288" s="167"/>
      <c r="K288" s="167"/>
      <c r="L288" s="167"/>
      <c r="M288" s="168"/>
      <c r="N288" s="168"/>
      <c r="O288" s="163"/>
      <c r="P288" s="163"/>
      <c r="Q288" s="163"/>
    </row>
    <row r="289" spans="1:17" s="169" customFormat="1" ht="30.75" customHeight="1" x14ac:dyDescent="0.4">
      <c r="A289" s="163"/>
      <c r="B289" s="163"/>
      <c r="C289" s="163"/>
      <c r="D289" s="163"/>
      <c r="E289" s="164"/>
      <c r="F289" s="165"/>
      <c r="G289" s="164"/>
      <c r="H289" s="163"/>
      <c r="I289" s="166"/>
      <c r="J289" s="167"/>
      <c r="K289" s="167"/>
      <c r="L289" s="167"/>
      <c r="M289" s="168"/>
      <c r="N289" s="168"/>
      <c r="O289" s="163"/>
      <c r="P289" s="163"/>
      <c r="Q289" s="163"/>
    </row>
    <row r="290" spans="1:17" s="169" customFormat="1" ht="30.75" customHeight="1" x14ac:dyDescent="0.4">
      <c r="A290" s="163"/>
      <c r="B290" s="163"/>
      <c r="C290" s="163"/>
      <c r="D290" s="163"/>
      <c r="E290" s="164"/>
      <c r="F290" s="165"/>
      <c r="G290" s="164"/>
      <c r="H290" s="163"/>
      <c r="I290" s="166"/>
      <c r="J290" s="167"/>
      <c r="K290" s="167"/>
      <c r="L290" s="167"/>
      <c r="M290" s="168"/>
      <c r="N290" s="168"/>
      <c r="O290" s="163"/>
      <c r="P290" s="163"/>
      <c r="Q290" s="163"/>
    </row>
    <row r="291" spans="1:17" s="169" customFormat="1" ht="30.75" customHeight="1" x14ac:dyDescent="0.4">
      <c r="A291" s="163"/>
      <c r="B291" s="163"/>
      <c r="C291" s="163"/>
      <c r="D291" s="163"/>
      <c r="E291" s="164"/>
      <c r="F291" s="165"/>
      <c r="G291" s="164"/>
      <c r="H291" s="163"/>
      <c r="I291" s="166"/>
      <c r="J291" s="167"/>
      <c r="K291" s="167"/>
      <c r="L291" s="167"/>
      <c r="M291" s="168"/>
      <c r="N291" s="168"/>
      <c r="O291" s="163"/>
      <c r="P291" s="163"/>
      <c r="Q291" s="163"/>
    </row>
    <row r="292" spans="1:17" s="169" customFormat="1" ht="30.75" customHeight="1" x14ac:dyDescent="0.4">
      <c r="A292" s="163"/>
      <c r="B292" s="163"/>
      <c r="C292" s="163"/>
      <c r="D292" s="163"/>
      <c r="E292" s="164"/>
      <c r="F292" s="165"/>
      <c r="G292" s="164"/>
      <c r="H292" s="163"/>
      <c r="I292" s="166"/>
      <c r="J292" s="167"/>
      <c r="K292" s="167"/>
      <c r="L292" s="167"/>
      <c r="M292" s="168"/>
      <c r="N292" s="168"/>
      <c r="O292" s="163"/>
      <c r="P292" s="163"/>
      <c r="Q292" s="163"/>
    </row>
    <row r="293" spans="1:17" s="169" customFormat="1" ht="30.75" customHeight="1" x14ac:dyDescent="0.4">
      <c r="A293" s="163"/>
      <c r="B293" s="163"/>
      <c r="C293" s="163"/>
      <c r="D293" s="163"/>
      <c r="E293" s="164"/>
      <c r="F293" s="165"/>
      <c r="G293" s="164"/>
      <c r="H293" s="163"/>
      <c r="I293" s="166"/>
      <c r="J293" s="167"/>
      <c r="K293" s="167"/>
      <c r="L293" s="167"/>
      <c r="M293" s="168"/>
      <c r="N293" s="168"/>
      <c r="O293" s="163"/>
      <c r="P293" s="163"/>
      <c r="Q293" s="163"/>
    </row>
    <row r="294" spans="1:17" s="169" customFormat="1" ht="30.75" customHeight="1" x14ac:dyDescent="0.4">
      <c r="A294" s="163"/>
      <c r="B294" s="163"/>
      <c r="C294" s="163"/>
      <c r="D294" s="163"/>
      <c r="E294" s="164"/>
      <c r="F294" s="165"/>
      <c r="G294" s="164"/>
      <c r="H294" s="163"/>
      <c r="I294" s="166"/>
      <c r="J294" s="167"/>
      <c r="K294" s="167"/>
      <c r="L294" s="167"/>
      <c r="M294" s="168"/>
      <c r="N294" s="168"/>
      <c r="O294" s="163"/>
      <c r="P294" s="163"/>
      <c r="Q294" s="163"/>
    </row>
    <row r="295" spans="1:17" s="169" customFormat="1" ht="30.75" customHeight="1" x14ac:dyDescent="0.4">
      <c r="A295" s="163"/>
      <c r="B295" s="163"/>
      <c r="C295" s="163"/>
      <c r="D295" s="163"/>
      <c r="E295" s="164"/>
      <c r="F295" s="165"/>
      <c r="G295" s="164"/>
      <c r="H295" s="163"/>
      <c r="I295" s="166"/>
      <c r="J295" s="167"/>
      <c r="K295" s="167"/>
      <c r="L295" s="167"/>
      <c r="M295" s="168"/>
      <c r="N295" s="168"/>
      <c r="O295" s="163"/>
      <c r="P295" s="163"/>
      <c r="Q295" s="163"/>
    </row>
    <row r="296" spans="1:17" s="169" customFormat="1" ht="30.75" customHeight="1" x14ac:dyDescent="0.4">
      <c r="A296" s="163"/>
      <c r="B296" s="163"/>
      <c r="C296" s="163"/>
      <c r="D296" s="163"/>
      <c r="E296" s="164"/>
      <c r="F296" s="165"/>
      <c r="G296" s="164"/>
      <c r="H296" s="163"/>
      <c r="I296" s="166"/>
      <c r="J296" s="167"/>
      <c r="K296" s="167"/>
      <c r="L296" s="167"/>
      <c r="M296" s="168"/>
      <c r="N296" s="168"/>
      <c r="O296" s="163"/>
      <c r="P296" s="163"/>
      <c r="Q296" s="163"/>
    </row>
    <row r="297" spans="1:17" s="169" customFormat="1" ht="30.75" customHeight="1" x14ac:dyDescent="0.4">
      <c r="A297" s="163"/>
      <c r="B297" s="163"/>
      <c r="C297" s="163"/>
      <c r="D297" s="163"/>
      <c r="E297" s="164"/>
      <c r="F297" s="165"/>
      <c r="G297" s="164"/>
      <c r="H297" s="163"/>
      <c r="I297" s="166"/>
      <c r="J297" s="167"/>
      <c r="K297" s="167"/>
      <c r="L297" s="167"/>
      <c r="M297" s="168"/>
      <c r="N297" s="168"/>
      <c r="O297" s="163"/>
      <c r="P297" s="163"/>
      <c r="Q297" s="163"/>
    </row>
    <row r="298" spans="1:17" s="169" customFormat="1" ht="30.75" customHeight="1" x14ac:dyDescent="0.4">
      <c r="A298" s="163"/>
      <c r="B298" s="163"/>
      <c r="C298" s="163"/>
      <c r="D298" s="163"/>
      <c r="E298" s="164"/>
      <c r="F298" s="165"/>
      <c r="G298" s="164"/>
      <c r="H298" s="163"/>
      <c r="I298" s="166"/>
      <c r="J298" s="167"/>
      <c r="K298" s="167"/>
      <c r="L298" s="167"/>
      <c r="M298" s="168"/>
      <c r="N298" s="168"/>
      <c r="O298" s="163"/>
      <c r="P298" s="163"/>
      <c r="Q298" s="163"/>
    </row>
    <row r="299" spans="1:17" s="169" customFormat="1" ht="30.75" customHeight="1" x14ac:dyDescent="0.4">
      <c r="A299" s="163"/>
      <c r="B299" s="163"/>
      <c r="C299" s="163"/>
      <c r="D299" s="163"/>
      <c r="E299" s="164"/>
      <c r="F299" s="165"/>
      <c r="G299" s="164"/>
      <c r="H299" s="163"/>
      <c r="I299" s="166"/>
      <c r="J299" s="167"/>
      <c r="K299" s="167"/>
      <c r="L299" s="167"/>
      <c r="M299" s="168"/>
      <c r="N299" s="168"/>
      <c r="O299" s="163"/>
      <c r="P299" s="163"/>
      <c r="Q299" s="163"/>
    </row>
    <row r="300" spans="1:17" s="169" customFormat="1" ht="30.75" customHeight="1" x14ac:dyDescent="0.4">
      <c r="A300" s="163"/>
      <c r="B300" s="163"/>
      <c r="C300" s="163"/>
      <c r="D300" s="163"/>
      <c r="E300" s="164"/>
      <c r="F300" s="165"/>
      <c r="G300" s="164"/>
      <c r="H300" s="163"/>
      <c r="I300" s="166"/>
      <c r="J300" s="167"/>
      <c r="K300" s="167"/>
      <c r="L300" s="167"/>
      <c r="M300" s="168"/>
      <c r="N300" s="168"/>
      <c r="O300" s="163"/>
      <c r="P300" s="163"/>
      <c r="Q300" s="163"/>
    </row>
    <row r="301" spans="1:17" s="169" customFormat="1" ht="30.75" customHeight="1" x14ac:dyDescent="0.4">
      <c r="A301" s="163"/>
      <c r="B301" s="163"/>
      <c r="C301" s="163"/>
      <c r="D301" s="163"/>
      <c r="E301" s="164"/>
      <c r="F301" s="165"/>
      <c r="G301" s="164"/>
      <c r="H301" s="163"/>
      <c r="I301" s="166"/>
      <c r="J301" s="167"/>
      <c r="K301" s="167"/>
      <c r="L301" s="167"/>
      <c r="M301" s="168"/>
      <c r="N301" s="168"/>
      <c r="O301" s="163"/>
      <c r="P301" s="163"/>
      <c r="Q301" s="163"/>
    </row>
    <row r="302" spans="1:17" s="169" customFormat="1" ht="30.75" customHeight="1" x14ac:dyDescent="0.4">
      <c r="A302" s="163"/>
      <c r="B302" s="163"/>
      <c r="C302" s="163"/>
      <c r="D302" s="163"/>
      <c r="E302" s="164"/>
      <c r="F302" s="165"/>
      <c r="G302" s="164"/>
      <c r="H302" s="163"/>
      <c r="I302" s="166"/>
      <c r="J302" s="167"/>
      <c r="K302" s="167"/>
      <c r="L302" s="167"/>
      <c r="M302" s="168"/>
      <c r="N302" s="168"/>
      <c r="O302" s="163"/>
      <c r="P302" s="163"/>
      <c r="Q302" s="163"/>
    </row>
    <row r="303" spans="1:17" s="169" customFormat="1" ht="30.75" customHeight="1" x14ac:dyDescent="0.4">
      <c r="A303" s="163"/>
      <c r="B303" s="163"/>
      <c r="C303" s="163"/>
      <c r="D303" s="163"/>
      <c r="E303" s="164"/>
      <c r="F303" s="165"/>
      <c r="G303" s="164"/>
      <c r="H303" s="163"/>
      <c r="I303" s="166"/>
      <c r="J303" s="167"/>
      <c r="K303" s="167"/>
      <c r="L303" s="167"/>
      <c r="M303" s="168"/>
      <c r="N303" s="168"/>
      <c r="O303" s="163"/>
      <c r="P303" s="163"/>
      <c r="Q303" s="163"/>
    </row>
    <row r="304" spans="1:17" s="169" customFormat="1" ht="30.75" customHeight="1" x14ac:dyDescent="0.4">
      <c r="A304" s="163"/>
      <c r="B304" s="163"/>
      <c r="C304" s="163"/>
      <c r="D304" s="163"/>
      <c r="E304" s="164"/>
      <c r="F304" s="165"/>
      <c r="G304" s="164"/>
      <c r="H304" s="163"/>
      <c r="I304" s="166"/>
      <c r="J304" s="167"/>
      <c r="K304" s="167"/>
      <c r="L304" s="167"/>
      <c r="M304" s="168"/>
      <c r="N304" s="168"/>
      <c r="O304" s="163"/>
      <c r="P304" s="163"/>
      <c r="Q304" s="163"/>
    </row>
    <row r="305" spans="1:17" s="169" customFormat="1" ht="30.75" customHeight="1" x14ac:dyDescent="0.4">
      <c r="A305" s="163"/>
      <c r="B305" s="163"/>
      <c r="C305" s="163"/>
      <c r="D305" s="163"/>
      <c r="E305" s="164"/>
      <c r="F305" s="165"/>
      <c r="G305" s="164"/>
      <c r="H305" s="163"/>
      <c r="I305" s="166"/>
      <c r="J305" s="167"/>
      <c r="K305" s="167"/>
      <c r="L305" s="167"/>
      <c r="M305" s="168"/>
      <c r="N305" s="168"/>
      <c r="O305" s="163"/>
      <c r="P305" s="163"/>
      <c r="Q305" s="163"/>
    </row>
    <row r="306" spans="1:17" s="169" customFormat="1" ht="30.75" customHeight="1" x14ac:dyDescent="0.4">
      <c r="A306" s="163"/>
      <c r="B306" s="163"/>
      <c r="C306" s="163"/>
      <c r="D306" s="163"/>
      <c r="E306" s="164"/>
      <c r="F306" s="165"/>
      <c r="G306" s="164"/>
      <c r="H306" s="163"/>
      <c r="I306" s="166"/>
      <c r="J306" s="167"/>
      <c r="K306" s="167"/>
      <c r="L306" s="167"/>
      <c r="M306" s="168"/>
      <c r="N306" s="168"/>
      <c r="O306" s="163"/>
      <c r="P306" s="163"/>
      <c r="Q306" s="163"/>
    </row>
    <row r="307" spans="1:17" s="169" customFormat="1" ht="30.75" customHeight="1" x14ac:dyDescent="0.4">
      <c r="A307" s="163"/>
      <c r="B307" s="163"/>
      <c r="C307" s="163"/>
      <c r="D307" s="163"/>
      <c r="E307" s="164"/>
      <c r="F307" s="165"/>
      <c r="G307" s="164"/>
      <c r="H307" s="163"/>
      <c r="I307" s="166"/>
      <c r="J307" s="167"/>
      <c r="K307" s="167"/>
      <c r="L307" s="167"/>
      <c r="M307" s="168"/>
      <c r="N307" s="168"/>
      <c r="O307" s="163"/>
      <c r="P307" s="163"/>
      <c r="Q307" s="163"/>
    </row>
    <row r="308" spans="1:17" s="169" customFormat="1" ht="30.75" customHeight="1" x14ac:dyDescent="0.4">
      <c r="A308" s="163"/>
      <c r="B308" s="163"/>
      <c r="C308" s="163"/>
      <c r="D308" s="163"/>
      <c r="E308" s="164"/>
      <c r="F308" s="165"/>
      <c r="G308" s="164"/>
      <c r="H308" s="163"/>
      <c r="I308" s="166"/>
      <c r="J308" s="167"/>
      <c r="K308" s="167"/>
      <c r="L308" s="167"/>
      <c r="M308" s="168"/>
      <c r="N308" s="168"/>
      <c r="O308" s="163"/>
      <c r="P308" s="163"/>
      <c r="Q308" s="163"/>
    </row>
    <row r="309" spans="1:17" s="169" customFormat="1" ht="30.75" customHeight="1" x14ac:dyDescent="0.4">
      <c r="A309" s="163"/>
      <c r="B309" s="163"/>
      <c r="C309" s="163"/>
      <c r="D309" s="163"/>
      <c r="E309" s="164"/>
      <c r="F309" s="165"/>
      <c r="G309" s="164"/>
      <c r="H309" s="163"/>
      <c r="I309" s="166"/>
      <c r="J309" s="167"/>
      <c r="K309" s="167"/>
      <c r="L309" s="167"/>
      <c r="M309" s="168"/>
      <c r="N309" s="168"/>
      <c r="O309" s="163"/>
      <c r="P309" s="163"/>
      <c r="Q309" s="163"/>
    </row>
    <row r="310" spans="1:17" s="169" customFormat="1" ht="30.75" customHeight="1" x14ac:dyDescent="0.4">
      <c r="A310" s="163"/>
      <c r="B310" s="163"/>
      <c r="C310" s="163"/>
      <c r="D310" s="163"/>
      <c r="E310" s="164"/>
      <c r="F310" s="165"/>
      <c r="G310" s="164"/>
      <c r="H310" s="163"/>
      <c r="I310" s="166"/>
      <c r="J310" s="167"/>
      <c r="K310" s="167"/>
      <c r="L310" s="167"/>
      <c r="M310" s="168"/>
      <c r="N310" s="168"/>
      <c r="O310" s="163"/>
      <c r="P310" s="163"/>
      <c r="Q310" s="163"/>
    </row>
    <row r="311" spans="1:17" s="169" customFormat="1" ht="30.75" customHeight="1" x14ac:dyDescent="0.4">
      <c r="A311" s="163"/>
      <c r="B311" s="163"/>
      <c r="C311" s="163"/>
      <c r="D311" s="163"/>
      <c r="E311" s="164"/>
      <c r="F311" s="165"/>
      <c r="G311" s="164"/>
      <c r="H311" s="163"/>
      <c r="I311" s="166"/>
      <c r="J311" s="167"/>
      <c r="K311" s="167"/>
      <c r="L311" s="167"/>
      <c r="M311" s="168"/>
      <c r="N311" s="168"/>
      <c r="O311" s="163"/>
      <c r="P311" s="163"/>
      <c r="Q311" s="163"/>
    </row>
    <row r="312" spans="1:17" s="169" customFormat="1" ht="30.75" customHeight="1" x14ac:dyDescent="0.4">
      <c r="A312" s="163"/>
      <c r="B312" s="163"/>
      <c r="C312" s="163"/>
      <c r="D312" s="163"/>
      <c r="E312" s="164"/>
      <c r="F312" s="165"/>
      <c r="G312" s="164"/>
      <c r="H312" s="163"/>
      <c r="I312" s="166"/>
      <c r="J312" s="167"/>
      <c r="K312" s="167"/>
      <c r="L312" s="167"/>
      <c r="M312" s="168"/>
      <c r="N312" s="168"/>
      <c r="O312" s="163"/>
      <c r="P312" s="163"/>
      <c r="Q312" s="163"/>
    </row>
    <row r="313" spans="1:17" s="169" customFormat="1" ht="30.75" customHeight="1" x14ac:dyDescent="0.4">
      <c r="A313" s="163"/>
      <c r="B313" s="163"/>
      <c r="C313" s="163"/>
      <c r="D313" s="163"/>
      <c r="E313" s="164"/>
      <c r="F313" s="165"/>
      <c r="G313" s="164"/>
      <c r="H313" s="163"/>
      <c r="I313" s="166"/>
      <c r="J313" s="167"/>
      <c r="K313" s="167"/>
      <c r="L313" s="167"/>
      <c r="M313" s="168"/>
      <c r="N313" s="168"/>
      <c r="O313" s="163"/>
      <c r="P313" s="163"/>
      <c r="Q313" s="163"/>
    </row>
    <row r="314" spans="1:17" s="169" customFormat="1" ht="30.75" customHeight="1" x14ac:dyDescent="0.4">
      <c r="A314" s="163"/>
      <c r="B314" s="163"/>
      <c r="C314" s="163"/>
      <c r="D314" s="163"/>
      <c r="E314" s="164"/>
      <c r="F314" s="165"/>
      <c r="G314" s="164"/>
      <c r="H314" s="163"/>
      <c r="I314" s="166"/>
      <c r="J314" s="167"/>
      <c r="K314" s="167"/>
      <c r="L314" s="167"/>
      <c r="M314" s="168"/>
      <c r="N314" s="168"/>
      <c r="O314" s="163"/>
      <c r="P314" s="163"/>
      <c r="Q314" s="163"/>
    </row>
    <row r="315" spans="1:17" s="169" customFormat="1" ht="30.75" customHeight="1" x14ac:dyDescent="0.4">
      <c r="A315" s="163"/>
      <c r="B315" s="163"/>
      <c r="C315" s="163"/>
      <c r="D315" s="163"/>
      <c r="E315" s="164"/>
      <c r="F315" s="165"/>
      <c r="G315" s="164"/>
      <c r="H315" s="163"/>
      <c r="I315" s="166"/>
      <c r="J315" s="167"/>
      <c r="K315" s="167"/>
      <c r="L315" s="167"/>
      <c r="M315" s="168"/>
      <c r="N315" s="168"/>
      <c r="O315" s="163"/>
      <c r="P315" s="163"/>
      <c r="Q315" s="163"/>
    </row>
    <row r="316" spans="1:17" s="169" customFormat="1" ht="30.75" customHeight="1" x14ac:dyDescent="0.4">
      <c r="A316" s="163"/>
      <c r="B316" s="163"/>
      <c r="C316" s="163"/>
      <c r="D316" s="163"/>
      <c r="E316" s="164"/>
      <c r="F316" s="165"/>
      <c r="G316" s="164"/>
      <c r="H316" s="163"/>
      <c r="I316" s="166"/>
      <c r="J316" s="167"/>
      <c r="K316" s="167"/>
      <c r="L316" s="167"/>
      <c r="M316" s="168"/>
      <c r="N316" s="168"/>
      <c r="O316" s="163"/>
      <c r="P316" s="163"/>
      <c r="Q316" s="163"/>
    </row>
    <row r="317" spans="1:17" s="169" customFormat="1" ht="30.75" customHeight="1" x14ac:dyDescent="0.4">
      <c r="A317" s="163"/>
      <c r="B317" s="163"/>
      <c r="C317" s="163"/>
      <c r="D317" s="163"/>
      <c r="E317" s="164"/>
      <c r="F317" s="165"/>
      <c r="G317" s="164"/>
      <c r="H317" s="163"/>
      <c r="I317" s="166"/>
      <c r="J317" s="167"/>
      <c r="K317" s="167"/>
      <c r="L317" s="167"/>
      <c r="M317" s="168"/>
      <c r="N317" s="168"/>
      <c r="O317" s="163"/>
      <c r="P317" s="163"/>
      <c r="Q317" s="163"/>
    </row>
    <row r="318" spans="1:17" s="169" customFormat="1" ht="30.75" customHeight="1" x14ac:dyDescent="0.4">
      <c r="A318" s="163"/>
      <c r="B318" s="163"/>
      <c r="C318" s="163"/>
      <c r="D318" s="163"/>
      <c r="E318" s="164"/>
      <c r="F318" s="165"/>
      <c r="G318" s="164"/>
      <c r="H318" s="163"/>
      <c r="I318" s="166"/>
      <c r="J318" s="167"/>
      <c r="K318" s="167"/>
      <c r="L318" s="167"/>
      <c r="M318" s="168"/>
      <c r="N318" s="168"/>
      <c r="O318" s="163"/>
      <c r="P318" s="163"/>
      <c r="Q318" s="163"/>
    </row>
    <row r="319" spans="1:17" s="169" customFormat="1" ht="30.75" customHeight="1" x14ac:dyDescent="0.4">
      <c r="A319" s="163"/>
      <c r="B319" s="163"/>
      <c r="C319" s="163"/>
      <c r="D319" s="163"/>
      <c r="E319" s="164"/>
      <c r="F319" s="165"/>
      <c r="G319" s="164"/>
      <c r="H319" s="163"/>
      <c r="I319" s="166"/>
      <c r="J319" s="167"/>
      <c r="K319" s="167"/>
      <c r="L319" s="167"/>
      <c r="M319" s="168"/>
      <c r="N319" s="168"/>
      <c r="O319" s="163"/>
      <c r="P319" s="163"/>
      <c r="Q319" s="163"/>
    </row>
    <row r="320" spans="1:17" s="169" customFormat="1" ht="30.75" customHeight="1" x14ac:dyDescent="0.4">
      <c r="A320" s="163"/>
      <c r="B320" s="163"/>
      <c r="C320" s="163"/>
      <c r="D320" s="163"/>
      <c r="E320" s="164"/>
      <c r="F320" s="165"/>
      <c r="G320" s="164"/>
      <c r="H320" s="163"/>
      <c r="I320" s="166"/>
      <c r="J320" s="167"/>
      <c r="K320" s="167"/>
      <c r="L320" s="167"/>
      <c r="M320" s="168"/>
      <c r="N320" s="168"/>
      <c r="O320" s="163"/>
      <c r="P320" s="163"/>
      <c r="Q320" s="163"/>
    </row>
    <row r="321" spans="1:17" s="169" customFormat="1" ht="30.75" customHeight="1" x14ac:dyDescent="0.4">
      <c r="A321" s="163"/>
      <c r="B321" s="163"/>
      <c r="C321" s="163"/>
      <c r="D321" s="163"/>
      <c r="E321" s="164"/>
      <c r="F321" s="165"/>
      <c r="G321" s="164"/>
      <c r="H321" s="163"/>
      <c r="I321" s="166"/>
      <c r="J321" s="167"/>
      <c r="K321" s="167"/>
      <c r="L321" s="167"/>
      <c r="M321" s="168"/>
      <c r="N321" s="168"/>
      <c r="O321" s="163"/>
      <c r="P321" s="163"/>
      <c r="Q321" s="163"/>
    </row>
    <row r="322" spans="1:17" s="169" customFormat="1" ht="30.75" customHeight="1" x14ac:dyDescent="0.4">
      <c r="A322" s="163"/>
      <c r="B322" s="163"/>
      <c r="C322" s="163"/>
      <c r="D322" s="163"/>
      <c r="E322" s="164"/>
      <c r="F322" s="165"/>
      <c r="G322" s="164"/>
      <c r="H322" s="163"/>
      <c r="I322" s="166"/>
      <c r="J322" s="167"/>
      <c r="K322" s="167"/>
      <c r="L322" s="167"/>
      <c r="M322" s="168"/>
      <c r="N322" s="168"/>
      <c r="O322" s="163"/>
      <c r="P322" s="163"/>
      <c r="Q322" s="163"/>
    </row>
    <row r="323" spans="1:17" s="169" customFormat="1" ht="30.75" customHeight="1" x14ac:dyDescent="0.4">
      <c r="A323" s="163"/>
      <c r="B323" s="163"/>
      <c r="C323" s="163"/>
      <c r="D323" s="163"/>
      <c r="E323" s="164"/>
      <c r="F323" s="165"/>
      <c r="G323" s="164"/>
      <c r="H323" s="163"/>
      <c r="I323" s="166"/>
      <c r="J323" s="167"/>
      <c r="K323" s="167"/>
      <c r="L323" s="167"/>
      <c r="M323" s="168"/>
      <c r="N323" s="168"/>
      <c r="O323" s="163"/>
      <c r="P323" s="163"/>
      <c r="Q323" s="163"/>
    </row>
    <row r="324" spans="1:17" s="169" customFormat="1" ht="30.75" customHeight="1" x14ac:dyDescent="0.4">
      <c r="A324" s="163"/>
      <c r="B324" s="163"/>
      <c r="C324" s="163"/>
      <c r="D324" s="163"/>
      <c r="E324" s="164"/>
      <c r="F324" s="165"/>
      <c r="G324" s="164"/>
      <c r="H324" s="163"/>
      <c r="I324" s="166"/>
      <c r="J324" s="167"/>
      <c r="K324" s="167"/>
      <c r="L324" s="167"/>
      <c r="M324" s="168"/>
      <c r="N324" s="168"/>
      <c r="O324" s="163"/>
      <c r="P324" s="163"/>
      <c r="Q324" s="163"/>
    </row>
    <row r="325" spans="1:17" s="169" customFormat="1" ht="30.75" customHeight="1" x14ac:dyDescent="0.4">
      <c r="A325" s="163"/>
      <c r="B325" s="163"/>
      <c r="C325" s="163"/>
      <c r="D325" s="163"/>
      <c r="E325" s="164"/>
      <c r="F325" s="165"/>
      <c r="G325" s="164"/>
      <c r="H325" s="163"/>
      <c r="I325" s="166"/>
      <c r="J325" s="167"/>
      <c r="K325" s="167"/>
      <c r="L325" s="167"/>
      <c r="M325" s="168"/>
      <c r="N325" s="168"/>
      <c r="O325" s="163"/>
      <c r="P325" s="163"/>
      <c r="Q325" s="163"/>
    </row>
    <row r="326" spans="1:17" s="169" customFormat="1" ht="30.75" customHeight="1" x14ac:dyDescent="0.4">
      <c r="A326" s="163"/>
      <c r="B326" s="163"/>
      <c r="C326" s="163"/>
      <c r="D326" s="163"/>
      <c r="E326" s="164"/>
      <c r="F326" s="165"/>
      <c r="G326" s="164"/>
      <c r="H326" s="163"/>
      <c r="I326" s="166"/>
      <c r="J326" s="167"/>
      <c r="K326" s="167"/>
      <c r="L326" s="167"/>
      <c r="M326" s="168"/>
      <c r="N326" s="168"/>
      <c r="O326" s="163"/>
      <c r="P326" s="163"/>
      <c r="Q326" s="163"/>
    </row>
    <row r="327" spans="1:17" s="169" customFormat="1" ht="30.75" customHeight="1" x14ac:dyDescent="0.4">
      <c r="A327" s="163"/>
      <c r="B327" s="163"/>
      <c r="C327" s="163"/>
      <c r="D327" s="163"/>
      <c r="E327" s="164"/>
      <c r="F327" s="165"/>
      <c r="G327" s="164"/>
      <c r="H327" s="163"/>
      <c r="I327" s="166"/>
      <c r="J327" s="167"/>
      <c r="K327" s="167"/>
      <c r="L327" s="167"/>
      <c r="M327" s="168"/>
      <c r="N327" s="168"/>
      <c r="O327" s="163"/>
      <c r="P327" s="163"/>
      <c r="Q327" s="163"/>
    </row>
    <row r="328" spans="1:17" s="169" customFormat="1" ht="30.75" customHeight="1" x14ac:dyDescent="0.4">
      <c r="A328" s="163"/>
      <c r="B328" s="163"/>
      <c r="C328" s="163"/>
      <c r="D328" s="163"/>
      <c r="E328" s="164"/>
      <c r="F328" s="165"/>
      <c r="G328" s="164"/>
      <c r="H328" s="163"/>
      <c r="I328" s="166"/>
      <c r="J328" s="167"/>
      <c r="K328" s="167"/>
      <c r="L328" s="167"/>
      <c r="M328" s="168"/>
      <c r="N328" s="168"/>
      <c r="O328" s="163"/>
      <c r="P328" s="163"/>
      <c r="Q328" s="163"/>
    </row>
    <row r="329" spans="1:17" s="169" customFormat="1" ht="30.75" customHeight="1" x14ac:dyDescent="0.4">
      <c r="A329" s="163"/>
      <c r="B329" s="163"/>
      <c r="C329" s="163"/>
      <c r="D329" s="163"/>
      <c r="E329" s="164"/>
      <c r="F329" s="165"/>
      <c r="G329" s="164"/>
      <c r="H329" s="163"/>
      <c r="I329" s="166"/>
      <c r="J329" s="167"/>
      <c r="K329" s="167"/>
      <c r="L329" s="167"/>
      <c r="M329" s="168"/>
      <c r="N329" s="168"/>
      <c r="O329" s="163"/>
      <c r="P329" s="163"/>
      <c r="Q329" s="163"/>
    </row>
    <row r="330" spans="1:17" s="169" customFormat="1" ht="30.75" customHeight="1" x14ac:dyDescent="0.4">
      <c r="A330" s="163"/>
      <c r="B330" s="163"/>
      <c r="C330" s="163"/>
      <c r="D330" s="163"/>
      <c r="E330" s="164"/>
      <c r="F330" s="165"/>
      <c r="G330" s="164"/>
      <c r="H330" s="163"/>
      <c r="I330" s="166"/>
      <c r="J330" s="167"/>
      <c r="K330" s="167"/>
      <c r="L330" s="167"/>
      <c r="M330" s="168"/>
      <c r="N330" s="168"/>
      <c r="O330" s="163"/>
      <c r="P330" s="163"/>
      <c r="Q330" s="163"/>
    </row>
    <row r="331" spans="1:17" s="169" customFormat="1" ht="30.75" customHeight="1" x14ac:dyDescent="0.4">
      <c r="A331" s="163"/>
      <c r="B331" s="163"/>
      <c r="C331" s="163"/>
      <c r="D331" s="163"/>
      <c r="E331" s="164"/>
      <c r="F331" s="165"/>
      <c r="G331" s="164"/>
      <c r="H331" s="163"/>
      <c r="I331" s="166"/>
      <c r="J331" s="167"/>
      <c r="K331" s="167"/>
      <c r="L331" s="167"/>
      <c r="M331" s="168"/>
      <c r="N331" s="168"/>
      <c r="O331" s="163"/>
      <c r="P331" s="163"/>
      <c r="Q331" s="163"/>
    </row>
    <row r="332" spans="1:17" s="169" customFormat="1" ht="30.75" customHeight="1" x14ac:dyDescent="0.4">
      <c r="A332" s="163"/>
      <c r="B332" s="163"/>
      <c r="C332" s="163"/>
      <c r="D332" s="163"/>
      <c r="E332" s="164"/>
      <c r="F332" s="165"/>
      <c r="G332" s="164"/>
      <c r="H332" s="163"/>
      <c r="I332" s="166"/>
      <c r="J332" s="167"/>
      <c r="K332" s="167"/>
      <c r="L332" s="167"/>
      <c r="M332" s="168"/>
      <c r="N332" s="168"/>
      <c r="O332" s="163"/>
      <c r="P332" s="163"/>
      <c r="Q332" s="163"/>
    </row>
    <row r="333" spans="1:17" s="169" customFormat="1" ht="30.75" customHeight="1" x14ac:dyDescent="0.4">
      <c r="A333" s="163"/>
      <c r="B333" s="163"/>
      <c r="C333" s="163"/>
      <c r="D333" s="163"/>
      <c r="E333" s="164"/>
      <c r="F333" s="165"/>
      <c r="G333" s="164"/>
      <c r="H333" s="163"/>
      <c r="I333" s="166"/>
      <c r="J333" s="167"/>
      <c r="K333" s="167"/>
      <c r="L333" s="167"/>
      <c r="M333" s="168"/>
      <c r="N333" s="168"/>
      <c r="O333" s="163"/>
      <c r="P333" s="163"/>
      <c r="Q333" s="163"/>
    </row>
    <row r="334" spans="1:17" s="169" customFormat="1" ht="30.75" customHeight="1" x14ac:dyDescent="0.4">
      <c r="A334" s="163"/>
      <c r="B334" s="163"/>
      <c r="C334" s="163"/>
      <c r="D334" s="163"/>
      <c r="E334" s="164"/>
      <c r="F334" s="165"/>
      <c r="G334" s="164"/>
      <c r="H334" s="163"/>
      <c r="I334" s="166"/>
      <c r="J334" s="167"/>
      <c r="K334" s="167"/>
      <c r="L334" s="167"/>
      <c r="M334" s="168"/>
      <c r="N334" s="168"/>
      <c r="O334" s="163"/>
      <c r="P334" s="163"/>
      <c r="Q334" s="163"/>
    </row>
    <row r="335" spans="1:17" s="169" customFormat="1" ht="30.75" customHeight="1" x14ac:dyDescent="0.4">
      <c r="A335" s="163"/>
      <c r="B335" s="163"/>
      <c r="C335" s="163"/>
      <c r="D335" s="163"/>
      <c r="E335" s="164"/>
      <c r="F335" s="165"/>
      <c r="G335" s="164"/>
      <c r="H335" s="163"/>
      <c r="I335" s="166"/>
      <c r="J335" s="167"/>
      <c r="K335" s="167"/>
      <c r="L335" s="167"/>
      <c r="M335" s="168"/>
      <c r="N335" s="168"/>
      <c r="O335" s="163"/>
      <c r="P335" s="163"/>
      <c r="Q335" s="163"/>
    </row>
    <row r="336" spans="1:17" s="169" customFormat="1" ht="30.75" customHeight="1" x14ac:dyDescent="0.4">
      <c r="A336" s="163"/>
      <c r="B336" s="163"/>
      <c r="C336" s="163"/>
      <c r="D336" s="163"/>
      <c r="E336" s="164"/>
      <c r="F336" s="165"/>
      <c r="G336" s="164"/>
      <c r="H336" s="163"/>
      <c r="I336" s="166"/>
      <c r="J336" s="167"/>
      <c r="K336" s="167"/>
      <c r="L336" s="167"/>
      <c r="M336" s="168"/>
      <c r="N336" s="168"/>
      <c r="O336" s="163"/>
      <c r="P336" s="163"/>
      <c r="Q336" s="163"/>
    </row>
    <row r="337" spans="1:17" s="169" customFormat="1" ht="30.75" customHeight="1" x14ac:dyDescent="0.4">
      <c r="A337" s="163"/>
      <c r="B337" s="163"/>
      <c r="C337" s="163"/>
      <c r="D337" s="163"/>
      <c r="E337" s="164"/>
      <c r="F337" s="165"/>
      <c r="G337" s="164"/>
      <c r="H337" s="163"/>
      <c r="I337" s="166"/>
      <c r="J337" s="167"/>
      <c r="K337" s="167"/>
      <c r="L337" s="167"/>
      <c r="M337" s="168"/>
      <c r="N337" s="168"/>
      <c r="O337" s="163"/>
      <c r="P337" s="163"/>
      <c r="Q337" s="163"/>
    </row>
    <row r="338" spans="1:17" s="169" customFormat="1" ht="30.75" customHeight="1" x14ac:dyDescent="0.4">
      <c r="A338" s="163"/>
      <c r="B338" s="163"/>
      <c r="C338" s="163"/>
      <c r="D338" s="163"/>
      <c r="E338" s="164"/>
      <c r="F338" s="165"/>
      <c r="G338" s="164"/>
      <c r="H338" s="163"/>
      <c r="I338" s="166"/>
      <c r="J338" s="167"/>
      <c r="K338" s="167"/>
      <c r="L338" s="167"/>
      <c r="M338" s="168"/>
      <c r="N338" s="168"/>
      <c r="O338" s="163"/>
      <c r="P338" s="163"/>
      <c r="Q338" s="163"/>
    </row>
    <row r="339" spans="1:17" s="169" customFormat="1" ht="30.75" customHeight="1" x14ac:dyDescent="0.4">
      <c r="A339" s="163"/>
      <c r="B339" s="163"/>
      <c r="C339" s="163"/>
      <c r="D339" s="163"/>
      <c r="E339" s="164"/>
      <c r="F339" s="165"/>
      <c r="G339" s="164"/>
      <c r="H339" s="163"/>
      <c r="I339" s="166"/>
      <c r="J339" s="167"/>
      <c r="K339" s="167"/>
      <c r="L339" s="167"/>
      <c r="M339" s="168"/>
      <c r="N339" s="168"/>
      <c r="O339" s="163"/>
      <c r="P339" s="163"/>
      <c r="Q339" s="163"/>
    </row>
    <row r="340" spans="1:17" s="169" customFormat="1" ht="30.75" customHeight="1" x14ac:dyDescent="0.4">
      <c r="A340" s="163"/>
      <c r="B340" s="163"/>
      <c r="C340" s="163"/>
      <c r="D340" s="163"/>
      <c r="E340" s="164"/>
      <c r="F340" s="165"/>
      <c r="G340" s="164"/>
      <c r="H340" s="163"/>
      <c r="I340" s="166"/>
      <c r="J340" s="167"/>
      <c r="K340" s="167"/>
      <c r="L340" s="167"/>
      <c r="M340" s="168"/>
      <c r="N340" s="168"/>
      <c r="O340" s="163"/>
      <c r="P340" s="163"/>
      <c r="Q340" s="163"/>
    </row>
    <row r="341" spans="1:17" s="169" customFormat="1" ht="30.75" customHeight="1" x14ac:dyDescent="0.4">
      <c r="A341" s="163"/>
      <c r="B341" s="163"/>
      <c r="C341" s="163"/>
      <c r="D341" s="163"/>
      <c r="E341" s="164"/>
      <c r="F341" s="165"/>
      <c r="G341" s="164"/>
      <c r="H341" s="163"/>
      <c r="I341" s="166"/>
      <c r="J341" s="167"/>
      <c r="K341" s="167"/>
      <c r="L341" s="167"/>
      <c r="M341" s="168"/>
      <c r="N341" s="168"/>
      <c r="O341" s="163"/>
      <c r="P341" s="163"/>
      <c r="Q341" s="163"/>
    </row>
    <row r="342" spans="1:17" s="169" customFormat="1" ht="30.75" customHeight="1" x14ac:dyDescent="0.4">
      <c r="A342" s="163"/>
      <c r="B342" s="163"/>
      <c r="C342" s="163"/>
      <c r="D342" s="163"/>
      <c r="E342" s="164"/>
      <c r="F342" s="165"/>
      <c r="G342" s="164"/>
      <c r="H342" s="163"/>
      <c r="I342" s="166"/>
      <c r="J342" s="167"/>
      <c r="K342" s="167"/>
      <c r="L342" s="167"/>
      <c r="M342" s="168"/>
      <c r="N342" s="168"/>
      <c r="O342" s="163"/>
      <c r="P342" s="163"/>
      <c r="Q342" s="163"/>
    </row>
    <row r="343" spans="1:17" s="169" customFormat="1" ht="30.75" customHeight="1" x14ac:dyDescent="0.4">
      <c r="A343" s="163"/>
      <c r="B343" s="163"/>
      <c r="C343" s="163"/>
      <c r="D343" s="163"/>
      <c r="E343" s="164"/>
      <c r="F343" s="165"/>
      <c r="G343" s="164"/>
      <c r="H343" s="163"/>
      <c r="I343" s="166"/>
      <c r="J343" s="167"/>
      <c r="K343" s="167"/>
      <c r="L343" s="167"/>
      <c r="M343" s="168"/>
      <c r="N343" s="168"/>
      <c r="O343" s="163"/>
      <c r="P343" s="163"/>
      <c r="Q343" s="163"/>
    </row>
    <row r="344" spans="1:17" s="169" customFormat="1" ht="30.75" customHeight="1" x14ac:dyDescent="0.4">
      <c r="A344" s="163"/>
      <c r="B344" s="163"/>
      <c r="C344" s="163"/>
      <c r="D344" s="163"/>
      <c r="E344" s="164"/>
      <c r="F344" s="165"/>
      <c r="G344" s="164"/>
      <c r="H344" s="163"/>
      <c r="I344" s="166"/>
      <c r="J344" s="167"/>
      <c r="K344" s="167"/>
      <c r="L344" s="167"/>
      <c r="M344" s="168"/>
      <c r="N344" s="168"/>
      <c r="O344" s="163"/>
      <c r="P344" s="163"/>
      <c r="Q344" s="163"/>
    </row>
    <row r="345" spans="1:17" s="169" customFormat="1" ht="30.75" customHeight="1" x14ac:dyDescent="0.4">
      <c r="A345" s="163"/>
      <c r="B345" s="163"/>
      <c r="C345" s="163"/>
      <c r="D345" s="163"/>
      <c r="E345" s="164"/>
      <c r="F345" s="165"/>
      <c r="G345" s="164"/>
      <c r="H345" s="163"/>
      <c r="I345" s="166"/>
      <c r="J345" s="167"/>
      <c r="K345" s="167"/>
      <c r="L345" s="167"/>
      <c r="M345" s="168"/>
      <c r="N345" s="168"/>
      <c r="O345" s="163"/>
      <c r="P345" s="163"/>
      <c r="Q345" s="163"/>
    </row>
    <row r="346" spans="1:17" s="169" customFormat="1" ht="30.75" customHeight="1" x14ac:dyDescent="0.4">
      <c r="A346" s="163"/>
      <c r="B346" s="163"/>
      <c r="C346" s="163"/>
      <c r="D346" s="163"/>
      <c r="E346" s="164"/>
      <c r="F346" s="165"/>
      <c r="G346" s="164"/>
      <c r="H346" s="163"/>
      <c r="I346" s="166"/>
      <c r="J346" s="167"/>
      <c r="K346" s="167"/>
      <c r="L346" s="167"/>
      <c r="M346" s="168"/>
      <c r="N346" s="168"/>
      <c r="O346" s="163"/>
      <c r="P346" s="163"/>
      <c r="Q346" s="163"/>
    </row>
    <row r="347" spans="1:17" s="169" customFormat="1" ht="30.75" customHeight="1" x14ac:dyDescent="0.4">
      <c r="A347" s="163"/>
      <c r="B347" s="163"/>
      <c r="C347" s="163"/>
      <c r="D347" s="163"/>
      <c r="E347" s="164"/>
      <c r="F347" s="165"/>
      <c r="G347" s="164"/>
      <c r="H347" s="163"/>
      <c r="I347" s="166"/>
      <c r="J347" s="167"/>
      <c r="K347" s="167"/>
      <c r="L347" s="167"/>
      <c r="M347" s="168"/>
      <c r="N347" s="168"/>
      <c r="O347" s="163"/>
      <c r="P347" s="163"/>
      <c r="Q347" s="163"/>
    </row>
    <row r="348" spans="1:17" s="169" customFormat="1" ht="30.75" customHeight="1" x14ac:dyDescent="0.4">
      <c r="A348" s="163"/>
      <c r="B348" s="163"/>
      <c r="C348" s="163"/>
      <c r="D348" s="163"/>
      <c r="E348" s="164"/>
      <c r="F348" s="165"/>
      <c r="G348" s="164"/>
      <c r="H348" s="163"/>
      <c r="I348" s="166"/>
      <c r="J348" s="167"/>
      <c r="K348" s="167"/>
      <c r="L348" s="167"/>
      <c r="M348" s="168"/>
      <c r="N348" s="168"/>
      <c r="O348" s="163"/>
      <c r="P348" s="163"/>
      <c r="Q348" s="163"/>
    </row>
    <row r="349" spans="1:17" s="169" customFormat="1" ht="30.75" customHeight="1" x14ac:dyDescent="0.4">
      <c r="A349" s="163"/>
      <c r="B349" s="163"/>
      <c r="C349" s="163"/>
      <c r="D349" s="163"/>
      <c r="E349" s="164"/>
      <c r="F349" s="165"/>
      <c r="G349" s="164"/>
      <c r="H349" s="163"/>
      <c r="I349" s="166"/>
      <c r="J349" s="167"/>
      <c r="K349" s="167"/>
      <c r="L349" s="167"/>
      <c r="M349" s="168"/>
      <c r="N349" s="168"/>
      <c r="O349" s="163"/>
      <c r="P349" s="163"/>
      <c r="Q349" s="163"/>
    </row>
    <row r="350" spans="1:17" s="169" customFormat="1" ht="30.75" customHeight="1" x14ac:dyDescent="0.4">
      <c r="A350" s="163"/>
      <c r="B350" s="163"/>
      <c r="C350" s="163"/>
      <c r="D350" s="163"/>
      <c r="E350" s="164"/>
      <c r="F350" s="165"/>
      <c r="G350" s="164"/>
      <c r="H350" s="163"/>
      <c r="I350" s="166"/>
      <c r="J350" s="167"/>
      <c r="K350" s="167"/>
      <c r="L350" s="167"/>
      <c r="M350" s="168"/>
      <c r="N350" s="168"/>
      <c r="O350" s="163"/>
      <c r="P350" s="163"/>
      <c r="Q350" s="163"/>
    </row>
    <row r="351" spans="1:17" s="169" customFormat="1" ht="30.75" customHeight="1" x14ac:dyDescent="0.4">
      <c r="A351" s="163"/>
      <c r="B351" s="163"/>
      <c r="C351" s="163"/>
      <c r="D351" s="163"/>
      <c r="E351" s="164"/>
      <c r="F351" s="165"/>
      <c r="G351" s="164"/>
      <c r="H351" s="163"/>
      <c r="I351" s="166"/>
      <c r="J351" s="167"/>
      <c r="K351" s="167"/>
      <c r="L351" s="167"/>
      <c r="M351" s="168"/>
      <c r="N351" s="168"/>
      <c r="O351" s="163"/>
      <c r="P351" s="163"/>
      <c r="Q351" s="163"/>
    </row>
    <row r="352" spans="1:17" s="169" customFormat="1" ht="30.75" customHeight="1" x14ac:dyDescent="0.4">
      <c r="A352" s="163"/>
      <c r="B352" s="163"/>
      <c r="C352" s="163"/>
      <c r="D352" s="163"/>
      <c r="E352" s="164"/>
      <c r="F352" s="165"/>
      <c r="G352" s="164"/>
      <c r="H352" s="163"/>
      <c r="I352" s="166"/>
      <c r="J352" s="167"/>
      <c r="K352" s="167"/>
      <c r="L352" s="167"/>
      <c r="M352" s="168"/>
      <c r="N352" s="168"/>
      <c r="O352" s="163"/>
      <c r="P352" s="163"/>
      <c r="Q352" s="163"/>
    </row>
    <row r="353" spans="1:17" s="169" customFormat="1" ht="30.75" customHeight="1" x14ac:dyDescent="0.4">
      <c r="A353" s="163"/>
      <c r="B353" s="163"/>
      <c r="C353" s="163"/>
      <c r="D353" s="163"/>
      <c r="E353" s="164"/>
      <c r="F353" s="165"/>
      <c r="G353" s="164"/>
      <c r="H353" s="163"/>
      <c r="I353" s="166"/>
      <c r="J353" s="167"/>
      <c r="K353" s="167"/>
      <c r="L353" s="167"/>
      <c r="M353" s="168"/>
      <c r="N353" s="168"/>
      <c r="O353" s="163"/>
      <c r="P353" s="163"/>
      <c r="Q353" s="163"/>
    </row>
    <row r="354" spans="1:17" s="169" customFormat="1" ht="30.75" customHeight="1" x14ac:dyDescent="0.4">
      <c r="A354" s="163"/>
      <c r="B354" s="163"/>
      <c r="C354" s="163"/>
      <c r="D354" s="163"/>
      <c r="E354" s="164"/>
      <c r="F354" s="165"/>
      <c r="G354" s="164"/>
      <c r="H354" s="163"/>
      <c r="I354" s="166"/>
      <c r="J354" s="167"/>
      <c r="K354" s="167"/>
      <c r="L354" s="167"/>
      <c r="M354" s="168"/>
      <c r="N354" s="168"/>
      <c r="O354" s="163"/>
      <c r="P354" s="163"/>
      <c r="Q354" s="163"/>
    </row>
    <row r="355" spans="1:17" s="169" customFormat="1" ht="30.75" customHeight="1" x14ac:dyDescent="0.4">
      <c r="A355" s="163"/>
      <c r="B355" s="163"/>
      <c r="C355" s="163"/>
      <c r="D355" s="163"/>
      <c r="E355" s="164"/>
      <c r="F355" s="165"/>
      <c r="G355" s="164"/>
      <c r="H355" s="163"/>
      <c r="I355" s="166"/>
      <c r="J355" s="167"/>
      <c r="K355" s="167"/>
      <c r="L355" s="167"/>
      <c r="M355" s="168"/>
      <c r="N355" s="168"/>
      <c r="O355" s="163"/>
      <c r="P355" s="163"/>
      <c r="Q355" s="163"/>
    </row>
    <row r="356" spans="1:17" s="169" customFormat="1" ht="30.75" customHeight="1" x14ac:dyDescent="0.4">
      <c r="A356" s="163"/>
      <c r="B356" s="163"/>
      <c r="C356" s="163"/>
      <c r="D356" s="163"/>
      <c r="E356" s="164"/>
      <c r="F356" s="165"/>
      <c r="G356" s="164"/>
      <c r="H356" s="163"/>
      <c r="I356" s="166"/>
      <c r="J356" s="167"/>
      <c r="K356" s="167"/>
      <c r="L356" s="167"/>
      <c r="M356" s="168"/>
      <c r="N356" s="168"/>
      <c r="O356" s="163"/>
      <c r="P356" s="163"/>
      <c r="Q356" s="163"/>
    </row>
    <row r="357" spans="1:17" s="169" customFormat="1" ht="30.75" customHeight="1" x14ac:dyDescent="0.4">
      <c r="A357" s="163"/>
      <c r="B357" s="163"/>
      <c r="C357" s="163"/>
      <c r="D357" s="163"/>
      <c r="E357" s="164"/>
      <c r="F357" s="165"/>
      <c r="G357" s="164"/>
      <c r="H357" s="163"/>
      <c r="I357" s="166"/>
      <c r="J357" s="167"/>
      <c r="K357" s="167"/>
      <c r="L357" s="167"/>
      <c r="M357" s="168"/>
      <c r="N357" s="168"/>
      <c r="O357" s="163"/>
      <c r="P357" s="163"/>
      <c r="Q357" s="163"/>
    </row>
    <row r="358" spans="1:17" s="169" customFormat="1" ht="30.75" customHeight="1" x14ac:dyDescent="0.4">
      <c r="A358" s="163"/>
      <c r="B358" s="163"/>
      <c r="C358" s="163"/>
      <c r="D358" s="163"/>
      <c r="E358" s="164"/>
      <c r="F358" s="165"/>
      <c r="G358" s="164"/>
      <c r="H358" s="163"/>
      <c r="I358" s="166"/>
      <c r="J358" s="167"/>
      <c r="K358" s="167"/>
      <c r="L358" s="167"/>
      <c r="M358" s="168"/>
      <c r="N358" s="168"/>
      <c r="O358" s="163"/>
      <c r="P358" s="163"/>
      <c r="Q358" s="163"/>
    </row>
    <row r="359" spans="1:17" s="169" customFormat="1" ht="30.75" customHeight="1" x14ac:dyDescent="0.4">
      <c r="A359" s="163"/>
      <c r="B359" s="163"/>
      <c r="C359" s="163"/>
      <c r="D359" s="163"/>
      <c r="E359" s="164"/>
      <c r="F359" s="165"/>
      <c r="G359" s="164"/>
      <c r="H359" s="163"/>
      <c r="I359" s="166"/>
      <c r="J359" s="167"/>
      <c r="K359" s="167"/>
      <c r="L359" s="167"/>
      <c r="M359" s="168"/>
      <c r="N359" s="168"/>
      <c r="O359" s="163"/>
      <c r="P359" s="163"/>
      <c r="Q359" s="163"/>
    </row>
    <row r="360" spans="1:17" s="169" customFormat="1" ht="30.75" customHeight="1" x14ac:dyDescent="0.4">
      <c r="A360" s="163"/>
      <c r="B360" s="163"/>
      <c r="C360" s="163"/>
      <c r="D360" s="163"/>
      <c r="E360" s="164"/>
      <c r="F360" s="165"/>
      <c r="G360" s="164"/>
      <c r="H360" s="163"/>
      <c r="I360" s="166"/>
      <c r="J360" s="167"/>
      <c r="K360" s="167"/>
      <c r="L360" s="167"/>
      <c r="M360" s="168"/>
      <c r="N360" s="168"/>
      <c r="O360" s="163"/>
      <c r="P360" s="163"/>
      <c r="Q360" s="163"/>
    </row>
    <row r="361" spans="1:17" s="169" customFormat="1" ht="30.75" customHeight="1" x14ac:dyDescent="0.4">
      <c r="A361" s="163"/>
      <c r="B361" s="163"/>
      <c r="C361" s="163"/>
      <c r="D361" s="163"/>
      <c r="E361" s="164"/>
      <c r="F361" s="165"/>
      <c r="G361" s="164"/>
      <c r="H361" s="163"/>
      <c r="I361" s="166"/>
      <c r="J361" s="167"/>
      <c r="K361" s="167"/>
      <c r="L361" s="167"/>
      <c r="M361" s="168"/>
      <c r="N361" s="168"/>
      <c r="O361" s="163"/>
      <c r="P361" s="163"/>
      <c r="Q361" s="163"/>
    </row>
    <row r="362" spans="1:17" s="169" customFormat="1" ht="30.75" customHeight="1" x14ac:dyDescent="0.4">
      <c r="A362" s="163"/>
      <c r="B362" s="163"/>
      <c r="C362" s="163"/>
      <c r="D362" s="163"/>
      <c r="E362" s="164"/>
      <c r="F362" s="165"/>
      <c r="G362" s="164"/>
      <c r="H362" s="163"/>
      <c r="I362" s="166"/>
      <c r="J362" s="167"/>
      <c r="K362" s="167"/>
      <c r="L362" s="167"/>
      <c r="M362" s="168"/>
      <c r="N362" s="168"/>
      <c r="O362" s="163"/>
      <c r="P362" s="163"/>
      <c r="Q362" s="163"/>
    </row>
    <row r="363" spans="1:17" s="169" customFormat="1" ht="30.75" customHeight="1" x14ac:dyDescent="0.4">
      <c r="A363" s="163"/>
      <c r="B363" s="163"/>
      <c r="C363" s="163"/>
      <c r="D363" s="163"/>
      <c r="E363" s="164"/>
      <c r="F363" s="165"/>
      <c r="G363" s="164"/>
      <c r="H363" s="163"/>
      <c r="I363" s="166"/>
      <c r="J363" s="167"/>
      <c r="K363" s="167"/>
      <c r="L363" s="167"/>
      <c r="M363" s="168"/>
      <c r="N363" s="168"/>
      <c r="O363" s="163"/>
      <c r="P363" s="163"/>
      <c r="Q363" s="163"/>
    </row>
    <row r="364" spans="1:17" s="169" customFormat="1" ht="30.75" customHeight="1" x14ac:dyDescent="0.4">
      <c r="A364" s="163"/>
      <c r="B364" s="163"/>
      <c r="C364" s="163"/>
      <c r="D364" s="163"/>
      <c r="E364" s="164"/>
      <c r="F364" s="165"/>
      <c r="G364" s="164"/>
      <c r="H364" s="163"/>
      <c r="I364" s="166"/>
      <c r="J364" s="167"/>
      <c r="K364" s="167"/>
      <c r="L364" s="167"/>
      <c r="M364" s="168"/>
      <c r="N364" s="168"/>
      <c r="O364" s="163"/>
      <c r="P364" s="163"/>
      <c r="Q364" s="163"/>
    </row>
    <row r="365" spans="1:17" s="169" customFormat="1" ht="30.75" customHeight="1" x14ac:dyDescent="0.4">
      <c r="A365" s="163"/>
      <c r="B365" s="163"/>
      <c r="C365" s="163"/>
      <c r="D365" s="163"/>
      <c r="E365" s="164"/>
      <c r="F365" s="165"/>
      <c r="G365" s="164"/>
      <c r="H365" s="163"/>
      <c r="I365" s="166"/>
      <c r="J365" s="167"/>
      <c r="K365" s="167"/>
      <c r="L365" s="167"/>
      <c r="M365" s="168"/>
      <c r="N365" s="168"/>
      <c r="O365" s="163"/>
      <c r="P365" s="163"/>
      <c r="Q365" s="163"/>
    </row>
    <row r="366" spans="1:17" s="169" customFormat="1" ht="30.75" customHeight="1" x14ac:dyDescent="0.4">
      <c r="A366" s="163"/>
      <c r="B366" s="163"/>
      <c r="C366" s="163"/>
      <c r="D366" s="163"/>
      <c r="E366" s="164"/>
      <c r="F366" s="165"/>
      <c r="G366" s="164"/>
      <c r="H366" s="163"/>
      <c r="I366" s="166"/>
      <c r="J366" s="167"/>
      <c r="K366" s="167"/>
      <c r="L366" s="167"/>
      <c r="M366" s="168"/>
      <c r="N366" s="168"/>
      <c r="O366" s="163"/>
      <c r="P366" s="163"/>
      <c r="Q366" s="163"/>
    </row>
    <row r="367" spans="1:17" s="169" customFormat="1" ht="30.75" customHeight="1" x14ac:dyDescent="0.4">
      <c r="A367" s="163"/>
      <c r="B367" s="163"/>
      <c r="C367" s="163"/>
      <c r="D367" s="163"/>
      <c r="E367" s="164"/>
      <c r="F367" s="165"/>
      <c r="G367" s="164"/>
      <c r="H367" s="163"/>
      <c r="I367" s="166"/>
      <c r="J367" s="167"/>
      <c r="K367" s="167"/>
      <c r="L367" s="167"/>
      <c r="M367" s="168"/>
      <c r="N367" s="168"/>
      <c r="O367" s="163"/>
      <c r="P367" s="163"/>
      <c r="Q367" s="163"/>
    </row>
    <row r="368" spans="1:17" s="169" customFormat="1" ht="30.75" customHeight="1" x14ac:dyDescent="0.4">
      <c r="A368" s="163"/>
      <c r="B368" s="163"/>
      <c r="C368" s="163"/>
      <c r="D368" s="163"/>
      <c r="E368" s="164"/>
      <c r="F368" s="165"/>
      <c r="G368" s="164"/>
      <c r="H368" s="163"/>
      <c r="I368" s="166"/>
      <c r="J368" s="167"/>
      <c r="K368" s="167"/>
      <c r="L368" s="167"/>
      <c r="M368" s="168"/>
      <c r="N368" s="168"/>
      <c r="O368" s="163"/>
      <c r="P368" s="163"/>
      <c r="Q368" s="163"/>
    </row>
    <row r="369" spans="1:17" s="169" customFormat="1" ht="30.75" customHeight="1" x14ac:dyDescent="0.4">
      <c r="A369" s="163"/>
      <c r="B369" s="163"/>
      <c r="C369" s="163"/>
      <c r="D369" s="163"/>
      <c r="E369" s="164"/>
      <c r="F369" s="165"/>
      <c r="G369" s="164"/>
      <c r="H369" s="163"/>
      <c r="I369" s="166"/>
      <c r="J369" s="167"/>
      <c r="K369" s="167"/>
      <c r="L369" s="167"/>
      <c r="M369" s="168"/>
      <c r="N369" s="168"/>
      <c r="O369" s="163"/>
      <c r="P369" s="163"/>
      <c r="Q369" s="163"/>
    </row>
    <row r="370" spans="1:17" s="169" customFormat="1" ht="30.75" customHeight="1" x14ac:dyDescent="0.4">
      <c r="A370" s="163"/>
      <c r="B370" s="163"/>
      <c r="C370" s="163"/>
      <c r="D370" s="163"/>
      <c r="E370" s="164"/>
      <c r="F370" s="165"/>
      <c r="G370" s="164"/>
      <c r="H370" s="163"/>
      <c r="I370" s="166"/>
      <c r="J370" s="167"/>
      <c r="K370" s="167"/>
      <c r="L370" s="167"/>
      <c r="M370" s="168"/>
      <c r="N370" s="168"/>
      <c r="O370" s="163"/>
      <c r="P370" s="163"/>
      <c r="Q370" s="163"/>
    </row>
    <row r="371" spans="1:17" s="169" customFormat="1" ht="30.75" customHeight="1" x14ac:dyDescent="0.4">
      <c r="A371" s="163"/>
      <c r="B371" s="163"/>
      <c r="C371" s="163"/>
      <c r="D371" s="163"/>
      <c r="E371" s="164"/>
      <c r="F371" s="165"/>
      <c r="G371" s="164"/>
      <c r="H371" s="163"/>
      <c r="I371" s="166"/>
      <c r="J371" s="167"/>
      <c r="K371" s="167"/>
      <c r="L371" s="167"/>
      <c r="M371" s="168"/>
      <c r="N371" s="168"/>
      <c r="O371" s="163"/>
      <c r="P371" s="163"/>
      <c r="Q371" s="163"/>
    </row>
    <row r="372" spans="1:17" s="169" customFormat="1" ht="30.75" customHeight="1" x14ac:dyDescent="0.4">
      <c r="A372" s="163"/>
      <c r="B372" s="163"/>
      <c r="C372" s="163"/>
      <c r="D372" s="163"/>
      <c r="E372" s="164"/>
      <c r="F372" s="165"/>
      <c r="G372" s="164"/>
      <c r="H372" s="163"/>
      <c r="I372" s="166"/>
      <c r="J372" s="167"/>
      <c r="K372" s="167"/>
      <c r="L372" s="167"/>
      <c r="M372" s="168"/>
      <c r="N372" s="168"/>
      <c r="O372" s="163"/>
      <c r="P372" s="163"/>
      <c r="Q372" s="163"/>
    </row>
    <row r="373" spans="1:17" s="169" customFormat="1" ht="30.75" customHeight="1" x14ac:dyDescent="0.4">
      <c r="A373" s="163"/>
      <c r="B373" s="163"/>
      <c r="C373" s="163"/>
      <c r="D373" s="163"/>
      <c r="E373" s="164"/>
      <c r="F373" s="165"/>
      <c r="G373" s="164"/>
      <c r="H373" s="163"/>
      <c r="I373" s="166"/>
      <c r="J373" s="167"/>
      <c r="K373" s="167"/>
      <c r="L373" s="167"/>
      <c r="M373" s="168"/>
      <c r="N373" s="168"/>
      <c r="O373" s="163"/>
      <c r="P373" s="163"/>
      <c r="Q373" s="163"/>
    </row>
    <row r="374" spans="1:17" s="169" customFormat="1" ht="30.75" customHeight="1" x14ac:dyDescent="0.4">
      <c r="A374" s="163"/>
      <c r="B374" s="163"/>
      <c r="C374" s="163"/>
      <c r="D374" s="163"/>
      <c r="E374" s="164"/>
      <c r="F374" s="165"/>
      <c r="G374" s="164"/>
      <c r="H374" s="163"/>
      <c r="I374" s="166"/>
      <c r="J374" s="167"/>
      <c r="K374" s="167"/>
      <c r="L374" s="167"/>
      <c r="M374" s="168"/>
      <c r="N374" s="168"/>
      <c r="O374" s="163"/>
      <c r="P374" s="163"/>
      <c r="Q374" s="163"/>
    </row>
    <row r="375" spans="1:17" s="169" customFormat="1" ht="30.75" customHeight="1" x14ac:dyDescent="0.4">
      <c r="A375" s="163"/>
      <c r="B375" s="163"/>
      <c r="C375" s="163"/>
      <c r="D375" s="163"/>
      <c r="E375" s="164"/>
      <c r="F375" s="165"/>
      <c r="G375" s="164"/>
      <c r="H375" s="163"/>
      <c r="I375" s="166"/>
      <c r="J375" s="167"/>
      <c r="K375" s="167"/>
      <c r="L375" s="167"/>
      <c r="M375" s="168"/>
      <c r="N375" s="168"/>
      <c r="O375" s="163"/>
      <c r="P375" s="163"/>
      <c r="Q375" s="163"/>
    </row>
    <row r="376" spans="1:17" s="169" customFormat="1" ht="30.75" customHeight="1" x14ac:dyDescent="0.4">
      <c r="A376" s="163"/>
      <c r="B376" s="163"/>
      <c r="C376" s="163"/>
      <c r="D376" s="163"/>
      <c r="E376" s="164"/>
      <c r="F376" s="165"/>
      <c r="G376" s="164"/>
      <c r="H376" s="163"/>
      <c r="I376" s="166"/>
      <c r="J376" s="167"/>
      <c r="K376" s="167"/>
      <c r="L376" s="167"/>
      <c r="M376" s="168"/>
      <c r="N376" s="168"/>
      <c r="O376" s="163"/>
      <c r="P376" s="163"/>
      <c r="Q376" s="163"/>
    </row>
    <row r="377" spans="1:17" s="169" customFormat="1" ht="30.75" customHeight="1" x14ac:dyDescent="0.4">
      <c r="A377" s="163"/>
      <c r="B377" s="163"/>
      <c r="C377" s="163"/>
      <c r="D377" s="163"/>
      <c r="E377" s="164"/>
      <c r="F377" s="165"/>
      <c r="G377" s="164"/>
      <c r="H377" s="163"/>
      <c r="I377" s="166"/>
      <c r="J377" s="167"/>
      <c r="K377" s="167"/>
      <c r="L377" s="167"/>
      <c r="M377" s="168"/>
      <c r="N377" s="168"/>
      <c r="O377" s="163"/>
      <c r="P377" s="163"/>
      <c r="Q377" s="163"/>
    </row>
    <row r="378" spans="1:17" s="169" customFormat="1" ht="30.75" customHeight="1" x14ac:dyDescent="0.4">
      <c r="A378" s="163"/>
      <c r="B378" s="163"/>
      <c r="C378" s="163"/>
      <c r="D378" s="163"/>
      <c r="E378" s="164"/>
      <c r="F378" s="165"/>
      <c r="G378" s="164"/>
      <c r="H378" s="163"/>
      <c r="I378" s="166"/>
      <c r="J378" s="167"/>
      <c r="K378" s="167"/>
      <c r="L378" s="167"/>
      <c r="M378" s="168"/>
      <c r="N378" s="168"/>
      <c r="O378" s="163"/>
      <c r="P378" s="163"/>
      <c r="Q378" s="163"/>
    </row>
    <row r="379" spans="1:17" s="169" customFormat="1" ht="30.75" customHeight="1" x14ac:dyDescent="0.4">
      <c r="A379" s="163"/>
      <c r="B379" s="163"/>
      <c r="C379" s="163"/>
      <c r="D379" s="163"/>
      <c r="E379" s="164"/>
      <c r="F379" s="165"/>
      <c r="G379" s="164"/>
      <c r="H379" s="163"/>
      <c r="I379" s="166"/>
      <c r="J379" s="167"/>
      <c r="K379" s="167"/>
      <c r="L379" s="167"/>
      <c r="M379" s="168"/>
      <c r="N379" s="168"/>
      <c r="O379" s="163"/>
      <c r="P379" s="163"/>
      <c r="Q379" s="163"/>
    </row>
    <row r="380" spans="1:17" s="169" customFormat="1" ht="30.75" customHeight="1" x14ac:dyDescent="0.4">
      <c r="A380" s="163"/>
      <c r="B380" s="163"/>
      <c r="C380" s="163"/>
      <c r="D380" s="163"/>
      <c r="E380" s="164"/>
      <c r="F380" s="165"/>
      <c r="G380" s="164"/>
      <c r="H380" s="163"/>
      <c r="I380" s="166"/>
      <c r="J380" s="167"/>
      <c r="K380" s="167"/>
      <c r="L380" s="167"/>
      <c r="M380" s="168"/>
      <c r="N380" s="168"/>
      <c r="O380" s="163"/>
      <c r="P380" s="163"/>
      <c r="Q380" s="163"/>
    </row>
    <row r="381" spans="1:17" s="169" customFormat="1" ht="30.75" customHeight="1" x14ac:dyDescent="0.4">
      <c r="A381" s="163"/>
      <c r="B381" s="163"/>
      <c r="C381" s="163"/>
      <c r="D381" s="163"/>
      <c r="E381" s="164"/>
      <c r="F381" s="165"/>
      <c r="G381" s="164"/>
      <c r="H381" s="163"/>
      <c r="I381" s="166"/>
      <c r="J381" s="167"/>
      <c r="K381" s="167"/>
      <c r="L381" s="167"/>
      <c r="M381" s="168"/>
      <c r="N381" s="168"/>
      <c r="O381" s="163"/>
      <c r="P381" s="163"/>
      <c r="Q381" s="163"/>
    </row>
    <row r="382" spans="1:17" s="169" customFormat="1" ht="30.75" customHeight="1" x14ac:dyDescent="0.4">
      <c r="A382" s="163"/>
      <c r="B382" s="163"/>
      <c r="C382" s="163"/>
      <c r="D382" s="163"/>
      <c r="E382" s="164"/>
      <c r="F382" s="165"/>
      <c r="G382" s="164"/>
      <c r="H382" s="163"/>
      <c r="I382" s="166"/>
      <c r="J382" s="167"/>
      <c r="K382" s="167"/>
      <c r="L382" s="167"/>
      <c r="M382" s="168"/>
      <c r="N382" s="168"/>
      <c r="O382" s="163"/>
      <c r="P382" s="163"/>
      <c r="Q382" s="163"/>
    </row>
    <row r="383" spans="1:17" s="169" customFormat="1" ht="30.75" customHeight="1" x14ac:dyDescent="0.4">
      <c r="A383" s="163"/>
      <c r="B383" s="163"/>
      <c r="C383" s="163"/>
      <c r="D383" s="163"/>
      <c r="E383" s="164"/>
      <c r="F383" s="165"/>
      <c r="G383" s="164"/>
      <c r="H383" s="163"/>
      <c r="I383" s="166"/>
      <c r="J383" s="167"/>
      <c r="K383" s="167"/>
      <c r="L383" s="167"/>
      <c r="M383" s="168"/>
      <c r="N383" s="168"/>
      <c r="O383" s="163"/>
      <c r="P383" s="163"/>
      <c r="Q383" s="163"/>
    </row>
    <row r="384" spans="1:17" s="169" customFormat="1" ht="30.75" customHeight="1" x14ac:dyDescent="0.4">
      <c r="A384" s="163"/>
      <c r="B384" s="163"/>
      <c r="C384" s="163"/>
      <c r="D384" s="163"/>
      <c r="E384" s="164"/>
      <c r="F384" s="165"/>
      <c r="G384" s="164"/>
      <c r="H384" s="163"/>
      <c r="I384" s="166"/>
      <c r="J384" s="167"/>
      <c r="K384" s="167"/>
      <c r="L384" s="167"/>
      <c r="M384" s="168"/>
      <c r="N384" s="168"/>
      <c r="O384" s="163"/>
      <c r="P384" s="163"/>
      <c r="Q384" s="163"/>
    </row>
    <row r="385" spans="1:17" s="169" customFormat="1" ht="30.75" customHeight="1" x14ac:dyDescent="0.4">
      <c r="A385" s="163"/>
      <c r="B385" s="163"/>
      <c r="C385" s="163"/>
      <c r="D385" s="163"/>
      <c r="E385" s="164"/>
      <c r="F385" s="165"/>
      <c r="G385" s="164"/>
      <c r="H385" s="163"/>
      <c r="I385" s="166"/>
      <c r="J385" s="167"/>
      <c r="K385" s="167"/>
      <c r="L385" s="167"/>
      <c r="M385" s="168"/>
      <c r="N385" s="168"/>
      <c r="O385" s="163"/>
      <c r="P385" s="163"/>
      <c r="Q385" s="163"/>
    </row>
    <row r="386" spans="1:17" s="169" customFormat="1" ht="30.75" customHeight="1" x14ac:dyDescent="0.4">
      <c r="A386" s="163"/>
      <c r="B386" s="163"/>
      <c r="C386" s="163"/>
      <c r="D386" s="163"/>
      <c r="E386" s="164"/>
      <c r="F386" s="165"/>
      <c r="G386" s="164"/>
      <c r="H386" s="163"/>
      <c r="I386" s="166"/>
      <c r="J386" s="167"/>
      <c r="K386" s="167"/>
      <c r="L386" s="167"/>
      <c r="M386" s="168"/>
      <c r="N386" s="168"/>
      <c r="O386" s="163"/>
      <c r="P386" s="163"/>
      <c r="Q386" s="163"/>
    </row>
    <row r="387" spans="1:17" s="169" customFormat="1" ht="30.75" customHeight="1" x14ac:dyDescent="0.4">
      <c r="A387" s="163"/>
      <c r="B387" s="163"/>
      <c r="C387" s="163"/>
      <c r="D387" s="163"/>
      <c r="E387" s="164"/>
      <c r="F387" s="165"/>
      <c r="G387" s="164"/>
      <c r="H387" s="163"/>
      <c r="I387" s="166"/>
      <c r="J387" s="167"/>
      <c r="K387" s="167"/>
      <c r="L387" s="167"/>
      <c r="M387" s="168"/>
      <c r="N387" s="168"/>
      <c r="O387" s="163"/>
      <c r="P387" s="163"/>
      <c r="Q387" s="163"/>
    </row>
    <row r="388" spans="1:17" s="169" customFormat="1" ht="30.75" customHeight="1" x14ac:dyDescent="0.4">
      <c r="A388" s="163"/>
      <c r="B388" s="163"/>
      <c r="C388" s="163"/>
      <c r="D388" s="163"/>
      <c r="E388" s="164"/>
      <c r="F388" s="165"/>
      <c r="G388" s="164"/>
      <c r="H388" s="163"/>
      <c r="I388" s="166"/>
      <c r="J388" s="167"/>
      <c r="K388" s="167"/>
      <c r="L388" s="167"/>
      <c r="M388" s="168"/>
      <c r="N388" s="168"/>
      <c r="O388" s="163"/>
      <c r="P388" s="163"/>
      <c r="Q388" s="163"/>
    </row>
    <row r="389" spans="1:17" s="169" customFormat="1" ht="30.75" customHeight="1" x14ac:dyDescent="0.4">
      <c r="A389" s="163"/>
      <c r="B389" s="163"/>
      <c r="C389" s="163"/>
      <c r="D389" s="163"/>
      <c r="E389" s="164"/>
      <c r="F389" s="165"/>
      <c r="G389" s="164"/>
      <c r="H389" s="163"/>
      <c r="I389" s="166"/>
      <c r="J389" s="167"/>
      <c r="K389" s="167"/>
      <c r="L389" s="167"/>
      <c r="M389" s="168"/>
      <c r="N389" s="168"/>
      <c r="O389" s="163"/>
      <c r="P389" s="163"/>
      <c r="Q389" s="163"/>
    </row>
    <row r="390" spans="1:17" s="169" customFormat="1" ht="30.75" customHeight="1" x14ac:dyDescent="0.4">
      <c r="A390" s="163"/>
      <c r="B390" s="163"/>
      <c r="C390" s="163"/>
      <c r="D390" s="163"/>
      <c r="E390" s="164"/>
      <c r="F390" s="165"/>
      <c r="G390" s="164"/>
      <c r="H390" s="163"/>
      <c r="I390" s="166"/>
      <c r="J390" s="167"/>
      <c r="K390" s="167"/>
      <c r="L390" s="167"/>
      <c r="M390" s="168"/>
      <c r="N390" s="168"/>
      <c r="O390" s="163"/>
      <c r="P390" s="163"/>
      <c r="Q390" s="163"/>
    </row>
    <row r="391" spans="1:17" s="169" customFormat="1" ht="30.75" customHeight="1" x14ac:dyDescent="0.4">
      <c r="A391" s="163"/>
      <c r="B391" s="163"/>
      <c r="C391" s="163"/>
      <c r="D391" s="163"/>
      <c r="E391" s="164"/>
      <c r="F391" s="165"/>
      <c r="G391" s="164"/>
      <c r="H391" s="163"/>
      <c r="I391" s="166"/>
      <c r="J391" s="167"/>
      <c r="K391" s="167"/>
      <c r="L391" s="167"/>
      <c r="M391" s="168"/>
      <c r="N391" s="168"/>
      <c r="O391" s="163"/>
      <c r="P391" s="163"/>
      <c r="Q391" s="163"/>
    </row>
    <row r="392" spans="1:17" s="169" customFormat="1" ht="30.75" customHeight="1" x14ac:dyDescent="0.4">
      <c r="A392" s="163"/>
      <c r="B392" s="163"/>
      <c r="C392" s="163"/>
      <c r="D392" s="163"/>
      <c r="E392" s="164"/>
      <c r="F392" s="165"/>
      <c r="G392" s="164"/>
      <c r="H392" s="163"/>
      <c r="I392" s="166"/>
      <c r="J392" s="167"/>
      <c r="K392" s="167"/>
      <c r="L392" s="167"/>
      <c r="M392" s="168"/>
      <c r="N392" s="168"/>
      <c r="O392" s="163"/>
      <c r="P392" s="163"/>
      <c r="Q392" s="163"/>
    </row>
    <row r="393" spans="1:17" s="169" customFormat="1" ht="30.75" customHeight="1" x14ac:dyDescent="0.4">
      <c r="A393" s="163"/>
      <c r="B393" s="163"/>
      <c r="C393" s="163"/>
      <c r="D393" s="163"/>
      <c r="E393" s="164"/>
      <c r="F393" s="165"/>
      <c r="G393" s="164"/>
      <c r="H393" s="163"/>
      <c r="I393" s="166"/>
      <c r="J393" s="167"/>
      <c r="K393" s="167"/>
      <c r="L393" s="167"/>
      <c r="M393" s="168"/>
      <c r="N393" s="168"/>
      <c r="O393" s="163"/>
      <c r="P393" s="163"/>
      <c r="Q393" s="163"/>
    </row>
    <row r="394" spans="1:17" s="169" customFormat="1" ht="30.75" customHeight="1" x14ac:dyDescent="0.4">
      <c r="A394" s="163"/>
      <c r="B394" s="163"/>
      <c r="C394" s="163"/>
      <c r="D394" s="163"/>
      <c r="E394" s="164"/>
      <c r="F394" s="165"/>
      <c r="G394" s="164"/>
      <c r="H394" s="163"/>
      <c r="I394" s="166"/>
      <c r="J394" s="167"/>
      <c r="K394" s="167"/>
      <c r="L394" s="167"/>
      <c r="M394" s="168"/>
      <c r="N394" s="168"/>
      <c r="O394" s="163"/>
      <c r="P394" s="163"/>
      <c r="Q394" s="163"/>
    </row>
    <row r="395" spans="1:17" s="169" customFormat="1" ht="30.75" customHeight="1" x14ac:dyDescent="0.4">
      <c r="A395" s="163"/>
      <c r="B395" s="163"/>
      <c r="C395" s="163"/>
      <c r="D395" s="163"/>
      <c r="E395" s="164"/>
      <c r="F395" s="165"/>
      <c r="G395" s="164"/>
      <c r="H395" s="163"/>
      <c r="I395" s="166"/>
      <c r="J395" s="167"/>
      <c r="K395" s="167"/>
      <c r="L395" s="167"/>
      <c r="M395" s="168"/>
      <c r="N395" s="168"/>
      <c r="O395" s="163"/>
      <c r="P395" s="163"/>
      <c r="Q395" s="163"/>
    </row>
    <row r="396" spans="1:17" s="169" customFormat="1" ht="30.75" customHeight="1" x14ac:dyDescent="0.4">
      <c r="A396" s="163"/>
      <c r="B396" s="163"/>
      <c r="C396" s="163"/>
      <c r="D396" s="163"/>
      <c r="E396" s="164"/>
      <c r="F396" s="165"/>
      <c r="G396" s="164"/>
      <c r="H396" s="163"/>
      <c r="I396" s="166"/>
      <c r="J396" s="167"/>
      <c r="K396" s="167"/>
      <c r="L396" s="167"/>
      <c r="M396" s="168"/>
      <c r="N396" s="168"/>
      <c r="O396" s="163"/>
      <c r="P396" s="163"/>
      <c r="Q396" s="163"/>
    </row>
    <row r="397" spans="1:17" s="169" customFormat="1" ht="30.75" customHeight="1" x14ac:dyDescent="0.4">
      <c r="A397" s="163"/>
      <c r="B397" s="163"/>
      <c r="C397" s="163"/>
      <c r="D397" s="163"/>
      <c r="E397" s="164"/>
      <c r="F397" s="165"/>
      <c r="G397" s="164"/>
      <c r="H397" s="163"/>
      <c r="I397" s="166"/>
      <c r="J397" s="167"/>
      <c r="K397" s="167"/>
      <c r="L397" s="167"/>
      <c r="M397" s="168"/>
      <c r="N397" s="168"/>
      <c r="O397" s="163"/>
      <c r="P397" s="163"/>
      <c r="Q397" s="163"/>
    </row>
    <row r="398" spans="1:17" s="169" customFormat="1" ht="30.75" customHeight="1" x14ac:dyDescent="0.4">
      <c r="A398" s="163"/>
      <c r="B398" s="163"/>
      <c r="C398" s="163"/>
      <c r="D398" s="163"/>
      <c r="E398" s="164"/>
      <c r="F398" s="165"/>
      <c r="G398" s="164"/>
      <c r="H398" s="163"/>
      <c r="I398" s="166"/>
      <c r="J398" s="167"/>
      <c r="K398" s="167"/>
      <c r="L398" s="167"/>
      <c r="M398" s="168"/>
      <c r="N398" s="168"/>
      <c r="O398" s="163"/>
      <c r="P398" s="163"/>
      <c r="Q398" s="163"/>
    </row>
    <row r="399" spans="1:17" s="169" customFormat="1" ht="30.75" customHeight="1" x14ac:dyDescent="0.4">
      <c r="A399" s="163"/>
      <c r="B399" s="163"/>
      <c r="C399" s="163"/>
      <c r="D399" s="163"/>
      <c r="E399" s="164"/>
      <c r="F399" s="165"/>
      <c r="G399" s="164"/>
      <c r="H399" s="163"/>
      <c r="I399" s="166"/>
      <c r="J399" s="167"/>
      <c r="K399" s="167"/>
      <c r="L399" s="167"/>
      <c r="M399" s="168"/>
      <c r="N399" s="168"/>
      <c r="O399" s="163"/>
      <c r="P399" s="163"/>
      <c r="Q399" s="163"/>
    </row>
    <row r="400" spans="1:17" s="169" customFormat="1" ht="30.75" customHeight="1" x14ac:dyDescent="0.4">
      <c r="A400" s="163"/>
      <c r="B400" s="163"/>
      <c r="C400" s="163"/>
      <c r="D400" s="163"/>
      <c r="E400" s="164"/>
      <c r="F400" s="165"/>
      <c r="G400" s="164"/>
      <c r="H400" s="163"/>
      <c r="I400" s="166"/>
      <c r="J400" s="167"/>
      <c r="K400" s="167"/>
      <c r="L400" s="167"/>
      <c r="M400" s="168"/>
      <c r="N400" s="168"/>
      <c r="O400" s="163"/>
      <c r="P400" s="163"/>
      <c r="Q400" s="163"/>
    </row>
    <row r="401" spans="1:17" s="169" customFormat="1" ht="30.75" customHeight="1" x14ac:dyDescent="0.4">
      <c r="A401" s="163"/>
      <c r="B401" s="163"/>
      <c r="C401" s="163"/>
      <c r="D401" s="163"/>
      <c r="E401" s="164"/>
      <c r="F401" s="165"/>
      <c r="G401" s="164"/>
      <c r="H401" s="163"/>
      <c r="I401" s="166"/>
      <c r="J401" s="167"/>
      <c r="K401" s="167"/>
      <c r="L401" s="167"/>
      <c r="M401" s="168"/>
      <c r="N401" s="168"/>
      <c r="O401" s="163"/>
      <c r="P401" s="163"/>
      <c r="Q401" s="163"/>
    </row>
    <row r="402" spans="1:17" s="169" customFormat="1" ht="30.75" customHeight="1" x14ac:dyDescent="0.4">
      <c r="A402" s="163"/>
      <c r="B402" s="163"/>
      <c r="C402" s="163"/>
      <c r="D402" s="163"/>
      <c r="E402" s="164"/>
      <c r="F402" s="165"/>
      <c r="G402" s="164"/>
      <c r="H402" s="163"/>
      <c r="I402" s="166"/>
      <c r="J402" s="167"/>
      <c r="K402" s="167"/>
      <c r="L402" s="167"/>
      <c r="M402" s="168"/>
      <c r="N402" s="168"/>
      <c r="O402" s="163"/>
      <c r="P402" s="163"/>
      <c r="Q402" s="163"/>
    </row>
    <row r="403" spans="1:17" s="169" customFormat="1" ht="30.75" customHeight="1" x14ac:dyDescent="0.4">
      <c r="A403" s="163"/>
      <c r="B403" s="163"/>
      <c r="C403" s="163"/>
      <c r="D403" s="163"/>
      <c r="E403" s="164"/>
      <c r="F403" s="165"/>
      <c r="G403" s="164"/>
      <c r="H403" s="163"/>
      <c r="I403" s="166"/>
      <c r="J403" s="167"/>
      <c r="K403" s="167"/>
      <c r="L403" s="167"/>
      <c r="M403" s="168"/>
      <c r="N403" s="168"/>
      <c r="O403" s="163"/>
      <c r="P403" s="163"/>
      <c r="Q403" s="163"/>
    </row>
    <row r="404" spans="1:17" ht="30.75" customHeight="1" x14ac:dyDescent="0.35">
      <c r="A404" s="143"/>
      <c r="B404" s="143"/>
      <c r="C404" s="143"/>
      <c r="D404" s="143"/>
      <c r="E404" s="144"/>
      <c r="F404" s="145"/>
      <c r="G404" s="144"/>
      <c r="H404" s="143"/>
      <c r="I404" s="160"/>
      <c r="J404" s="161"/>
      <c r="K404" s="161"/>
      <c r="L404" s="161"/>
      <c r="M404" s="162"/>
      <c r="N404" s="162"/>
      <c r="O404" s="143"/>
      <c r="P404" s="143"/>
      <c r="Q404" s="143"/>
    </row>
    <row r="405" spans="1:17" ht="30.75" customHeight="1" x14ac:dyDescent="0.35">
      <c r="A405" s="143"/>
      <c r="B405" s="143"/>
      <c r="C405" s="143"/>
      <c r="D405" s="143"/>
      <c r="E405" s="144"/>
      <c r="F405" s="145"/>
      <c r="G405" s="144"/>
      <c r="H405" s="143"/>
      <c r="I405" s="160"/>
      <c r="J405" s="161"/>
      <c r="K405" s="161"/>
      <c r="L405" s="161"/>
      <c r="M405" s="162"/>
      <c r="N405" s="162"/>
      <c r="O405" s="143"/>
      <c r="P405" s="143"/>
      <c r="Q405" s="143"/>
    </row>
    <row r="406" spans="1:17" ht="30.75" customHeight="1" x14ac:dyDescent="0.35">
      <c r="A406" s="143"/>
      <c r="B406" s="143"/>
      <c r="C406" s="143"/>
      <c r="D406" s="143"/>
      <c r="E406" s="144"/>
      <c r="F406" s="145"/>
      <c r="G406" s="144"/>
      <c r="H406" s="143"/>
      <c r="I406" s="160"/>
      <c r="J406" s="161"/>
      <c r="K406" s="161"/>
      <c r="L406" s="161"/>
      <c r="M406" s="162"/>
      <c r="N406" s="162"/>
      <c r="O406" s="143"/>
      <c r="P406" s="143"/>
      <c r="Q406" s="143"/>
    </row>
    <row r="407" spans="1:17" ht="30.75" customHeight="1" x14ac:dyDescent="0.35">
      <c r="A407" s="143"/>
      <c r="B407" s="143"/>
      <c r="C407" s="143"/>
      <c r="D407" s="143"/>
      <c r="E407" s="144"/>
      <c r="F407" s="145"/>
      <c r="G407" s="144"/>
      <c r="H407" s="143"/>
      <c r="I407" s="160"/>
      <c r="J407" s="161"/>
      <c r="K407" s="161"/>
      <c r="L407" s="161"/>
      <c r="M407" s="162"/>
      <c r="N407" s="162"/>
      <c r="O407" s="143"/>
      <c r="P407" s="143"/>
      <c r="Q407" s="143"/>
    </row>
    <row r="408" spans="1:17" ht="30.75" customHeight="1" x14ac:dyDescent="0.35">
      <c r="A408" s="143"/>
      <c r="B408" s="143"/>
      <c r="C408" s="143"/>
      <c r="D408" s="143"/>
      <c r="E408" s="144"/>
      <c r="F408" s="145"/>
      <c r="G408" s="144"/>
      <c r="H408" s="143"/>
      <c r="I408" s="160"/>
      <c r="J408" s="161"/>
      <c r="K408" s="161"/>
      <c r="L408" s="161"/>
      <c r="M408" s="162"/>
      <c r="N408" s="162"/>
      <c r="O408" s="143"/>
      <c r="P408" s="143"/>
      <c r="Q408" s="143"/>
    </row>
    <row r="409" spans="1:17" ht="30.75" customHeight="1" x14ac:dyDescent="0.35">
      <c r="A409" s="143"/>
      <c r="B409" s="143"/>
      <c r="C409" s="143"/>
      <c r="D409" s="143"/>
      <c r="E409" s="144"/>
      <c r="F409" s="145"/>
      <c r="G409" s="144"/>
      <c r="H409" s="143"/>
      <c r="I409" s="160"/>
      <c r="J409" s="161"/>
      <c r="K409" s="161"/>
      <c r="L409" s="161"/>
      <c r="M409" s="162"/>
      <c r="N409" s="162"/>
      <c r="O409" s="143"/>
      <c r="P409" s="143"/>
      <c r="Q409" s="143"/>
    </row>
    <row r="410" spans="1:17" ht="30.75" customHeight="1" x14ac:dyDescent="0.35">
      <c r="A410" s="143"/>
      <c r="B410" s="143"/>
      <c r="C410" s="143"/>
      <c r="D410" s="143"/>
      <c r="E410" s="144"/>
      <c r="F410" s="145"/>
      <c r="G410" s="144"/>
      <c r="H410" s="143"/>
      <c r="I410" s="160"/>
      <c r="J410" s="161"/>
      <c r="K410" s="161"/>
      <c r="L410" s="161"/>
      <c r="M410" s="162"/>
      <c r="N410" s="162"/>
      <c r="O410" s="143"/>
      <c r="P410" s="143"/>
      <c r="Q410" s="143"/>
    </row>
    <row r="411" spans="1:17" ht="30.75" customHeight="1" x14ac:dyDescent="0.35">
      <c r="A411" s="143"/>
      <c r="B411" s="143"/>
      <c r="C411" s="143"/>
      <c r="D411" s="143"/>
      <c r="E411" s="144"/>
      <c r="F411" s="145"/>
      <c r="G411" s="144"/>
      <c r="H411" s="143"/>
      <c r="I411" s="160"/>
      <c r="J411" s="161"/>
      <c r="K411" s="161"/>
      <c r="L411" s="161"/>
      <c r="M411" s="162"/>
      <c r="N411" s="162"/>
      <c r="O411" s="143"/>
      <c r="P411" s="143"/>
      <c r="Q411" s="143"/>
    </row>
    <row r="412" spans="1:17" ht="30.75" customHeight="1" x14ac:dyDescent="0.35">
      <c r="A412" s="143"/>
      <c r="B412" s="143"/>
      <c r="C412" s="143"/>
      <c r="D412" s="143"/>
      <c r="E412" s="144"/>
      <c r="F412" s="145"/>
      <c r="G412" s="144"/>
      <c r="H412" s="143"/>
      <c r="I412" s="160"/>
      <c r="J412" s="161"/>
      <c r="K412" s="161"/>
      <c r="L412" s="161"/>
      <c r="M412" s="162"/>
      <c r="N412" s="162"/>
      <c r="O412" s="143"/>
      <c r="P412" s="143"/>
      <c r="Q412" s="143"/>
    </row>
    <row r="413" spans="1:17" ht="30.75" customHeight="1" x14ac:dyDescent="0.35">
      <c r="A413" s="143"/>
      <c r="B413" s="143"/>
      <c r="C413" s="143"/>
      <c r="D413" s="143"/>
      <c r="E413" s="144"/>
      <c r="F413" s="145"/>
      <c r="G413" s="144"/>
      <c r="H413" s="143"/>
      <c r="I413" s="160"/>
      <c r="J413" s="161"/>
      <c r="K413" s="161"/>
      <c r="L413" s="161"/>
      <c r="M413" s="162"/>
      <c r="N413" s="162"/>
      <c r="O413" s="143"/>
      <c r="P413" s="143"/>
      <c r="Q413" s="143"/>
    </row>
    <row r="414" spans="1:17" ht="30.75" customHeight="1" x14ac:dyDescent="0.35">
      <c r="A414" s="143"/>
      <c r="B414" s="143"/>
      <c r="C414" s="143"/>
      <c r="D414" s="143"/>
      <c r="E414" s="144"/>
      <c r="F414" s="145"/>
      <c r="G414" s="144"/>
      <c r="H414" s="143"/>
      <c r="I414" s="160"/>
      <c r="J414" s="161"/>
      <c r="K414" s="161"/>
      <c r="L414" s="161"/>
      <c r="M414" s="162"/>
      <c r="N414" s="162"/>
      <c r="O414" s="143"/>
      <c r="P414" s="143"/>
      <c r="Q414" s="143"/>
    </row>
    <row r="415" spans="1:17" ht="30.75" customHeight="1" x14ac:dyDescent="0.35">
      <c r="A415" s="143"/>
      <c r="B415" s="143"/>
      <c r="C415" s="143"/>
      <c r="D415" s="143"/>
      <c r="E415" s="144"/>
      <c r="F415" s="145"/>
      <c r="G415" s="144"/>
      <c r="H415" s="143"/>
      <c r="I415" s="160"/>
      <c r="J415" s="161"/>
      <c r="K415" s="161"/>
      <c r="L415" s="161"/>
      <c r="M415" s="162"/>
      <c r="N415" s="162"/>
      <c r="O415" s="143"/>
      <c r="P415" s="143"/>
      <c r="Q415" s="143"/>
    </row>
    <row r="416" spans="1:17" ht="30.75" customHeight="1" x14ac:dyDescent="0.35">
      <c r="A416" s="143"/>
      <c r="B416" s="143"/>
      <c r="C416" s="143"/>
      <c r="D416" s="143"/>
      <c r="E416" s="144"/>
      <c r="F416" s="145"/>
      <c r="G416" s="144"/>
      <c r="H416" s="143"/>
      <c r="I416" s="160"/>
      <c r="J416" s="161"/>
      <c r="K416" s="161"/>
      <c r="L416" s="161"/>
      <c r="M416" s="162"/>
      <c r="N416" s="162"/>
      <c r="O416" s="143"/>
      <c r="P416" s="143"/>
      <c r="Q416" s="143"/>
    </row>
    <row r="417" spans="1:17" ht="30.75" customHeight="1" x14ac:dyDescent="0.35">
      <c r="A417" s="143"/>
      <c r="B417" s="143"/>
      <c r="C417" s="143"/>
      <c r="D417" s="143"/>
      <c r="E417" s="144"/>
      <c r="F417" s="145"/>
      <c r="G417" s="144"/>
      <c r="H417" s="143"/>
      <c r="I417" s="160"/>
      <c r="J417" s="161"/>
      <c r="K417" s="161"/>
      <c r="L417" s="161"/>
      <c r="M417" s="162"/>
      <c r="N417" s="162"/>
      <c r="O417" s="143"/>
      <c r="P417" s="143"/>
      <c r="Q417" s="143"/>
    </row>
    <row r="418" spans="1:17" ht="30.75" customHeight="1" x14ac:dyDescent="0.35">
      <c r="A418" s="143"/>
      <c r="B418" s="143"/>
      <c r="C418" s="143"/>
      <c r="D418" s="143"/>
      <c r="E418" s="144"/>
      <c r="F418" s="145"/>
      <c r="G418" s="144"/>
      <c r="H418" s="143"/>
      <c r="I418" s="160"/>
      <c r="J418" s="161"/>
      <c r="K418" s="161"/>
      <c r="L418" s="161"/>
      <c r="M418" s="162"/>
      <c r="N418" s="162"/>
      <c r="O418" s="143"/>
      <c r="P418" s="143"/>
      <c r="Q418" s="143"/>
    </row>
    <row r="419" spans="1:17" ht="30.75" customHeight="1" x14ac:dyDescent="0.35">
      <c r="A419" s="143"/>
      <c r="B419" s="143"/>
      <c r="C419" s="143"/>
      <c r="D419" s="143"/>
      <c r="E419" s="144"/>
      <c r="F419" s="145"/>
      <c r="G419" s="144"/>
      <c r="H419" s="143"/>
      <c r="I419" s="160"/>
      <c r="J419" s="161"/>
      <c r="K419" s="161"/>
      <c r="L419" s="161"/>
      <c r="M419" s="162"/>
      <c r="N419" s="162"/>
      <c r="O419" s="143"/>
      <c r="P419" s="143"/>
      <c r="Q419" s="143"/>
    </row>
    <row r="420" spans="1:17" ht="30.75" customHeight="1" x14ac:dyDescent="0.35">
      <c r="A420" s="143"/>
      <c r="B420" s="143"/>
      <c r="C420" s="143"/>
      <c r="D420" s="143"/>
      <c r="E420" s="144"/>
      <c r="F420" s="145"/>
      <c r="G420" s="144"/>
      <c r="H420" s="143"/>
      <c r="I420" s="160"/>
      <c r="J420" s="161"/>
      <c r="K420" s="161"/>
      <c r="L420" s="161"/>
      <c r="M420" s="162"/>
      <c r="N420" s="162"/>
      <c r="O420" s="143"/>
      <c r="P420" s="143"/>
      <c r="Q420" s="143"/>
    </row>
    <row r="421" spans="1:17" ht="30.75" customHeight="1" x14ac:dyDescent="0.35">
      <c r="A421" s="143"/>
      <c r="B421" s="143"/>
      <c r="C421" s="143"/>
      <c r="D421" s="143"/>
      <c r="E421" s="144"/>
      <c r="F421" s="145"/>
      <c r="G421" s="144"/>
      <c r="H421" s="143"/>
      <c r="I421" s="160"/>
      <c r="J421" s="161"/>
      <c r="K421" s="161"/>
      <c r="L421" s="161"/>
      <c r="M421" s="162"/>
      <c r="N421" s="162"/>
      <c r="O421" s="143"/>
      <c r="P421" s="143"/>
      <c r="Q421" s="143"/>
    </row>
    <row r="422" spans="1:17" ht="30.75" customHeight="1" x14ac:dyDescent="0.35">
      <c r="A422" s="143"/>
      <c r="B422" s="143"/>
      <c r="C422" s="143"/>
      <c r="D422" s="143"/>
      <c r="E422" s="144"/>
      <c r="F422" s="145"/>
      <c r="G422" s="144"/>
      <c r="H422" s="143"/>
      <c r="I422" s="160"/>
      <c r="J422" s="161"/>
      <c r="K422" s="161"/>
      <c r="L422" s="161"/>
      <c r="M422" s="162"/>
      <c r="N422" s="162"/>
      <c r="O422" s="143"/>
      <c r="P422" s="143"/>
      <c r="Q422" s="143"/>
    </row>
    <row r="423" spans="1:17" ht="30.75" customHeight="1" x14ac:dyDescent="0.35">
      <c r="A423" s="143"/>
      <c r="B423" s="143"/>
      <c r="C423" s="143"/>
      <c r="D423" s="143"/>
      <c r="E423" s="144"/>
      <c r="F423" s="145"/>
      <c r="G423" s="144"/>
      <c r="H423" s="143"/>
      <c r="I423" s="160"/>
      <c r="J423" s="161"/>
      <c r="K423" s="161"/>
      <c r="L423" s="161"/>
      <c r="M423" s="162"/>
      <c r="N423" s="162"/>
      <c r="O423" s="143"/>
      <c r="P423" s="143"/>
      <c r="Q423" s="143"/>
    </row>
    <row r="424" spans="1:17" ht="30.75" customHeight="1" x14ac:dyDescent="0.35">
      <c r="A424" s="143"/>
      <c r="B424" s="143"/>
      <c r="C424" s="143"/>
      <c r="D424" s="143"/>
      <c r="E424" s="144"/>
      <c r="F424" s="145"/>
      <c r="G424" s="144"/>
      <c r="H424" s="143"/>
      <c r="I424" s="160"/>
      <c r="J424" s="161"/>
      <c r="K424" s="161"/>
      <c r="L424" s="161"/>
      <c r="M424" s="162"/>
      <c r="N424" s="162"/>
      <c r="O424" s="143"/>
      <c r="P424" s="143"/>
      <c r="Q424" s="143"/>
    </row>
    <row r="425" spans="1:17" ht="30.75" customHeight="1" x14ac:dyDescent="0.35">
      <c r="A425" s="143"/>
      <c r="B425" s="143"/>
      <c r="C425" s="143"/>
      <c r="D425" s="143"/>
      <c r="E425" s="144"/>
      <c r="F425" s="145"/>
      <c r="G425" s="144"/>
      <c r="H425" s="143"/>
      <c r="I425" s="160"/>
      <c r="J425" s="161"/>
      <c r="K425" s="161"/>
      <c r="L425" s="161"/>
      <c r="M425" s="162"/>
      <c r="N425" s="162"/>
      <c r="O425" s="143"/>
      <c r="P425" s="143"/>
      <c r="Q425" s="143"/>
    </row>
    <row r="426" spans="1:17" ht="30.75" customHeight="1" x14ac:dyDescent="0.35">
      <c r="A426" s="143"/>
      <c r="B426" s="143"/>
      <c r="C426" s="143"/>
      <c r="D426" s="143"/>
      <c r="E426" s="144"/>
      <c r="F426" s="145"/>
      <c r="G426" s="144"/>
      <c r="H426" s="143"/>
      <c r="I426" s="160"/>
      <c r="J426" s="161"/>
      <c r="K426" s="161"/>
      <c r="L426" s="161"/>
      <c r="M426" s="162"/>
      <c r="N426" s="162"/>
      <c r="O426" s="143"/>
      <c r="P426" s="143"/>
      <c r="Q426" s="143"/>
    </row>
    <row r="427" spans="1:17" ht="30.75" customHeight="1" x14ac:dyDescent="0.35">
      <c r="A427" s="143"/>
      <c r="B427" s="143"/>
      <c r="C427" s="143"/>
      <c r="D427" s="143"/>
      <c r="E427" s="144"/>
      <c r="F427" s="145"/>
      <c r="G427" s="144"/>
      <c r="H427" s="143"/>
      <c r="I427" s="160"/>
      <c r="J427" s="161"/>
      <c r="K427" s="161"/>
      <c r="L427" s="161"/>
      <c r="M427" s="162"/>
      <c r="N427" s="162"/>
      <c r="O427" s="143"/>
      <c r="P427" s="143"/>
      <c r="Q427" s="143"/>
    </row>
    <row r="428" spans="1:17" ht="30.75" customHeight="1" x14ac:dyDescent="0.35">
      <c r="A428" s="143"/>
      <c r="B428" s="143"/>
      <c r="C428" s="143"/>
      <c r="D428" s="143"/>
      <c r="E428" s="144"/>
      <c r="F428" s="145"/>
      <c r="G428" s="144"/>
      <c r="H428" s="143"/>
      <c r="I428" s="160"/>
      <c r="J428" s="161"/>
      <c r="K428" s="161"/>
      <c r="L428" s="161"/>
      <c r="M428" s="162"/>
      <c r="N428" s="162"/>
      <c r="O428" s="143"/>
      <c r="P428" s="143"/>
      <c r="Q428" s="143"/>
    </row>
    <row r="429" spans="1:17" ht="30.75" customHeight="1" x14ac:dyDescent="0.35">
      <c r="A429" s="143"/>
      <c r="B429" s="143"/>
      <c r="C429" s="143"/>
      <c r="D429" s="143"/>
      <c r="E429" s="144"/>
      <c r="F429" s="145"/>
      <c r="G429" s="144"/>
      <c r="H429" s="143"/>
      <c r="I429" s="160"/>
      <c r="J429" s="161"/>
      <c r="K429" s="161"/>
      <c r="L429" s="161"/>
      <c r="M429" s="162"/>
      <c r="N429" s="162"/>
      <c r="O429" s="143"/>
      <c r="P429" s="143"/>
      <c r="Q429" s="143"/>
    </row>
    <row r="430" spans="1:17" ht="30.75" customHeight="1" x14ac:dyDescent="0.35">
      <c r="A430" s="143"/>
      <c r="B430" s="143"/>
      <c r="C430" s="143"/>
      <c r="D430" s="143"/>
      <c r="E430" s="144"/>
      <c r="F430" s="145"/>
      <c r="G430" s="144"/>
      <c r="H430" s="143"/>
      <c r="I430" s="160"/>
      <c r="J430" s="161"/>
      <c r="K430" s="161"/>
      <c r="L430" s="161"/>
      <c r="M430" s="162"/>
      <c r="N430" s="162"/>
      <c r="O430" s="143"/>
      <c r="P430" s="143"/>
      <c r="Q430" s="143"/>
    </row>
    <row r="431" spans="1:17" ht="30.75" customHeight="1" x14ac:dyDescent="0.35">
      <c r="A431" s="143"/>
      <c r="B431" s="143"/>
      <c r="C431" s="143"/>
      <c r="D431" s="143"/>
      <c r="E431" s="144"/>
      <c r="F431" s="145"/>
      <c r="G431" s="144"/>
      <c r="H431" s="143"/>
      <c r="I431" s="160"/>
      <c r="J431" s="161"/>
      <c r="K431" s="161"/>
      <c r="L431" s="161"/>
      <c r="M431" s="162"/>
      <c r="N431" s="162"/>
      <c r="O431" s="143"/>
      <c r="P431" s="143"/>
      <c r="Q431" s="143"/>
    </row>
    <row r="432" spans="1:17" ht="30.75" customHeight="1" x14ac:dyDescent="0.35">
      <c r="A432" s="143"/>
      <c r="B432" s="143"/>
      <c r="C432" s="143"/>
      <c r="D432" s="143"/>
      <c r="E432" s="144"/>
      <c r="F432" s="145"/>
      <c r="G432" s="144"/>
      <c r="H432" s="143"/>
      <c r="I432" s="160"/>
      <c r="J432" s="161"/>
      <c r="K432" s="161"/>
      <c r="L432" s="161"/>
      <c r="M432" s="162"/>
      <c r="N432" s="162"/>
      <c r="O432" s="143"/>
      <c r="P432" s="143"/>
      <c r="Q432" s="143"/>
    </row>
    <row r="433" spans="1:17" ht="30.75" customHeight="1" x14ac:dyDescent="0.35">
      <c r="A433" s="143"/>
      <c r="B433" s="143"/>
      <c r="C433" s="143"/>
      <c r="D433" s="143"/>
      <c r="E433" s="144"/>
      <c r="F433" s="145"/>
      <c r="G433" s="144"/>
      <c r="H433" s="143"/>
      <c r="I433" s="160"/>
      <c r="J433" s="161"/>
      <c r="K433" s="161"/>
      <c r="L433" s="161"/>
      <c r="M433" s="162"/>
      <c r="N433" s="162"/>
      <c r="O433" s="143"/>
      <c r="P433" s="143"/>
      <c r="Q433" s="143"/>
    </row>
    <row r="434" spans="1:17" ht="30.75" customHeight="1" x14ac:dyDescent="0.35">
      <c r="A434" s="143"/>
      <c r="B434" s="143"/>
      <c r="C434" s="143"/>
      <c r="D434" s="143"/>
      <c r="E434" s="144"/>
      <c r="F434" s="145"/>
      <c r="G434" s="144"/>
      <c r="H434" s="143"/>
      <c r="I434" s="160"/>
      <c r="J434" s="161"/>
      <c r="K434" s="161"/>
      <c r="L434" s="161"/>
      <c r="M434" s="162"/>
      <c r="N434" s="162"/>
      <c r="O434" s="143"/>
      <c r="P434" s="143"/>
      <c r="Q434" s="143"/>
    </row>
    <row r="435" spans="1:17" ht="30.75" customHeight="1" x14ac:dyDescent="0.35">
      <c r="A435" s="143"/>
      <c r="B435" s="143"/>
      <c r="C435" s="143"/>
      <c r="D435" s="143"/>
      <c r="E435" s="144"/>
      <c r="F435" s="145"/>
      <c r="G435" s="144"/>
      <c r="H435" s="143"/>
      <c r="I435" s="160"/>
      <c r="J435" s="161"/>
      <c r="K435" s="161"/>
      <c r="L435" s="161"/>
      <c r="M435" s="162"/>
      <c r="N435" s="162"/>
      <c r="O435" s="143"/>
      <c r="P435" s="143"/>
      <c r="Q435" s="143"/>
    </row>
    <row r="436" spans="1:17" ht="30.75" customHeight="1" x14ac:dyDescent="0.35">
      <c r="A436" s="143"/>
      <c r="B436" s="143"/>
      <c r="C436" s="143"/>
      <c r="D436" s="143"/>
      <c r="E436" s="144"/>
      <c r="F436" s="145"/>
      <c r="G436" s="144"/>
      <c r="H436" s="143"/>
      <c r="I436" s="160"/>
      <c r="J436" s="161"/>
      <c r="K436" s="161"/>
      <c r="L436" s="161"/>
      <c r="M436" s="162"/>
      <c r="N436" s="162"/>
      <c r="O436" s="143"/>
      <c r="P436" s="143"/>
      <c r="Q436" s="143"/>
    </row>
    <row r="437" spans="1:17" ht="30.75" customHeight="1" x14ac:dyDescent="0.35">
      <c r="A437" s="143"/>
      <c r="B437" s="143"/>
      <c r="C437" s="143"/>
      <c r="D437" s="143"/>
      <c r="E437" s="144"/>
      <c r="F437" s="145"/>
      <c r="G437" s="144"/>
      <c r="H437" s="143"/>
      <c r="I437" s="160"/>
      <c r="J437" s="161"/>
      <c r="K437" s="161"/>
      <c r="L437" s="161"/>
      <c r="M437" s="162"/>
      <c r="N437" s="162"/>
      <c r="O437" s="143"/>
      <c r="P437" s="143"/>
      <c r="Q437" s="143"/>
    </row>
    <row r="438" spans="1:17" ht="30.75" customHeight="1" x14ac:dyDescent="0.35">
      <c r="A438" s="143"/>
      <c r="B438" s="143"/>
      <c r="C438" s="143"/>
      <c r="D438" s="143"/>
      <c r="E438" s="144"/>
      <c r="F438" s="145"/>
      <c r="G438" s="144"/>
      <c r="H438" s="143"/>
      <c r="I438" s="160"/>
      <c r="J438" s="161"/>
      <c r="K438" s="161"/>
      <c r="L438" s="161"/>
      <c r="M438" s="162"/>
      <c r="N438" s="162"/>
      <c r="O438" s="143"/>
      <c r="P438" s="143"/>
      <c r="Q438" s="143"/>
    </row>
    <row r="439" spans="1:17" ht="30.75" customHeight="1" x14ac:dyDescent="0.35">
      <c r="A439" s="143"/>
      <c r="B439" s="143"/>
      <c r="C439" s="143"/>
      <c r="D439" s="143"/>
      <c r="E439" s="144"/>
      <c r="F439" s="145"/>
      <c r="G439" s="144"/>
      <c r="H439" s="143"/>
      <c r="I439" s="160"/>
      <c r="J439" s="161"/>
      <c r="K439" s="161"/>
      <c r="L439" s="161"/>
      <c r="M439" s="162"/>
      <c r="N439" s="162"/>
      <c r="O439" s="143"/>
      <c r="P439" s="143"/>
      <c r="Q439" s="143"/>
    </row>
    <row r="440" spans="1:17" ht="30.75" customHeight="1" x14ac:dyDescent="0.35">
      <c r="A440" s="143"/>
      <c r="B440" s="143"/>
      <c r="C440" s="143"/>
      <c r="D440" s="143"/>
      <c r="E440" s="144"/>
      <c r="F440" s="145"/>
      <c r="G440" s="144"/>
      <c r="H440" s="143"/>
      <c r="I440" s="160"/>
      <c r="J440" s="161"/>
      <c r="K440" s="161"/>
      <c r="L440" s="161"/>
      <c r="M440" s="162"/>
      <c r="N440" s="162"/>
      <c r="O440" s="143"/>
      <c r="P440" s="143"/>
      <c r="Q440" s="143"/>
    </row>
    <row r="441" spans="1:17" ht="30.75" customHeight="1" x14ac:dyDescent="0.35">
      <c r="A441" s="143"/>
      <c r="B441" s="143"/>
      <c r="C441" s="143"/>
      <c r="D441" s="143"/>
      <c r="E441" s="144"/>
      <c r="F441" s="145"/>
      <c r="G441" s="144"/>
      <c r="H441" s="143"/>
      <c r="I441" s="160"/>
      <c r="J441" s="161"/>
      <c r="K441" s="161"/>
      <c r="L441" s="161"/>
      <c r="M441" s="162"/>
      <c r="N441" s="162"/>
      <c r="O441" s="143"/>
      <c r="P441" s="143"/>
      <c r="Q441" s="143"/>
    </row>
    <row r="442" spans="1:17" ht="30.75" customHeight="1" x14ac:dyDescent="0.35">
      <c r="A442" s="143"/>
      <c r="B442" s="143"/>
      <c r="C442" s="143"/>
      <c r="D442" s="143"/>
      <c r="E442" s="144"/>
      <c r="F442" s="145"/>
      <c r="G442" s="144"/>
      <c r="H442" s="143"/>
      <c r="I442" s="160"/>
      <c r="J442" s="161"/>
      <c r="K442" s="161"/>
      <c r="L442" s="161"/>
      <c r="M442" s="162"/>
      <c r="N442" s="162"/>
      <c r="O442" s="143"/>
      <c r="P442" s="143"/>
      <c r="Q442" s="143"/>
    </row>
    <row r="443" spans="1:17" ht="30.75" customHeight="1" x14ac:dyDescent="0.35">
      <c r="A443" s="143"/>
      <c r="B443" s="143"/>
      <c r="C443" s="143"/>
      <c r="D443" s="143"/>
      <c r="E443" s="144"/>
      <c r="F443" s="145"/>
      <c r="G443" s="144"/>
      <c r="H443" s="143"/>
      <c r="I443" s="160"/>
      <c r="J443" s="161"/>
      <c r="K443" s="161"/>
      <c r="L443" s="161"/>
      <c r="M443" s="162"/>
      <c r="N443" s="162"/>
      <c r="O443" s="143"/>
      <c r="P443" s="143"/>
      <c r="Q443" s="143"/>
    </row>
    <row r="444" spans="1:17" ht="30.75" customHeight="1" x14ac:dyDescent="0.35">
      <c r="A444" s="143"/>
      <c r="B444" s="143"/>
      <c r="C444" s="143"/>
      <c r="D444" s="143"/>
      <c r="E444" s="144"/>
      <c r="F444" s="145"/>
      <c r="G444" s="144"/>
      <c r="H444" s="143"/>
      <c r="I444" s="160"/>
      <c r="J444" s="161"/>
      <c r="K444" s="161"/>
      <c r="L444" s="161"/>
      <c r="M444" s="162"/>
      <c r="N444" s="162"/>
      <c r="O444" s="143"/>
      <c r="P444" s="143"/>
      <c r="Q444" s="143"/>
    </row>
    <row r="445" spans="1:17" ht="30.75" customHeight="1" x14ac:dyDescent="0.35">
      <c r="A445" s="143"/>
      <c r="B445" s="143"/>
      <c r="C445" s="143"/>
      <c r="D445" s="143"/>
      <c r="E445" s="144"/>
      <c r="F445" s="145"/>
      <c r="G445" s="144"/>
      <c r="H445" s="143"/>
      <c r="I445" s="160"/>
      <c r="J445" s="161"/>
      <c r="K445" s="161"/>
      <c r="L445" s="161"/>
      <c r="M445" s="162"/>
      <c r="N445" s="162"/>
      <c r="O445" s="143"/>
      <c r="P445" s="143"/>
      <c r="Q445" s="143"/>
    </row>
    <row r="446" spans="1:17" ht="30.75" customHeight="1" x14ac:dyDescent="0.35">
      <c r="A446" s="143"/>
      <c r="B446" s="143"/>
      <c r="C446" s="143"/>
      <c r="D446" s="143"/>
      <c r="E446" s="144"/>
      <c r="F446" s="145"/>
      <c r="G446" s="144"/>
      <c r="H446" s="143"/>
      <c r="I446" s="160"/>
      <c r="J446" s="161"/>
      <c r="K446" s="161"/>
      <c r="L446" s="161"/>
      <c r="M446" s="162"/>
      <c r="N446" s="162"/>
      <c r="O446" s="143"/>
      <c r="P446" s="143"/>
      <c r="Q446" s="143"/>
    </row>
    <row r="447" spans="1:17" ht="30.75" customHeight="1" x14ac:dyDescent="0.35">
      <c r="A447" s="143"/>
      <c r="B447" s="143"/>
      <c r="C447" s="143"/>
      <c r="D447" s="143"/>
      <c r="E447" s="144"/>
      <c r="F447" s="145"/>
      <c r="G447" s="144"/>
      <c r="H447" s="143"/>
      <c r="I447" s="160"/>
      <c r="J447" s="161"/>
      <c r="K447" s="161"/>
      <c r="L447" s="161"/>
      <c r="M447" s="162"/>
      <c r="N447" s="162"/>
      <c r="O447" s="143"/>
      <c r="P447" s="143"/>
      <c r="Q447" s="143"/>
    </row>
    <row r="448" spans="1:17" ht="30.75" customHeight="1" x14ac:dyDescent="0.35">
      <c r="A448" s="143"/>
      <c r="B448" s="143"/>
      <c r="C448" s="143"/>
      <c r="D448" s="143"/>
      <c r="E448" s="144"/>
      <c r="F448" s="145"/>
      <c r="G448" s="144"/>
      <c r="H448" s="143"/>
      <c r="I448" s="160"/>
      <c r="J448" s="161"/>
      <c r="K448" s="161"/>
      <c r="L448" s="161"/>
      <c r="M448" s="162"/>
      <c r="N448" s="162"/>
      <c r="O448" s="143"/>
      <c r="P448" s="143"/>
      <c r="Q448" s="143"/>
    </row>
    <row r="449" spans="1:17" ht="30.75" customHeight="1" x14ac:dyDescent="0.35">
      <c r="A449" s="143"/>
      <c r="B449" s="143"/>
      <c r="C449" s="143"/>
      <c r="D449" s="143"/>
      <c r="E449" s="144"/>
      <c r="F449" s="145"/>
      <c r="G449" s="144"/>
      <c r="H449" s="143"/>
      <c r="I449" s="160"/>
      <c r="J449" s="161"/>
      <c r="K449" s="161"/>
      <c r="L449" s="161"/>
      <c r="M449" s="162"/>
      <c r="N449" s="162"/>
      <c r="O449" s="143"/>
      <c r="P449" s="143"/>
      <c r="Q449" s="143"/>
    </row>
    <row r="450" spans="1:17" ht="30.75" customHeight="1" x14ac:dyDescent="0.35">
      <c r="A450" s="143"/>
      <c r="B450" s="143"/>
      <c r="C450" s="143"/>
      <c r="D450" s="143"/>
      <c r="E450" s="144"/>
      <c r="F450" s="145"/>
      <c r="G450" s="144"/>
      <c r="H450" s="143"/>
      <c r="I450" s="160"/>
      <c r="J450" s="161"/>
      <c r="K450" s="161"/>
      <c r="L450" s="161"/>
      <c r="M450" s="162"/>
      <c r="N450" s="162"/>
      <c r="O450" s="143"/>
      <c r="P450" s="143"/>
      <c r="Q450" s="143"/>
    </row>
    <row r="451" spans="1:17" ht="30.75" customHeight="1" x14ac:dyDescent="0.35">
      <c r="A451" s="143"/>
      <c r="B451" s="143"/>
      <c r="C451" s="143"/>
      <c r="D451" s="143"/>
      <c r="E451" s="144"/>
      <c r="F451" s="145"/>
      <c r="G451" s="144"/>
      <c r="H451" s="143"/>
      <c r="I451" s="160"/>
      <c r="J451" s="161"/>
      <c r="K451" s="161"/>
      <c r="L451" s="161"/>
      <c r="M451" s="162"/>
      <c r="N451" s="162"/>
      <c r="O451" s="143"/>
      <c r="P451" s="143"/>
      <c r="Q451" s="143"/>
    </row>
    <row r="452" spans="1:17" ht="30.75" customHeight="1" x14ac:dyDescent="0.35">
      <c r="A452" s="143"/>
      <c r="B452" s="143"/>
      <c r="C452" s="143"/>
      <c r="D452" s="143"/>
      <c r="E452" s="144"/>
      <c r="F452" s="145"/>
      <c r="G452" s="144"/>
      <c r="H452" s="143"/>
      <c r="I452" s="160"/>
      <c r="J452" s="161"/>
      <c r="K452" s="161"/>
      <c r="L452" s="161"/>
      <c r="M452" s="162"/>
      <c r="N452" s="162"/>
      <c r="O452" s="143"/>
      <c r="P452" s="143"/>
      <c r="Q452" s="143"/>
    </row>
    <row r="453" spans="1:17" ht="30.75" customHeight="1" x14ac:dyDescent="0.35">
      <c r="A453" s="143"/>
      <c r="B453" s="143"/>
      <c r="C453" s="143"/>
      <c r="D453" s="143"/>
      <c r="E453" s="144"/>
      <c r="F453" s="145"/>
      <c r="G453" s="144"/>
      <c r="H453" s="143"/>
      <c r="I453" s="160"/>
      <c r="J453" s="161"/>
      <c r="K453" s="161"/>
      <c r="L453" s="161"/>
      <c r="M453" s="162"/>
      <c r="N453" s="162"/>
      <c r="O453" s="143"/>
      <c r="P453" s="143"/>
      <c r="Q453" s="143"/>
    </row>
    <row r="454" spans="1:17" ht="30.75" customHeight="1" x14ac:dyDescent="0.35">
      <c r="A454" s="143"/>
      <c r="B454" s="143"/>
      <c r="C454" s="143"/>
      <c r="D454" s="143"/>
      <c r="E454" s="144"/>
      <c r="F454" s="145"/>
      <c r="G454" s="144"/>
      <c r="H454" s="143"/>
      <c r="I454" s="160"/>
      <c r="J454" s="161"/>
      <c r="K454" s="161"/>
      <c r="L454" s="161"/>
      <c r="M454" s="162"/>
      <c r="N454" s="162"/>
      <c r="O454" s="143"/>
      <c r="P454" s="143"/>
      <c r="Q454" s="143"/>
    </row>
    <row r="455" spans="1:17" ht="30.75" customHeight="1" x14ac:dyDescent="0.35">
      <c r="A455" s="143"/>
      <c r="B455" s="143"/>
      <c r="C455" s="143"/>
      <c r="D455" s="143"/>
      <c r="E455" s="144"/>
      <c r="F455" s="145"/>
      <c r="G455" s="144"/>
      <c r="H455" s="143"/>
      <c r="I455" s="160"/>
      <c r="J455" s="161"/>
      <c r="K455" s="161"/>
      <c r="L455" s="161"/>
      <c r="M455" s="162"/>
      <c r="N455" s="162"/>
      <c r="O455" s="143"/>
      <c r="P455" s="143"/>
      <c r="Q455" s="143"/>
    </row>
    <row r="456" spans="1:17" ht="30.75" customHeight="1" x14ac:dyDescent="0.35">
      <c r="A456" s="143"/>
      <c r="B456" s="143"/>
      <c r="C456" s="143"/>
      <c r="D456" s="143"/>
      <c r="E456" s="144"/>
      <c r="F456" s="145"/>
      <c r="G456" s="144"/>
      <c r="H456" s="143"/>
      <c r="I456" s="160"/>
      <c r="J456" s="161"/>
      <c r="K456" s="161"/>
      <c r="L456" s="161"/>
      <c r="M456" s="162"/>
      <c r="N456" s="162"/>
      <c r="O456" s="143"/>
      <c r="P456" s="143"/>
      <c r="Q456" s="143"/>
    </row>
    <row r="457" spans="1:17" ht="30.75" customHeight="1" x14ac:dyDescent="0.35">
      <c r="A457" s="143"/>
      <c r="B457" s="143"/>
      <c r="C457" s="143"/>
      <c r="D457" s="143"/>
      <c r="E457" s="144"/>
      <c r="F457" s="145"/>
      <c r="G457" s="144"/>
      <c r="H457" s="143"/>
      <c r="I457" s="160"/>
      <c r="J457" s="161"/>
      <c r="K457" s="161"/>
      <c r="L457" s="161"/>
      <c r="M457" s="162"/>
      <c r="N457" s="162"/>
      <c r="O457" s="143"/>
      <c r="P457" s="143"/>
      <c r="Q457" s="143"/>
    </row>
    <row r="458" spans="1:17" ht="30.75" customHeight="1" x14ac:dyDescent="0.35">
      <c r="A458" s="143"/>
      <c r="B458" s="143"/>
      <c r="C458" s="143"/>
      <c r="D458" s="143"/>
      <c r="E458" s="144"/>
      <c r="F458" s="145"/>
      <c r="G458" s="144"/>
      <c r="H458" s="143"/>
      <c r="I458" s="160"/>
      <c r="J458" s="161"/>
      <c r="K458" s="161"/>
      <c r="L458" s="161"/>
      <c r="M458" s="162"/>
      <c r="N458" s="162"/>
      <c r="O458" s="143"/>
      <c r="P458" s="143"/>
      <c r="Q458" s="143"/>
    </row>
    <row r="459" spans="1:17" ht="30.75" customHeight="1" x14ac:dyDescent="0.35">
      <c r="A459" s="143"/>
      <c r="B459" s="143"/>
      <c r="C459" s="143"/>
      <c r="D459" s="143"/>
      <c r="E459" s="144"/>
      <c r="F459" s="145"/>
      <c r="G459" s="144"/>
      <c r="H459" s="143"/>
      <c r="I459" s="160"/>
      <c r="J459" s="161"/>
      <c r="K459" s="161"/>
      <c r="L459" s="161"/>
      <c r="M459" s="162"/>
      <c r="N459" s="162"/>
      <c r="O459" s="143"/>
      <c r="P459" s="143"/>
      <c r="Q459" s="143"/>
    </row>
    <row r="460" spans="1:17" ht="30.75" customHeight="1" x14ac:dyDescent="0.35">
      <c r="A460" s="143"/>
      <c r="B460" s="143"/>
      <c r="C460" s="143"/>
      <c r="D460" s="143"/>
      <c r="E460" s="144"/>
      <c r="F460" s="145"/>
      <c r="G460" s="144"/>
      <c r="H460" s="143"/>
      <c r="I460" s="160"/>
      <c r="J460" s="161"/>
      <c r="K460" s="161"/>
      <c r="L460" s="161"/>
      <c r="M460" s="162"/>
      <c r="N460" s="162"/>
      <c r="O460" s="143"/>
      <c r="P460" s="143"/>
      <c r="Q460" s="143"/>
    </row>
    <row r="461" spans="1:17" ht="30.75" customHeight="1" x14ac:dyDescent="0.35">
      <c r="A461" s="143"/>
      <c r="B461" s="143"/>
      <c r="C461" s="143"/>
      <c r="D461" s="143"/>
      <c r="E461" s="144"/>
      <c r="F461" s="145"/>
      <c r="G461" s="144"/>
      <c r="H461" s="143"/>
      <c r="I461" s="160"/>
      <c r="J461" s="161"/>
      <c r="K461" s="161"/>
      <c r="L461" s="161"/>
      <c r="M461" s="162"/>
      <c r="N461" s="162"/>
      <c r="O461" s="143"/>
      <c r="P461" s="143"/>
      <c r="Q461" s="143"/>
    </row>
    <row r="462" spans="1:17" ht="30.75" customHeight="1" x14ac:dyDescent="0.35">
      <c r="A462" s="143"/>
      <c r="B462" s="143"/>
      <c r="C462" s="143"/>
      <c r="D462" s="143"/>
      <c r="E462" s="144"/>
      <c r="F462" s="145"/>
      <c r="G462" s="144"/>
      <c r="H462" s="143"/>
      <c r="I462" s="160"/>
      <c r="J462" s="161"/>
      <c r="K462" s="161"/>
      <c r="L462" s="161"/>
      <c r="M462" s="162"/>
      <c r="N462" s="162"/>
      <c r="O462" s="143"/>
      <c r="P462" s="143"/>
      <c r="Q462" s="143"/>
    </row>
    <row r="463" spans="1:17" ht="30.75" customHeight="1" x14ac:dyDescent="0.35">
      <c r="A463" s="143"/>
      <c r="B463" s="143"/>
      <c r="C463" s="143"/>
      <c r="D463" s="143"/>
      <c r="E463" s="144"/>
      <c r="F463" s="145"/>
      <c r="G463" s="144"/>
      <c r="H463" s="143"/>
      <c r="I463" s="160"/>
      <c r="J463" s="161"/>
      <c r="K463" s="161"/>
      <c r="L463" s="161"/>
      <c r="M463" s="162"/>
      <c r="N463" s="162"/>
      <c r="O463" s="143"/>
      <c r="P463" s="143"/>
      <c r="Q463" s="143"/>
    </row>
    <row r="464" spans="1:17" ht="30.75" customHeight="1" x14ac:dyDescent="0.35">
      <c r="A464" s="143"/>
      <c r="B464" s="143"/>
      <c r="C464" s="143"/>
      <c r="D464" s="143"/>
      <c r="E464" s="144"/>
      <c r="F464" s="145"/>
      <c r="G464" s="144"/>
      <c r="H464" s="143"/>
      <c r="I464" s="160"/>
      <c r="J464" s="161"/>
      <c r="K464" s="161"/>
      <c r="L464" s="161"/>
      <c r="M464" s="162"/>
      <c r="N464" s="162"/>
      <c r="O464" s="143"/>
      <c r="P464" s="143"/>
      <c r="Q464" s="143"/>
    </row>
    <row r="465" spans="1:17" ht="30.75" customHeight="1" x14ac:dyDescent="0.35">
      <c r="A465" s="143"/>
      <c r="B465" s="143"/>
      <c r="C465" s="143"/>
      <c r="D465" s="143"/>
      <c r="E465" s="144"/>
      <c r="F465" s="145"/>
      <c r="G465" s="144"/>
      <c r="H465" s="143"/>
      <c r="I465" s="160"/>
      <c r="J465" s="161"/>
      <c r="K465" s="161"/>
      <c r="L465" s="161"/>
      <c r="M465" s="162"/>
      <c r="N465" s="162"/>
      <c r="O465" s="143"/>
      <c r="P465" s="143"/>
      <c r="Q465" s="143"/>
    </row>
    <row r="466" spans="1:17" ht="30.75" customHeight="1" x14ac:dyDescent="0.35">
      <c r="A466" s="143"/>
      <c r="B466" s="143"/>
      <c r="C466" s="143"/>
      <c r="D466" s="143"/>
      <c r="E466" s="144"/>
      <c r="F466" s="145"/>
      <c r="G466" s="144"/>
      <c r="H466" s="143"/>
      <c r="I466" s="160"/>
      <c r="J466" s="161"/>
      <c r="K466" s="161"/>
      <c r="L466" s="161"/>
      <c r="M466" s="162"/>
      <c r="N466" s="162"/>
      <c r="O466" s="143"/>
      <c r="P466" s="143"/>
      <c r="Q466" s="143"/>
    </row>
    <row r="467" spans="1:17" ht="30.75" customHeight="1" x14ac:dyDescent="0.35">
      <c r="A467" s="143"/>
      <c r="B467" s="143"/>
      <c r="C467" s="143"/>
      <c r="D467" s="143"/>
      <c r="E467" s="144"/>
      <c r="F467" s="145"/>
      <c r="G467" s="144"/>
      <c r="H467" s="143"/>
      <c r="I467" s="160"/>
      <c r="J467" s="161"/>
      <c r="K467" s="161"/>
      <c r="L467" s="161"/>
      <c r="M467" s="162"/>
      <c r="N467" s="162"/>
      <c r="O467" s="143"/>
      <c r="P467" s="143"/>
      <c r="Q467" s="143"/>
    </row>
    <row r="468" spans="1:17" ht="30.75" customHeight="1" x14ac:dyDescent="0.35">
      <c r="A468" s="143"/>
      <c r="B468" s="143"/>
      <c r="C468" s="143"/>
      <c r="D468" s="143"/>
      <c r="E468" s="144"/>
      <c r="F468" s="145"/>
      <c r="G468" s="144"/>
      <c r="H468" s="143"/>
      <c r="I468" s="160"/>
      <c r="J468" s="161"/>
      <c r="K468" s="161"/>
      <c r="L468" s="161"/>
      <c r="M468" s="162"/>
      <c r="N468" s="162"/>
      <c r="O468" s="143"/>
      <c r="P468" s="143"/>
      <c r="Q468" s="143"/>
    </row>
    <row r="469" spans="1:17" ht="30.75" customHeight="1" x14ac:dyDescent="0.35">
      <c r="A469" s="143"/>
      <c r="B469" s="143"/>
      <c r="C469" s="143"/>
      <c r="D469" s="143"/>
      <c r="E469" s="144"/>
      <c r="F469" s="145"/>
      <c r="G469" s="144"/>
      <c r="H469" s="143"/>
      <c r="I469" s="160"/>
      <c r="J469" s="161"/>
      <c r="K469" s="161"/>
      <c r="L469" s="161"/>
      <c r="M469" s="162"/>
      <c r="N469" s="162"/>
      <c r="O469" s="143"/>
      <c r="P469" s="143"/>
      <c r="Q469" s="143"/>
    </row>
    <row r="470" spans="1:17" ht="30.75" customHeight="1" x14ac:dyDescent="0.35">
      <c r="A470" s="143"/>
      <c r="B470" s="143"/>
      <c r="C470" s="143"/>
      <c r="D470" s="143"/>
      <c r="E470" s="144"/>
      <c r="F470" s="145"/>
      <c r="G470" s="144"/>
      <c r="H470" s="143"/>
      <c r="I470" s="160"/>
      <c r="J470" s="161"/>
      <c r="K470" s="161"/>
      <c r="L470" s="161"/>
      <c r="M470" s="162"/>
      <c r="N470" s="162"/>
      <c r="O470" s="143"/>
      <c r="P470" s="143"/>
      <c r="Q470" s="143"/>
    </row>
    <row r="471" spans="1:17" ht="30.75" customHeight="1" x14ac:dyDescent="0.35">
      <c r="A471" s="143"/>
      <c r="B471" s="143"/>
      <c r="C471" s="143"/>
      <c r="D471" s="143"/>
      <c r="E471" s="144"/>
      <c r="F471" s="145"/>
      <c r="G471" s="144"/>
      <c r="H471" s="143"/>
      <c r="I471" s="160"/>
      <c r="J471" s="161"/>
      <c r="K471" s="161"/>
      <c r="L471" s="161"/>
      <c r="M471" s="162"/>
      <c r="N471" s="162"/>
      <c r="O471" s="143"/>
      <c r="P471" s="143"/>
      <c r="Q471" s="143"/>
    </row>
    <row r="472" spans="1:17" ht="30.75" customHeight="1" x14ac:dyDescent="0.35">
      <c r="A472" s="143"/>
      <c r="B472" s="143"/>
      <c r="C472" s="143"/>
      <c r="D472" s="143"/>
      <c r="E472" s="144"/>
      <c r="F472" s="145"/>
      <c r="G472" s="144"/>
      <c r="H472" s="143"/>
      <c r="I472" s="160"/>
      <c r="J472" s="161"/>
      <c r="K472" s="161"/>
      <c r="L472" s="161"/>
      <c r="M472" s="162"/>
      <c r="N472" s="162"/>
      <c r="O472" s="143"/>
      <c r="P472" s="143"/>
      <c r="Q472" s="143"/>
    </row>
    <row r="473" spans="1:17" ht="30.75" customHeight="1" x14ac:dyDescent="0.35">
      <c r="A473" s="143"/>
      <c r="B473" s="143"/>
      <c r="C473" s="143"/>
      <c r="D473" s="143"/>
      <c r="E473" s="144"/>
      <c r="F473" s="145"/>
      <c r="G473" s="144"/>
      <c r="H473" s="143"/>
      <c r="I473" s="160"/>
      <c r="J473" s="161"/>
      <c r="K473" s="161"/>
      <c r="L473" s="161"/>
      <c r="M473" s="162"/>
      <c r="N473" s="162"/>
      <c r="O473" s="143"/>
      <c r="P473" s="143"/>
      <c r="Q473" s="143"/>
    </row>
    <row r="474" spans="1:17" ht="30.75" customHeight="1" x14ac:dyDescent="0.35">
      <c r="A474" s="143"/>
      <c r="B474" s="143"/>
      <c r="C474" s="143"/>
      <c r="D474" s="143"/>
      <c r="E474" s="144"/>
      <c r="F474" s="145"/>
      <c r="G474" s="144"/>
      <c r="H474" s="143"/>
      <c r="I474" s="160"/>
      <c r="J474" s="161"/>
      <c r="K474" s="161"/>
      <c r="L474" s="161"/>
      <c r="M474" s="162"/>
      <c r="N474" s="162"/>
      <c r="O474" s="143"/>
      <c r="P474" s="143"/>
      <c r="Q474" s="143"/>
    </row>
    <row r="475" spans="1:17" ht="30.75" customHeight="1" x14ac:dyDescent="0.35">
      <c r="A475" s="143"/>
      <c r="B475" s="143"/>
      <c r="C475" s="143"/>
      <c r="D475" s="143"/>
      <c r="E475" s="144"/>
      <c r="F475" s="145"/>
      <c r="G475" s="144"/>
      <c r="H475" s="143"/>
      <c r="I475" s="160"/>
      <c r="J475" s="161"/>
      <c r="K475" s="161"/>
      <c r="L475" s="161"/>
      <c r="M475" s="162"/>
      <c r="N475" s="162"/>
      <c r="O475" s="143"/>
      <c r="P475" s="143"/>
      <c r="Q475" s="143"/>
    </row>
    <row r="476" spans="1:17" ht="30.75" customHeight="1" x14ac:dyDescent="0.35">
      <c r="A476" s="143"/>
      <c r="B476" s="143"/>
      <c r="C476" s="143"/>
      <c r="D476" s="143"/>
      <c r="E476" s="144"/>
      <c r="F476" s="145"/>
      <c r="G476" s="144"/>
      <c r="H476" s="143"/>
      <c r="I476" s="160"/>
      <c r="J476" s="161"/>
      <c r="K476" s="161"/>
      <c r="L476" s="161"/>
      <c r="M476" s="162"/>
      <c r="N476" s="162"/>
      <c r="O476" s="143"/>
      <c r="P476" s="143"/>
      <c r="Q476" s="143"/>
    </row>
    <row r="477" spans="1:17" ht="30.75" customHeight="1" x14ac:dyDescent="0.35">
      <c r="A477" s="143"/>
      <c r="B477" s="143"/>
      <c r="C477" s="143"/>
      <c r="D477" s="143"/>
      <c r="E477" s="144"/>
      <c r="F477" s="145"/>
      <c r="G477" s="144"/>
      <c r="H477" s="143"/>
      <c r="I477" s="160"/>
      <c r="J477" s="161"/>
      <c r="K477" s="161"/>
      <c r="L477" s="161"/>
      <c r="M477" s="162"/>
      <c r="N477" s="162"/>
      <c r="O477" s="143"/>
      <c r="P477" s="143"/>
      <c r="Q477" s="143"/>
    </row>
    <row r="478" spans="1:17" ht="30.75" customHeight="1" x14ac:dyDescent="0.35">
      <c r="A478" s="143"/>
      <c r="B478" s="143"/>
      <c r="C478" s="143"/>
      <c r="D478" s="143"/>
      <c r="E478" s="144"/>
      <c r="F478" s="145"/>
      <c r="G478" s="144"/>
      <c r="H478" s="143"/>
      <c r="I478" s="160"/>
      <c r="J478" s="161"/>
      <c r="K478" s="161"/>
      <c r="L478" s="161"/>
      <c r="M478" s="162"/>
      <c r="N478" s="162"/>
      <c r="O478" s="143"/>
      <c r="P478" s="143"/>
      <c r="Q478" s="143"/>
    </row>
    <row r="479" spans="1:17" ht="30.75" customHeight="1" x14ac:dyDescent="0.35">
      <c r="A479" s="143"/>
      <c r="B479" s="143"/>
      <c r="C479" s="143"/>
      <c r="D479" s="143"/>
      <c r="E479" s="144"/>
      <c r="F479" s="145"/>
      <c r="G479" s="144"/>
      <c r="H479" s="143"/>
      <c r="I479" s="160"/>
      <c r="J479" s="161"/>
      <c r="K479" s="161"/>
      <c r="L479" s="161"/>
      <c r="M479" s="162"/>
      <c r="N479" s="162"/>
      <c r="O479" s="143"/>
      <c r="P479" s="143"/>
      <c r="Q479" s="143"/>
    </row>
    <row r="480" spans="1:17" ht="30.75" customHeight="1" x14ac:dyDescent="0.35">
      <c r="A480" s="143"/>
      <c r="B480" s="143"/>
      <c r="C480" s="143"/>
      <c r="D480" s="143"/>
      <c r="E480" s="144"/>
      <c r="F480" s="145"/>
      <c r="G480" s="144"/>
      <c r="H480" s="143"/>
      <c r="I480" s="160"/>
      <c r="J480" s="161"/>
      <c r="K480" s="161"/>
      <c r="L480" s="161"/>
      <c r="M480" s="162"/>
      <c r="N480" s="162"/>
      <c r="O480" s="143"/>
      <c r="P480" s="143"/>
      <c r="Q480" s="143"/>
    </row>
    <row r="481" spans="1:17" ht="30.75" customHeight="1" x14ac:dyDescent="0.35">
      <c r="A481" s="143"/>
      <c r="B481" s="143"/>
      <c r="C481" s="143"/>
      <c r="D481" s="143"/>
      <c r="E481" s="144"/>
      <c r="F481" s="145"/>
      <c r="G481" s="144"/>
      <c r="H481" s="143"/>
      <c r="I481" s="160"/>
      <c r="J481" s="161"/>
      <c r="K481" s="161"/>
      <c r="L481" s="161"/>
      <c r="M481" s="162"/>
      <c r="N481" s="162"/>
      <c r="O481" s="143"/>
      <c r="P481" s="143"/>
      <c r="Q481" s="143"/>
    </row>
    <row r="482" spans="1:17" ht="30.75" customHeight="1" x14ac:dyDescent="0.35">
      <c r="A482" s="143"/>
      <c r="B482" s="143"/>
      <c r="C482" s="143"/>
      <c r="D482" s="143"/>
      <c r="E482" s="144"/>
      <c r="F482" s="145"/>
      <c r="G482" s="144"/>
      <c r="H482" s="143"/>
      <c r="I482" s="160"/>
      <c r="J482" s="161"/>
      <c r="K482" s="161"/>
      <c r="L482" s="161"/>
      <c r="M482" s="162"/>
      <c r="N482" s="162"/>
      <c r="O482" s="143"/>
      <c r="P482" s="143"/>
      <c r="Q482" s="143"/>
    </row>
    <row r="483" spans="1:17" ht="30.75" customHeight="1" x14ac:dyDescent="0.35">
      <c r="A483" s="143"/>
      <c r="B483" s="143"/>
      <c r="C483" s="143"/>
      <c r="D483" s="143"/>
      <c r="E483" s="144"/>
      <c r="F483" s="145"/>
      <c r="G483" s="144"/>
      <c r="H483" s="143"/>
      <c r="I483" s="160"/>
      <c r="J483" s="161"/>
      <c r="K483" s="161"/>
      <c r="L483" s="161"/>
      <c r="M483" s="162"/>
      <c r="N483" s="162"/>
      <c r="O483" s="143"/>
      <c r="P483" s="143"/>
      <c r="Q483" s="143"/>
    </row>
    <row r="484" spans="1:17" ht="30.75" customHeight="1" x14ac:dyDescent="0.35">
      <c r="A484" s="143"/>
      <c r="B484" s="143"/>
      <c r="C484" s="143"/>
      <c r="D484" s="143"/>
      <c r="E484" s="144"/>
      <c r="F484" s="145"/>
      <c r="G484" s="144"/>
      <c r="H484" s="143"/>
      <c r="I484" s="160"/>
      <c r="J484" s="161"/>
      <c r="K484" s="161"/>
      <c r="L484" s="161"/>
      <c r="M484" s="162"/>
      <c r="N484" s="162"/>
      <c r="O484" s="143"/>
      <c r="P484" s="143"/>
      <c r="Q484" s="143"/>
    </row>
    <row r="485" spans="1:17" ht="30.75" customHeight="1" x14ac:dyDescent="0.35">
      <c r="A485" s="143"/>
      <c r="B485" s="143"/>
      <c r="C485" s="143"/>
      <c r="D485" s="143"/>
      <c r="E485" s="144"/>
      <c r="F485" s="145"/>
      <c r="G485" s="144"/>
      <c r="H485" s="143"/>
      <c r="I485" s="160"/>
      <c r="J485" s="161"/>
      <c r="K485" s="161"/>
      <c r="L485" s="161"/>
      <c r="M485" s="162"/>
      <c r="N485" s="162"/>
      <c r="O485" s="143"/>
      <c r="P485" s="143"/>
      <c r="Q485" s="143"/>
    </row>
    <row r="486" spans="1:17" ht="30.75" customHeight="1" x14ac:dyDescent="0.35">
      <c r="A486" s="143"/>
      <c r="B486" s="143"/>
      <c r="C486" s="143"/>
      <c r="D486" s="143"/>
      <c r="E486" s="144"/>
      <c r="F486" s="145"/>
      <c r="G486" s="144"/>
      <c r="H486" s="143"/>
      <c r="I486" s="160"/>
      <c r="J486" s="161"/>
      <c r="K486" s="161"/>
      <c r="L486" s="161"/>
      <c r="M486" s="162"/>
      <c r="N486" s="162"/>
      <c r="O486" s="143"/>
      <c r="P486" s="143"/>
      <c r="Q486" s="143"/>
    </row>
    <row r="487" spans="1:17" ht="30.75" customHeight="1" x14ac:dyDescent="0.35">
      <c r="A487" s="143"/>
      <c r="B487" s="143"/>
      <c r="C487" s="143"/>
      <c r="D487" s="143"/>
      <c r="E487" s="144"/>
      <c r="F487" s="145"/>
      <c r="G487" s="144"/>
      <c r="H487" s="143"/>
      <c r="I487" s="160"/>
      <c r="J487" s="161"/>
      <c r="K487" s="161"/>
      <c r="L487" s="161"/>
      <c r="M487" s="162"/>
      <c r="N487" s="162"/>
      <c r="O487" s="143"/>
      <c r="P487" s="143"/>
      <c r="Q487" s="143"/>
    </row>
    <row r="488" spans="1:17" ht="30.75" customHeight="1" x14ac:dyDescent="0.35">
      <c r="A488" s="143"/>
      <c r="B488" s="143"/>
      <c r="C488" s="143"/>
      <c r="D488" s="143"/>
      <c r="E488" s="144"/>
      <c r="F488" s="145"/>
      <c r="G488" s="144"/>
      <c r="H488" s="143"/>
      <c r="I488" s="160"/>
      <c r="J488" s="161"/>
      <c r="K488" s="161"/>
      <c r="L488" s="161"/>
      <c r="M488" s="162"/>
      <c r="N488" s="162"/>
      <c r="O488" s="143"/>
      <c r="P488" s="143"/>
      <c r="Q488" s="143"/>
    </row>
    <row r="489" spans="1:17" ht="30.75" customHeight="1" x14ac:dyDescent="0.35">
      <c r="A489" s="143"/>
      <c r="B489" s="143"/>
      <c r="C489" s="143"/>
      <c r="D489" s="143"/>
      <c r="E489" s="144"/>
      <c r="F489" s="145"/>
      <c r="G489" s="144"/>
      <c r="H489" s="143"/>
      <c r="I489" s="160"/>
      <c r="J489" s="161"/>
      <c r="K489" s="161"/>
      <c r="L489" s="161"/>
      <c r="M489" s="162"/>
      <c r="N489" s="162"/>
      <c r="O489" s="143"/>
      <c r="P489" s="143"/>
      <c r="Q489" s="143"/>
    </row>
    <row r="490" spans="1:17" ht="30.75" customHeight="1" x14ac:dyDescent="0.35">
      <c r="A490" s="143"/>
      <c r="B490" s="143"/>
      <c r="C490" s="143"/>
      <c r="D490" s="143"/>
      <c r="E490" s="144"/>
      <c r="F490" s="145"/>
      <c r="G490" s="144"/>
      <c r="H490" s="143"/>
      <c r="I490" s="160"/>
      <c r="J490" s="161"/>
      <c r="K490" s="161"/>
      <c r="L490" s="161"/>
      <c r="M490" s="162"/>
      <c r="N490" s="162"/>
      <c r="O490" s="143"/>
      <c r="P490" s="143"/>
      <c r="Q490" s="143"/>
    </row>
    <row r="491" spans="1:17" ht="30.75" customHeight="1" x14ac:dyDescent="0.35">
      <c r="A491" s="143"/>
      <c r="B491" s="143"/>
      <c r="C491" s="143"/>
      <c r="D491" s="143"/>
      <c r="E491" s="144"/>
      <c r="F491" s="145"/>
      <c r="G491" s="144"/>
      <c r="H491" s="143"/>
      <c r="I491" s="160"/>
      <c r="J491" s="161"/>
      <c r="K491" s="161"/>
      <c r="L491" s="161"/>
      <c r="M491" s="162"/>
      <c r="N491" s="162"/>
      <c r="O491" s="143"/>
      <c r="P491" s="143"/>
      <c r="Q491" s="143"/>
    </row>
    <row r="492" spans="1:17" ht="30.75" customHeight="1" x14ac:dyDescent="0.35">
      <c r="A492" s="143"/>
      <c r="B492" s="143"/>
      <c r="C492" s="143"/>
      <c r="D492" s="143"/>
      <c r="E492" s="144"/>
      <c r="F492" s="145"/>
      <c r="G492" s="144"/>
      <c r="H492" s="143"/>
      <c r="I492" s="160"/>
      <c r="J492" s="161"/>
      <c r="K492" s="161"/>
      <c r="L492" s="161"/>
      <c r="M492" s="162"/>
      <c r="N492" s="162"/>
      <c r="O492" s="143"/>
      <c r="P492" s="143"/>
      <c r="Q492" s="143"/>
    </row>
    <row r="493" spans="1:17" ht="30.75" customHeight="1" x14ac:dyDescent="0.35">
      <c r="A493" s="143"/>
      <c r="B493" s="143"/>
      <c r="C493" s="143"/>
      <c r="D493" s="143"/>
      <c r="E493" s="144"/>
      <c r="F493" s="145"/>
      <c r="G493" s="144"/>
      <c r="H493" s="143"/>
      <c r="I493" s="160"/>
      <c r="J493" s="161"/>
      <c r="K493" s="161"/>
      <c r="L493" s="161"/>
      <c r="M493" s="162"/>
      <c r="N493" s="162"/>
      <c r="O493" s="143"/>
      <c r="P493" s="143"/>
      <c r="Q493" s="143"/>
    </row>
    <row r="494" spans="1:17" ht="30.75" customHeight="1" x14ac:dyDescent="0.35">
      <c r="A494" s="143"/>
      <c r="B494" s="143"/>
      <c r="C494" s="143"/>
      <c r="D494" s="143"/>
      <c r="E494" s="144"/>
      <c r="F494" s="145"/>
      <c r="G494" s="144"/>
      <c r="H494" s="143"/>
      <c r="I494" s="160"/>
      <c r="J494" s="161"/>
      <c r="K494" s="161"/>
      <c r="L494" s="161"/>
      <c r="M494" s="162"/>
      <c r="N494" s="162"/>
      <c r="O494" s="143"/>
      <c r="P494" s="143"/>
      <c r="Q494" s="143"/>
    </row>
    <row r="495" spans="1:17" ht="30.75" customHeight="1" x14ac:dyDescent="0.35">
      <c r="A495" s="143"/>
      <c r="B495" s="143"/>
      <c r="C495" s="143"/>
      <c r="D495" s="143"/>
      <c r="E495" s="144"/>
      <c r="F495" s="145"/>
      <c r="G495" s="144"/>
      <c r="H495" s="143"/>
      <c r="I495" s="160"/>
      <c r="J495" s="161"/>
      <c r="K495" s="161"/>
      <c r="L495" s="161"/>
      <c r="M495" s="162"/>
      <c r="N495" s="162"/>
      <c r="O495" s="143"/>
      <c r="P495" s="143"/>
      <c r="Q495" s="143"/>
    </row>
    <row r="496" spans="1:17" ht="30.75" customHeight="1" x14ac:dyDescent="0.35">
      <c r="A496" s="143"/>
      <c r="B496" s="143"/>
      <c r="C496" s="143"/>
      <c r="D496" s="143"/>
      <c r="E496" s="144"/>
      <c r="F496" s="145"/>
      <c r="G496" s="144"/>
      <c r="H496" s="143"/>
      <c r="I496" s="160"/>
      <c r="J496" s="161"/>
      <c r="K496" s="161"/>
      <c r="L496" s="161"/>
      <c r="M496" s="162"/>
      <c r="N496" s="162"/>
      <c r="O496" s="143"/>
      <c r="P496" s="143"/>
      <c r="Q496" s="143"/>
    </row>
    <row r="497" spans="1:17" ht="30.75" customHeight="1" x14ac:dyDescent="0.35">
      <c r="A497" s="143"/>
      <c r="B497" s="143"/>
      <c r="C497" s="143"/>
      <c r="D497" s="143"/>
      <c r="E497" s="144"/>
      <c r="F497" s="145"/>
      <c r="G497" s="144"/>
      <c r="H497" s="143"/>
      <c r="I497" s="160"/>
      <c r="J497" s="161"/>
      <c r="K497" s="161"/>
      <c r="L497" s="161"/>
      <c r="M497" s="162"/>
      <c r="N497" s="162"/>
      <c r="O497" s="143"/>
      <c r="P497" s="143"/>
      <c r="Q497" s="143"/>
    </row>
    <row r="498" spans="1:17" ht="30.75" customHeight="1" x14ac:dyDescent="0.35">
      <c r="A498" s="143"/>
      <c r="B498" s="143"/>
      <c r="C498" s="143"/>
      <c r="D498" s="143"/>
      <c r="E498" s="144"/>
      <c r="F498" s="145"/>
      <c r="G498" s="144"/>
      <c r="H498" s="143"/>
      <c r="I498" s="160"/>
      <c r="J498" s="161"/>
      <c r="K498" s="161"/>
      <c r="L498" s="161"/>
      <c r="M498" s="162"/>
      <c r="N498" s="162"/>
      <c r="O498" s="143"/>
      <c r="P498" s="143"/>
      <c r="Q498" s="143"/>
    </row>
    <row r="499" spans="1:17" ht="30.75" customHeight="1" x14ac:dyDescent="0.35">
      <c r="A499" s="143"/>
      <c r="B499" s="143"/>
      <c r="C499" s="143"/>
      <c r="D499" s="143"/>
      <c r="E499" s="144"/>
      <c r="F499" s="145"/>
      <c r="G499" s="144"/>
      <c r="H499" s="143"/>
      <c r="I499" s="160"/>
      <c r="J499" s="161"/>
      <c r="K499" s="161"/>
      <c r="L499" s="161"/>
      <c r="M499" s="162"/>
      <c r="N499" s="162"/>
      <c r="O499" s="143"/>
      <c r="P499" s="143"/>
      <c r="Q499" s="143"/>
    </row>
    <row r="500" spans="1:17" ht="30.75" customHeight="1" x14ac:dyDescent="0.35">
      <c r="A500" s="143"/>
      <c r="B500" s="143"/>
      <c r="C500" s="143"/>
      <c r="D500" s="143"/>
      <c r="E500" s="144"/>
      <c r="F500" s="145"/>
      <c r="G500" s="144"/>
      <c r="H500" s="143"/>
      <c r="I500" s="160"/>
      <c r="J500" s="161"/>
      <c r="K500" s="161"/>
      <c r="L500" s="161"/>
      <c r="M500" s="162"/>
      <c r="N500" s="162"/>
      <c r="O500" s="143"/>
      <c r="P500" s="143"/>
      <c r="Q500" s="143"/>
    </row>
    <row r="501" spans="1:17" ht="30.75" customHeight="1" x14ac:dyDescent="0.35">
      <c r="A501" s="143"/>
      <c r="B501" s="143"/>
      <c r="C501" s="143"/>
      <c r="D501" s="143"/>
      <c r="E501" s="144"/>
      <c r="F501" s="145"/>
      <c r="G501" s="144"/>
      <c r="H501" s="143"/>
      <c r="I501" s="160"/>
      <c r="J501" s="161"/>
      <c r="K501" s="161"/>
      <c r="L501" s="161"/>
      <c r="M501" s="162"/>
      <c r="N501" s="162"/>
      <c r="O501" s="143"/>
      <c r="P501" s="143"/>
      <c r="Q501" s="143"/>
    </row>
    <row r="502" spans="1:17" ht="30.75" customHeight="1" x14ac:dyDescent="0.35">
      <c r="A502" s="143"/>
      <c r="B502" s="143"/>
      <c r="C502" s="143"/>
      <c r="D502" s="143"/>
      <c r="E502" s="144"/>
      <c r="F502" s="145"/>
      <c r="G502" s="144"/>
      <c r="H502" s="143"/>
      <c r="I502" s="160"/>
      <c r="J502" s="161"/>
      <c r="K502" s="161"/>
      <c r="L502" s="161"/>
      <c r="M502" s="162"/>
      <c r="N502" s="162"/>
      <c r="O502" s="143"/>
      <c r="P502" s="143"/>
      <c r="Q502" s="143"/>
    </row>
    <row r="503" spans="1:17" ht="30.75" customHeight="1" x14ac:dyDescent="0.35">
      <c r="A503" s="143"/>
      <c r="B503" s="143"/>
      <c r="C503" s="143"/>
      <c r="D503" s="143"/>
      <c r="E503" s="144"/>
      <c r="F503" s="145"/>
      <c r="G503" s="144"/>
      <c r="H503" s="143"/>
      <c r="I503" s="160"/>
      <c r="J503" s="161"/>
      <c r="K503" s="161"/>
      <c r="L503" s="161"/>
      <c r="M503" s="162"/>
      <c r="N503" s="162"/>
      <c r="O503" s="143"/>
      <c r="P503" s="143"/>
      <c r="Q503" s="143"/>
    </row>
    <row r="504" spans="1:17" ht="30.75" customHeight="1" x14ac:dyDescent="0.35">
      <c r="A504" s="143"/>
      <c r="B504" s="143"/>
      <c r="C504" s="143"/>
      <c r="D504" s="143"/>
      <c r="E504" s="144"/>
      <c r="F504" s="145"/>
      <c r="G504" s="144"/>
      <c r="H504" s="143"/>
      <c r="I504" s="160"/>
      <c r="J504" s="161"/>
      <c r="K504" s="161"/>
      <c r="L504" s="161"/>
      <c r="M504" s="162"/>
      <c r="N504" s="162"/>
      <c r="O504" s="143"/>
      <c r="P504" s="143"/>
      <c r="Q504" s="143"/>
    </row>
    <row r="505" spans="1:17" ht="30.75" customHeight="1" x14ac:dyDescent="0.35">
      <c r="A505" s="143"/>
      <c r="B505" s="143"/>
      <c r="C505" s="143"/>
      <c r="D505" s="143"/>
      <c r="E505" s="144"/>
      <c r="F505" s="145"/>
      <c r="G505" s="144"/>
      <c r="H505" s="143"/>
      <c r="I505" s="160"/>
      <c r="J505" s="161"/>
      <c r="K505" s="161"/>
      <c r="L505" s="161"/>
      <c r="M505" s="162"/>
      <c r="N505" s="162"/>
      <c r="O505" s="143"/>
      <c r="P505" s="143"/>
      <c r="Q505" s="143"/>
    </row>
    <row r="506" spans="1:17" ht="30.75" customHeight="1" x14ac:dyDescent="0.35">
      <c r="A506" s="143"/>
      <c r="B506" s="143"/>
      <c r="C506" s="143"/>
      <c r="D506" s="143"/>
      <c r="E506" s="144"/>
      <c r="F506" s="145"/>
      <c r="G506" s="144"/>
      <c r="H506" s="143"/>
      <c r="I506" s="160"/>
      <c r="J506" s="161"/>
      <c r="K506" s="161"/>
      <c r="L506" s="161"/>
      <c r="M506" s="162"/>
      <c r="N506" s="162"/>
      <c r="O506" s="143"/>
      <c r="P506" s="143"/>
      <c r="Q506" s="143"/>
    </row>
    <row r="507" spans="1:17" ht="30.75" customHeight="1" x14ac:dyDescent="0.35">
      <c r="A507" s="143"/>
      <c r="B507" s="143"/>
      <c r="C507" s="143"/>
      <c r="D507" s="143"/>
      <c r="E507" s="144"/>
      <c r="F507" s="145"/>
      <c r="G507" s="144"/>
      <c r="H507" s="143"/>
      <c r="I507" s="160"/>
      <c r="J507" s="161"/>
      <c r="K507" s="161"/>
      <c r="L507" s="161"/>
      <c r="M507" s="162"/>
      <c r="N507" s="162"/>
      <c r="O507" s="143"/>
      <c r="P507" s="143"/>
      <c r="Q507" s="143"/>
    </row>
    <row r="508" spans="1:17" ht="30.75" customHeight="1" x14ac:dyDescent="0.35">
      <c r="A508" s="143"/>
      <c r="B508" s="143"/>
      <c r="C508" s="143"/>
      <c r="D508" s="143"/>
      <c r="E508" s="144"/>
      <c r="F508" s="145"/>
      <c r="G508" s="144"/>
      <c r="H508" s="143"/>
      <c r="I508" s="160"/>
      <c r="J508" s="161"/>
      <c r="K508" s="161"/>
      <c r="L508" s="161"/>
      <c r="M508" s="162"/>
      <c r="N508" s="162"/>
      <c r="O508" s="143"/>
      <c r="P508" s="143"/>
      <c r="Q508" s="143"/>
    </row>
    <row r="509" spans="1:17" ht="30.75" customHeight="1" x14ac:dyDescent="0.35">
      <c r="A509" s="143"/>
      <c r="B509" s="143"/>
      <c r="C509" s="143"/>
      <c r="D509" s="143"/>
      <c r="E509" s="144"/>
      <c r="F509" s="145"/>
      <c r="G509" s="144"/>
      <c r="H509" s="143"/>
      <c r="I509" s="160"/>
      <c r="J509" s="161"/>
      <c r="K509" s="161"/>
      <c r="L509" s="161"/>
      <c r="M509" s="162"/>
      <c r="N509" s="162"/>
      <c r="O509" s="143"/>
      <c r="P509" s="143"/>
      <c r="Q509" s="143"/>
    </row>
    <row r="510" spans="1:17" ht="30.75" customHeight="1" x14ac:dyDescent="0.35">
      <c r="A510" s="143"/>
      <c r="B510" s="143"/>
      <c r="C510" s="143"/>
      <c r="D510" s="143"/>
      <c r="E510" s="144"/>
      <c r="F510" s="145"/>
      <c r="G510" s="144"/>
      <c r="H510" s="143"/>
      <c r="I510" s="160"/>
      <c r="J510" s="161"/>
      <c r="K510" s="161"/>
      <c r="L510" s="161"/>
      <c r="M510" s="162"/>
      <c r="N510" s="162"/>
      <c r="O510" s="143"/>
      <c r="P510" s="143"/>
      <c r="Q510" s="143"/>
    </row>
  </sheetData>
  <mergeCells count="2">
    <mergeCell ref="A1:Q1"/>
    <mergeCell ref="A2:Q2"/>
  </mergeCells>
  <dataValidations count="2">
    <dataValidation type="list" allowBlank="1" showInputMessage="1" showErrorMessage="1" sqref="B3" xr:uid="{A39E2F91-40AD-424C-8419-E53B70D99378}">
      <formula1>_xlfn.ANCHORARRAY($R$2)</formula1>
    </dataValidation>
    <dataValidation type="list" allowBlank="1" showInputMessage="1" showErrorMessage="1" sqref="B4" xr:uid="{EF6FB350-673E-41F3-B08B-829F9E87901D}">
      <formula1>_xlfn.ANCHORARRAY($S$2)</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1BD03-744D-4EE2-9243-506D50E0234E}">
  <sheetPr codeName="Sheet3">
    <tabColor rgb="FF00B050"/>
  </sheetPr>
  <dimension ref="A1:ZZ473"/>
  <sheetViews>
    <sheetView showGridLines="0" zoomScale="60" zoomScaleNormal="60" workbookViewId="0">
      <pane xSplit="12" ySplit="1" topLeftCell="AI248" activePane="bottomRight" state="frozen"/>
      <selection pane="topRight" activeCell="M1" sqref="M1"/>
      <selection pane="bottomLeft" activeCell="A7" sqref="A7"/>
      <selection pane="bottomRight" activeCell="AF1" sqref="AF1"/>
    </sheetView>
  </sheetViews>
  <sheetFormatPr defaultRowHeight="14.5" x14ac:dyDescent="0.35"/>
  <cols>
    <col min="1" max="1" width="11" customWidth="1"/>
    <col min="2" max="2" width="11.36328125" style="8" customWidth="1"/>
    <col min="3" max="3" width="20.81640625" bestFit="1" customWidth="1"/>
    <col min="4" max="4" width="34.7265625" customWidth="1"/>
    <col min="5" max="5" width="14.26953125" customWidth="1"/>
    <col min="6" max="6" width="18.54296875" bestFit="1" customWidth="1"/>
    <col min="8" max="8" width="12.6328125" customWidth="1"/>
    <col min="9" max="9" width="13" bestFit="1" customWidth="1"/>
    <col min="11" max="11" width="13.7265625" customWidth="1"/>
    <col min="12" max="12" width="11.90625" style="8" customWidth="1"/>
    <col min="27" max="27" width="36.453125" customWidth="1"/>
    <col min="31" max="31" width="13.54296875" customWidth="1"/>
    <col min="32" max="32" width="12.08984375" customWidth="1"/>
    <col min="33" max="33" width="8.7265625" style="21"/>
    <col min="34" max="34" width="13.26953125" style="21" customWidth="1"/>
    <col min="35" max="35" width="8.08984375" customWidth="1"/>
    <col min="36" max="36" width="20.54296875" customWidth="1"/>
    <col min="37" max="37" width="56.7265625" style="51" customWidth="1"/>
  </cols>
  <sheetData>
    <row r="1" spans="1:702" ht="66" x14ac:dyDescent="0.35">
      <c r="A1" s="1" t="s">
        <v>0</v>
      </c>
      <c r="B1" s="1" t="s">
        <v>1</v>
      </c>
      <c r="C1" s="1" t="s">
        <v>2</v>
      </c>
      <c r="D1" s="1" t="s">
        <v>3</v>
      </c>
      <c r="E1" s="1" t="s">
        <v>4</v>
      </c>
      <c r="F1" s="1" t="s">
        <v>5</v>
      </c>
      <c r="G1" s="1" t="s">
        <v>6</v>
      </c>
      <c r="H1" s="2" t="s">
        <v>7</v>
      </c>
      <c r="I1" s="1" t="s">
        <v>8</v>
      </c>
      <c r="J1" s="1" t="s">
        <v>9</v>
      </c>
      <c r="K1" s="2"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46" t="s">
        <v>32</v>
      </c>
      <c r="AH1" s="22" t="s">
        <v>782</v>
      </c>
      <c r="AI1" s="10" t="s">
        <v>780</v>
      </c>
      <c r="AJ1" s="10" t="s">
        <v>781</v>
      </c>
      <c r="AK1" s="11" t="s">
        <v>935</v>
      </c>
      <c r="ZZ1">
        <f>SUMIFS(H2:H471,B2:B471,"&lt;&gt;")</f>
        <v>5129379.2099999962</v>
      </c>
    </row>
    <row r="2" spans="1:702" x14ac:dyDescent="0.35">
      <c r="A2" s="12" t="s">
        <v>33</v>
      </c>
      <c r="B2" s="12">
        <v>100108890</v>
      </c>
      <c r="C2" s="13" t="s">
        <v>34</v>
      </c>
      <c r="D2" s="13" t="s">
        <v>35</v>
      </c>
      <c r="E2" s="12">
        <v>9700018697</v>
      </c>
      <c r="F2" s="13" t="s">
        <v>36</v>
      </c>
      <c r="G2" s="12" t="s">
        <v>37</v>
      </c>
      <c r="H2" s="14">
        <v>10109.959999999999</v>
      </c>
      <c r="I2" s="15">
        <v>46115</v>
      </c>
      <c r="J2" s="12" t="str">
        <f t="shared" ref="J2:J24" ca="1" si="0">IF($E2="","",IF($I2="","",IF($I2&gt;=TODAY(),"Current",IF(TODAY()-$I2&lt;=30,"0-30",IF(TODAY()-$I2&lt;=60,"31-60",IF(TODAY()-$I2&lt;=90,"61-90",IF(TODAY()-$I2&lt;=120,"91-120","120 +")))))))</f>
        <v>0-30</v>
      </c>
      <c r="K2" s="14">
        <v>10109.959999999999</v>
      </c>
      <c r="L2" s="16">
        <v>46085</v>
      </c>
      <c r="M2" s="13" t="s">
        <v>38</v>
      </c>
      <c r="N2" s="13" t="s">
        <v>39</v>
      </c>
      <c r="O2" s="13" t="s">
        <v>40</v>
      </c>
      <c r="P2" s="13"/>
      <c r="Q2" s="13" t="s">
        <v>41</v>
      </c>
      <c r="R2" s="13" t="s">
        <v>42</v>
      </c>
      <c r="S2" s="17">
        <v>37128.83</v>
      </c>
      <c r="T2" s="17">
        <v>0</v>
      </c>
      <c r="U2" s="17">
        <v>0</v>
      </c>
      <c r="V2" s="17">
        <v>0</v>
      </c>
      <c r="W2" s="17">
        <v>0</v>
      </c>
      <c r="X2" s="17">
        <v>0</v>
      </c>
      <c r="Y2" s="17">
        <v>0</v>
      </c>
      <c r="Z2" s="17">
        <v>0</v>
      </c>
      <c r="AA2" s="13" t="s">
        <v>43</v>
      </c>
      <c r="AB2" s="13" t="s">
        <v>44</v>
      </c>
      <c r="AC2" s="13" t="s">
        <v>45</v>
      </c>
      <c r="AD2" s="13" t="s">
        <v>46</v>
      </c>
      <c r="AE2" s="17">
        <v>37128.83</v>
      </c>
      <c r="AF2" s="17">
        <v>8564.1299999999992</v>
      </c>
      <c r="AG2" s="47" t="s">
        <v>876</v>
      </c>
      <c r="AH2" s="20" t="e">
        <v>#N/A</v>
      </c>
      <c r="AI2" s="19" t="b">
        <v>1</v>
      </c>
      <c r="AJ2" s="18" t="s">
        <v>874</v>
      </c>
      <c r="AK2" s="139" t="s">
        <v>815</v>
      </c>
    </row>
    <row r="3" spans="1:702" x14ac:dyDescent="0.35">
      <c r="A3" s="12" t="s">
        <v>33</v>
      </c>
      <c r="B3" s="12">
        <v>100108890</v>
      </c>
      <c r="C3" s="13" t="s">
        <v>34</v>
      </c>
      <c r="D3" s="13" t="s">
        <v>35</v>
      </c>
      <c r="E3" s="12">
        <v>9700025782</v>
      </c>
      <c r="F3" s="13" t="s">
        <v>47</v>
      </c>
      <c r="G3" s="12" t="s">
        <v>37</v>
      </c>
      <c r="H3" s="14">
        <v>7670.31</v>
      </c>
      <c r="I3" s="15">
        <v>46141</v>
      </c>
      <c r="J3" s="12" t="str">
        <f t="shared" ca="1" si="0"/>
        <v>Current</v>
      </c>
      <c r="K3" s="14">
        <v>7670.31</v>
      </c>
      <c r="L3" s="16">
        <v>46111</v>
      </c>
      <c r="M3" s="13" t="s">
        <v>38</v>
      </c>
      <c r="N3" s="13" t="s">
        <v>39</v>
      </c>
      <c r="O3" s="13" t="s">
        <v>40</v>
      </c>
      <c r="P3" s="13"/>
      <c r="Q3" s="13" t="s">
        <v>41</v>
      </c>
      <c r="R3" s="13" t="s">
        <v>42</v>
      </c>
      <c r="S3" s="17">
        <v>28169.21</v>
      </c>
      <c r="T3" s="17">
        <v>0</v>
      </c>
      <c r="U3" s="17">
        <v>0</v>
      </c>
      <c r="V3" s="17">
        <v>0</v>
      </c>
      <c r="W3" s="17">
        <v>0</v>
      </c>
      <c r="X3" s="17">
        <v>0</v>
      </c>
      <c r="Y3" s="17">
        <v>0</v>
      </c>
      <c r="Z3" s="17">
        <v>0</v>
      </c>
      <c r="AA3" s="13" t="s">
        <v>43</v>
      </c>
      <c r="AB3" s="13" t="s">
        <v>44</v>
      </c>
      <c r="AC3" s="13" t="s">
        <v>45</v>
      </c>
      <c r="AD3" s="13" t="s">
        <v>46</v>
      </c>
      <c r="AE3" s="17">
        <v>28169.21</v>
      </c>
      <c r="AF3" s="17">
        <v>6628.34</v>
      </c>
      <c r="AG3" s="47" t="s">
        <v>876</v>
      </c>
      <c r="AH3" s="20" t="e">
        <v>#N/A</v>
      </c>
      <c r="AI3" s="19" t="b">
        <v>0</v>
      </c>
      <c r="AJ3" s="18" t="s">
        <v>872</v>
      </c>
      <c r="AK3" s="139" t="s">
        <v>1274</v>
      </c>
    </row>
    <row r="4" spans="1:702" ht="16.5" x14ac:dyDescent="0.4">
      <c r="A4" s="3"/>
      <c r="B4" s="3"/>
      <c r="C4" s="4"/>
      <c r="D4" s="4" t="s">
        <v>35</v>
      </c>
      <c r="E4" s="3"/>
      <c r="F4" s="4"/>
      <c r="G4" s="4"/>
      <c r="H4" s="43">
        <f>SUM(H2:H3)</f>
        <v>17780.27</v>
      </c>
      <c r="I4" s="5"/>
      <c r="J4" s="45" t="str">
        <f t="shared" ca="1" si="0"/>
        <v/>
      </c>
      <c r="K4" s="43">
        <f>SUM(K2:K3)</f>
        <v>17780.27</v>
      </c>
      <c r="L4" s="9"/>
      <c r="M4" s="4"/>
      <c r="N4" s="4"/>
      <c r="O4" s="4"/>
      <c r="P4" s="4"/>
      <c r="Q4" s="4"/>
      <c r="R4" s="4" t="s">
        <v>42</v>
      </c>
      <c r="S4" s="6">
        <v>65298.04</v>
      </c>
      <c r="T4" s="6">
        <v>0</v>
      </c>
      <c r="U4" s="6">
        <v>0</v>
      </c>
      <c r="V4" s="6">
        <v>0</v>
      </c>
      <c r="W4" s="6">
        <v>0</v>
      </c>
      <c r="X4" s="7"/>
      <c r="Y4" s="7"/>
      <c r="Z4" s="6">
        <v>0</v>
      </c>
      <c r="AA4" s="4"/>
      <c r="AB4" s="4"/>
      <c r="AC4" s="4"/>
      <c r="AD4" s="4"/>
      <c r="AE4" s="6">
        <v>65298.04</v>
      </c>
      <c r="AF4" s="6">
        <v>15192.47</v>
      </c>
      <c r="AG4" s="48"/>
      <c r="AH4" s="44" cm="1">
        <f t="array" ref="AH4">IFERROR(SUMPRODUCT(AF2:AF3*--(((AI2:AI3=TRUE)+(AI2:AI3=1))&gt;0)),0)</f>
        <v>8564.1299999999992</v>
      </c>
      <c r="AI4" s="54">
        <f>SUMIF(AI2:AI3,TRUE,H2:H3)/H4</f>
        <v>0.56860553861105589</v>
      </c>
      <c r="AJ4" s="6"/>
      <c r="AK4" s="50"/>
    </row>
    <row r="5" spans="1:702" x14ac:dyDescent="0.35">
      <c r="A5" s="12" t="s">
        <v>33</v>
      </c>
      <c r="B5" s="12">
        <v>100103956</v>
      </c>
      <c r="C5" s="13" t="s">
        <v>48</v>
      </c>
      <c r="D5" s="13" t="s">
        <v>49</v>
      </c>
      <c r="E5" s="12">
        <v>9700006518</v>
      </c>
      <c r="F5" s="13" t="s">
        <v>1017</v>
      </c>
      <c r="G5" s="12" t="s">
        <v>37</v>
      </c>
      <c r="H5" s="14">
        <v>750000</v>
      </c>
      <c r="I5" s="15">
        <v>46074</v>
      </c>
      <c r="J5" s="12" t="str">
        <f t="shared" ca="1" si="0"/>
        <v>61-90</v>
      </c>
      <c r="K5" s="14">
        <v>750000</v>
      </c>
      <c r="L5" s="16">
        <v>46044</v>
      </c>
      <c r="M5" s="13" t="s">
        <v>38</v>
      </c>
      <c r="N5" s="13" t="s">
        <v>39</v>
      </c>
      <c r="O5" s="13" t="s">
        <v>40</v>
      </c>
      <c r="P5" s="13"/>
      <c r="Q5" s="13" t="s">
        <v>41</v>
      </c>
      <c r="R5" s="13" t="s">
        <v>42</v>
      </c>
      <c r="S5" s="17">
        <v>0</v>
      </c>
      <c r="T5" s="17">
        <v>0</v>
      </c>
      <c r="U5" s="17">
        <v>2754375</v>
      </c>
      <c r="V5" s="17">
        <v>0</v>
      </c>
      <c r="W5" s="17">
        <v>0</v>
      </c>
      <c r="X5" s="17">
        <v>0</v>
      </c>
      <c r="Y5" s="17">
        <v>2754375</v>
      </c>
      <c r="Z5" s="17">
        <v>0</v>
      </c>
      <c r="AA5" s="13" t="s">
        <v>50</v>
      </c>
      <c r="AB5" s="13" t="s">
        <v>44</v>
      </c>
      <c r="AC5" s="13" t="s">
        <v>45</v>
      </c>
      <c r="AD5" s="13" t="s">
        <v>46</v>
      </c>
      <c r="AE5" s="17">
        <v>2754375</v>
      </c>
      <c r="AF5" s="17">
        <v>638895.99</v>
      </c>
      <c r="AG5" s="47" t="e">
        <v>#N/A</v>
      </c>
      <c r="AH5" s="20" t="s">
        <v>783</v>
      </c>
      <c r="AI5" s="19" t="b">
        <v>0</v>
      </c>
      <c r="AJ5" s="18" t="s">
        <v>866</v>
      </c>
      <c r="AK5" s="49" t="s">
        <v>1018</v>
      </c>
    </row>
    <row r="6" spans="1:702" x14ac:dyDescent="0.35">
      <c r="A6" s="12" t="s">
        <v>33</v>
      </c>
      <c r="B6" s="12">
        <v>100103956</v>
      </c>
      <c r="C6" s="13" t="s">
        <v>48</v>
      </c>
      <c r="D6" s="13" t="s">
        <v>49</v>
      </c>
      <c r="E6" s="12">
        <v>9700014226</v>
      </c>
      <c r="F6" s="13" t="s">
        <v>51</v>
      </c>
      <c r="G6" s="12" t="s">
        <v>37</v>
      </c>
      <c r="H6" s="14">
        <v>20660.71</v>
      </c>
      <c r="I6" s="15">
        <v>46096</v>
      </c>
      <c r="J6" s="12" t="str">
        <f t="shared" ca="1" si="0"/>
        <v>31-60</v>
      </c>
      <c r="K6" s="14">
        <v>20660.71</v>
      </c>
      <c r="L6" s="16">
        <v>46066</v>
      </c>
      <c r="M6" s="13" t="s">
        <v>38</v>
      </c>
      <c r="N6" s="13" t="s">
        <v>39</v>
      </c>
      <c r="O6" s="13" t="s">
        <v>40</v>
      </c>
      <c r="P6" s="13"/>
      <c r="Q6" s="13" t="s">
        <v>41</v>
      </c>
      <c r="R6" s="13" t="s">
        <v>42</v>
      </c>
      <c r="S6" s="17">
        <v>0</v>
      </c>
      <c r="T6" s="17">
        <v>75876.460000000006</v>
      </c>
      <c r="U6" s="17">
        <v>0</v>
      </c>
      <c r="V6" s="17">
        <v>0</v>
      </c>
      <c r="W6" s="17">
        <v>0</v>
      </c>
      <c r="X6" s="17">
        <v>0</v>
      </c>
      <c r="Y6" s="17">
        <v>75876.460000000006</v>
      </c>
      <c r="Z6" s="17">
        <v>0</v>
      </c>
      <c r="AA6" s="13" t="s">
        <v>52</v>
      </c>
      <c r="AB6" s="13" t="s">
        <v>44</v>
      </c>
      <c r="AC6" s="13" t="s">
        <v>45</v>
      </c>
      <c r="AD6" s="13" t="s">
        <v>46</v>
      </c>
      <c r="AE6" s="17">
        <v>75876.460000000006</v>
      </c>
      <c r="AF6" s="17">
        <v>17399.96</v>
      </c>
      <c r="AG6" s="47" t="e">
        <v>#N/A</v>
      </c>
      <c r="AH6" s="20" t="s">
        <v>784</v>
      </c>
      <c r="AI6" s="19" t="b">
        <v>0</v>
      </c>
      <c r="AJ6" s="18" t="s">
        <v>865</v>
      </c>
      <c r="AK6" s="49" t="s">
        <v>913</v>
      </c>
    </row>
    <row r="7" spans="1:702" x14ac:dyDescent="0.35">
      <c r="A7" s="12" t="s">
        <v>33</v>
      </c>
      <c r="B7" s="12">
        <v>100103956</v>
      </c>
      <c r="C7" s="13" t="s">
        <v>48</v>
      </c>
      <c r="D7" s="13" t="s">
        <v>49</v>
      </c>
      <c r="E7" s="12">
        <v>9700024620</v>
      </c>
      <c r="F7" s="13" t="s">
        <v>53</v>
      </c>
      <c r="G7" s="12" t="s">
        <v>37</v>
      </c>
      <c r="H7" s="14">
        <v>27221.25</v>
      </c>
      <c r="I7" s="15">
        <v>46134</v>
      </c>
      <c r="J7" s="12" t="str">
        <f t="shared" ca="1" si="0"/>
        <v>0-30</v>
      </c>
      <c r="K7" s="14">
        <v>27221.25</v>
      </c>
      <c r="L7" s="16">
        <v>46104</v>
      </c>
      <c r="M7" s="13" t="s">
        <v>38</v>
      </c>
      <c r="N7" s="13" t="s">
        <v>39</v>
      </c>
      <c r="O7" s="13" t="s">
        <v>40</v>
      </c>
      <c r="P7" s="13"/>
      <c r="Q7" s="13" t="s">
        <v>41</v>
      </c>
      <c r="R7" s="13" t="s">
        <v>42</v>
      </c>
      <c r="S7" s="17">
        <v>99970.04</v>
      </c>
      <c r="T7" s="17">
        <v>0</v>
      </c>
      <c r="U7" s="17">
        <v>0</v>
      </c>
      <c r="V7" s="17">
        <v>0</v>
      </c>
      <c r="W7" s="17">
        <v>0</v>
      </c>
      <c r="X7" s="17">
        <v>0</v>
      </c>
      <c r="Y7" s="17">
        <v>0</v>
      </c>
      <c r="Z7" s="17">
        <v>0</v>
      </c>
      <c r="AA7" s="13" t="s">
        <v>52</v>
      </c>
      <c r="AB7" s="13" t="s">
        <v>44</v>
      </c>
      <c r="AC7" s="13" t="s">
        <v>45</v>
      </c>
      <c r="AD7" s="13" t="s">
        <v>46</v>
      </c>
      <c r="AE7" s="17">
        <v>99970.04</v>
      </c>
      <c r="AF7" s="17">
        <v>23557.98</v>
      </c>
      <c r="AG7" s="47" t="s">
        <v>877</v>
      </c>
      <c r="AH7" s="20" t="e">
        <v>#N/A</v>
      </c>
      <c r="AI7" s="19" t="b">
        <v>1</v>
      </c>
      <c r="AJ7" s="18" t="s">
        <v>911</v>
      </c>
      <c r="AK7" s="49" t="s">
        <v>945</v>
      </c>
    </row>
    <row r="8" spans="1:702" x14ac:dyDescent="0.35">
      <c r="A8" s="12" t="s">
        <v>33</v>
      </c>
      <c r="B8" s="12">
        <v>100103956</v>
      </c>
      <c r="C8" s="13" t="s">
        <v>48</v>
      </c>
      <c r="D8" s="13" t="s">
        <v>49</v>
      </c>
      <c r="E8" s="12">
        <v>9700024962</v>
      </c>
      <c r="F8" s="13" t="s">
        <v>54</v>
      </c>
      <c r="G8" s="12" t="s">
        <v>37</v>
      </c>
      <c r="H8" s="14">
        <v>27221.25</v>
      </c>
      <c r="I8" s="15">
        <v>46135</v>
      </c>
      <c r="J8" s="12" t="str">
        <f t="shared" ca="1" si="0"/>
        <v>0-30</v>
      </c>
      <c r="K8" s="14">
        <v>27221.25</v>
      </c>
      <c r="L8" s="16">
        <v>46105</v>
      </c>
      <c r="M8" s="13" t="s">
        <v>38</v>
      </c>
      <c r="N8" s="13" t="s">
        <v>39</v>
      </c>
      <c r="O8" s="13" t="s">
        <v>40</v>
      </c>
      <c r="P8" s="13"/>
      <c r="Q8" s="13" t="s">
        <v>41</v>
      </c>
      <c r="R8" s="13" t="s">
        <v>42</v>
      </c>
      <c r="S8" s="17">
        <v>99970.04</v>
      </c>
      <c r="T8" s="17">
        <v>0</v>
      </c>
      <c r="U8" s="17">
        <v>0</v>
      </c>
      <c r="V8" s="17">
        <v>0</v>
      </c>
      <c r="W8" s="17">
        <v>0</v>
      </c>
      <c r="X8" s="17">
        <v>0</v>
      </c>
      <c r="Y8" s="17">
        <v>0</v>
      </c>
      <c r="Z8" s="17">
        <v>0</v>
      </c>
      <c r="AA8" s="13" t="s">
        <v>50</v>
      </c>
      <c r="AB8" s="13" t="s">
        <v>44</v>
      </c>
      <c r="AC8" s="13" t="s">
        <v>45</v>
      </c>
      <c r="AD8" s="13" t="s">
        <v>46</v>
      </c>
      <c r="AE8" s="17">
        <v>99970.04</v>
      </c>
      <c r="AF8" s="17">
        <v>23474.69</v>
      </c>
      <c r="AG8" s="47" t="s">
        <v>878</v>
      </c>
      <c r="AH8" s="20" t="e">
        <v>#N/A</v>
      </c>
      <c r="AI8" s="19" t="b">
        <v>1</v>
      </c>
      <c r="AJ8" s="18" t="s">
        <v>911</v>
      </c>
      <c r="AK8" s="49" t="s">
        <v>945</v>
      </c>
    </row>
    <row r="9" spans="1:702" x14ac:dyDescent="0.35">
      <c r="A9" s="12" t="s">
        <v>33</v>
      </c>
      <c r="B9" s="12">
        <v>100103956</v>
      </c>
      <c r="C9" s="13" t="s">
        <v>48</v>
      </c>
      <c r="D9" s="13" t="s">
        <v>49</v>
      </c>
      <c r="E9" s="12">
        <v>9700072278</v>
      </c>
      <c r="F9" s="13" t="s">
        <v>55</v>
      </c>
      <c r="G9" s="12" t="s">
        <v>37</v>
      </c>
      <c r="H9" s="14">
        <v>51562.91</v>
      </c>
      <c r="I9" s="15">
        <v>45977</v>
      </c>
      <c r="J9" s="12" t="str">
        <f t="shared" ca="1" si="0"/>
        <v>120 +</v>
      </c>
      <c r="K9" s="14">
        <v>51562.91</v>
      </c>
      <c r="L9" s="16">
        <v>45947</v>
      </c>
      <c r="M9" s="13" t="s">
        <v>38</v>
      </c>
      <c r="N9" s="13" t="s">
        <v>39</v>
      </c>
      <c r="O9" s="13" t="s">
        <v>40</v>
      </c>
      <c r="P9" s="13"/>
      <c r="Q9" s="13" t="s">
        <v>41</v>
      </c>
      <c r="R9" s="13" t="s">
        <v>42</v>
      </c>
      <c r="S9" s="17">
        <v>0</v>
      </c>
      <c r="T9" s="17">
        <v>0</v>
      </c>
      <c r="U9" s="17">
        <v>0</v>
      </c>
      <c r="V9" s="17">
        <v>0</v>
      </c>
      <c r="W9" s="17">
        <v>0</v>
      </c>
      <c r="X9" s="17">
        <v>189364.79</v>
      </c>
      <c r="Y9" s="17">
        <v>189364.79</v>
      </c>
      <c r="Z9" s="17">
        <v>0</v>
      </c>
      <c r="AA9" s="13" t="s">
        <v>56</v>
      </c>
      <c r="AB9" s="13" t="s">
        <v>44</v>
      </c>
      <c r="AC9" s="13" t="s">
        <v>45</v>
      </c>
      <c r="AD9" s="13" t="s">
        <v>46</v>
      </c>
      <c r="AE9" s="17">
        <v>189364.79</v>
      </c>
      <c r="AF9" s="17">
        <v>44366.64</v>
      </c>
      <c r="AG9" s="47" t="e">
        <v>#N/A</v>
      </c>
      <c r="AH9" s="20" t="s">
        <v>785</v>
      </c>
      <c r="AI9" s="19" t="b">
        <v>0</v>
      </c>
      <c r="AJ9" s="18" t="s">
        <v>866</v>
      </c>
      <c r="AK9" s="49" t="s">
        <v>785</v>
      </c>
    </row>
    <row r="10" spans="1:702" x14ac:dyDescent="0.35">
      <c r="A10" s="12" t="s">
        <v>33</v>
      </c>
      <c r="B10" s="12">
        <v>100103956</v>
      </c>
      <c r="C10" s="13" t="s">
        <v>48</v>
      </c>
      <c r="D10" s="13" t="s">
        <v>49</v>
      </c>
      <c r="E10" s="12">
        <v>9700072279</v>
      </c>
      <c r="F10" s="13" t="s">
        <v>57</v>
      </c>
      <c r="G10" s="12" t="s">
        <v>37</v>
      </c>
      <c r="H10" s="14">
        <v>16331.88</v>
      </c>
      <c r="I10" s="15">
        <v>45977</v>
      </c>
      <c r="J10" s="12" t="str">
        <f t="shared" ca="1" si="0"/>
        <v>120 +</v>
      </c>
      <c r="K10" s="14">
        <v>16331.88</v>
      </c>
      <c r="L10" s="16">
        <v>45947</v>
      </c>
      <c r="M10" s="13" t="s">
        <v>38</v>
      </c>
      <c r="N10" s="13" t="s">
        <v>39</v>
      </c>
      <c r="O10" s="13" t="s">
        <v>40</v>
      </c>
      <c r="P10" s="13"/>
      <c r="Q10" s="13" t="s">
        <v>41</v>
      </c>
      <c r="R10" s="13" t="s">
        <v>42</v>
      </c>
      <c r="S10" s="17">
        <v>0</v>
      </c>
      <c r="T10" s="17">
        <v>0</v>
      </c>
      <c r="U10" s="17">
        <v>0</v>
      </c>
      <c r="V10" s="17">
        <v>0</v>
      </c>
      <c r="W10" s="17">
        <v>0</v>
      </c>
      <c r="X10" s="17">
        <v>59978.83</v>
      </c>
      <c r="Y10" s="17">
        <v>59978.83</v>
      </c>
      <c r="Z10" s="17">
        <v>0</v>
      </c>
      <c r="AA10" s="13" t="s">
        <v>58</v>
      </c>
      <c r="AB10" s="13" t="s">
        <v>44</v>
      </c>
      <c r="AC10" s="13" t="s">
        <v>45</v>
      </c>
      <c r="AD10" s="13" t="s">
        <v>46</v>
      </c>
      <c r="AE10" s="17">
        <v>59978.83</v>
      </c>
      <c r="AF10" s="17">
        <v>14052.56</v>
      </c>
      <c r="AG10" s="47" t="e">
        <v>#N/A</v>
      </c>
      <c r="AH10" s="20" t="s">
        <v>785</v>
      </c>
      <c r="AI10" s="19" t="b">
        <v>0</v>
      </c>
      <c r="AJ10" s="18" t="s">
        <v>866</v>
      </c>
      <c r="AK10" s="49" t="s">
        <v>785</v>
      </c>
    </row>
    <row r="11" spans="1:702" x14ac:dyDescent="0.35">
      <c r="A11" s="12" t="s">
        <v>33</v>
      </c>
      <c r="B11" s="12">
        <v>100103956</v>
      </c>
      <c r="C11" s="13" t="s">
        <v>48</v>
      </c>
      <c r="D11" s="13" t="s">
        <v>49</v>
      </c>
      <c r="E11" s="12">
        <v>9700076085</v>
      </c>
      <c r="F11" s="13" t="s">
        <v>59</v>
      </c>
      <c r="G11" s="12" t="s">
        <v>37</v>
      </c>
      <c r="H11" s="14">
        <v>724954.92</v>
      </c>
      <c r="I11" s="15">
        <v>45987</v>
      </c>
      <c r="J11" s="12" t="str">
        <f t="shared" ca="1" si="0"/>
        <v>120 +</v>
      </c>
      <c r="K11" s="14">
        <v>724954.92</v>
      </c>
      <c r="L11" s="16">
        <v>45957</v>
      </c>
      <c r="M11" s="13" t="s">
        <v>38</v>
      </c>
      <c r="N11" s="13" t="s">
        <v>39</v>
      </c>
      <c r="O11" s="13" t="s">
        <v>40</v>
      </c>
      <c r="P11" s="13"/>
      <c r="Q11" s="13" t="s">
        <v>41</v>
      </c>
      <c r="R11" s="13" t="s">
        <v>42</v>
      </c>
      <c r="S11" s="17">
        <v>0</v>
      </c>
      <c r="T11" s="17">
        <v>0</v>
      </c>
      <c r="U11" s="17">
        <v>0</v>
      </c>
      <c r="V11" s="17">
        <v>0</v>
      </c>
      <c r="W11" s="17">
        <v>0</v>
      </c>
      <c r="X11" s="17">
        <v>2662396.94</v>
      </c>
      <c r="Y11" s="17">
        <v>2662396.94</v>
      </c>
      <c r="Z11" s="17">
        <v>0</v>
      </c>
      <c r="AA11" s="13" t="s">
        <v>60</v>
      </c>
      <c r="AB11" s="13" t="s">
        <v>44</v>
      </c>
      <c r="AC11" s="13" t="s">
        <v>45</v>
      </c>
      <c r="AD11" s="13" t="s">
        <v>46</v>
      </c>
      <c r="AE11" s="17">
        <v>2662396.94</v>
      </c>
      <c r="AF11" s="17">
        <v>624315.29</v>
      </c>
      <c r="AG11" s="47" t="e">
        <v>#N/A</v>
      </c>
      <c r="AH11" s="20" t="s">
        <v>785</v>
      </c>
      <c r="AI11" s="19" t="b">
        <v>0</v>
      </c>
      <c r="AJ11" s="18" t="s">
        <v>866</v>
      </c>
      <c r="AK11" s="49" t="s">
        <v>785</v>
      </c>
    </row>
    <row r="12" spans="1:702" x14ac:dyDescent="0.35">
      <c r="A12" s="12" t="s">
        <v>33</v>
      </c>
      <c r="B12" s="12">
        <v>100103956</v>
      </c>
      <c r="C12" s="13" t="s">
        <v>48</v>
      </c>
      <c r="D12" s="13" t="s">
        <v>49</v>
      </c>
      <c r="E12" s="12">
        <v>9700087773</v>
      </c>
      <c r="F12" s="13" t="s">
        <v>61</v>
      </c>
      <c r="G12" s="12" t="s">
        <v>37</v>
      </c>
      <c r="H12" s="14">
        <v>-23354.87</v>
      </c>
      <c r="I12" s="15">
        <v>46036</v>
      </c>
      <c r="J12" s="12" t="str">
        <f t="shared" ca="1" si="0"/>
        <v>91-120</v>
      </c>
      <c r="K12" s="14">
        <v>-23354.87</v>
      </c>
      <c r="L12" s="16">
        <v>46006</v>
      </c>
      <c r="M12" s="13" t="s">
        <v>38</v>
      </c>
      <c r="N12" s="13" t="s">
        <v>39</v>
      </c>
      <c r="O12" s="13" t="s">
        <v>40</v>
      </c>
      <c r="P12" s="13" t="s">
        <v>62</v>
      </c>
      <c r="Q12" s="13" t="s">
        <v>41</v>
      </c>
      <c r="R12" s="13" t="s">
        <v>42</v>
      </c>
      <c r="S12" s="17">
        <v>-85770.76</v>
      </c>
      <c r="T12" s="17">
        <v>0</v>
      </c>
      <c r="U12" s="17">
        <v>0</v>
      </c>
      <c r="V12" s="17">
        <v>0</v>
      </c>
      <c r="W12" s="17">
        <v>0</v>
      </c>
      <c r="X12" s="17">
        <v>0</v>
      </c>
      <c r="Y12" s="17">
        <v>0</v>
      </c>
      <c r="Z12" s="17">
        <v>0</v>
      </c>
      <c r="AA12" s="13" t="s">
        <v>63</v>
      </c>
      <c r="AB12" s="13" t="s">
        <v>44</v>
      </c>
      <c r="AC12" s="13" t="s">
        <v>45</v>
      </c>
      <c r="AD12" s="13" t="s">
        <v>46</v>
      </c>
      <c r="AE12" s="17">
        <v>-85770.76</v>
      </c>
      <c r="AF12" s="17">
        <v>-19908.68</v>
      </c>
      <c r="AG12" s="47" t="e">
        <v>#N/A</v>
      </c>
      <c r="AH12" s="20" t="s">
        <v>786</v>
      </c>
      <c r="AI12" s="19" t="b">
        <v>0</v>
      </c>
      <c r="AJ12" s="18" t="s">
        <v>867</v>
      </c>
      <c r="AK12" s="49" t="s">
        <v>786</v>
      </c>
    </row>
    <row r="13" spans="1:702" x14ac:dyDescent="0.35">
      <c r="A13" s="12" t="s">
        <v>33</v>
      </c>
      <c r="B13" s="12">
        <v>100103956</v>
      </c>
      <c r="C13" s="13" t="s">
        <v>48</v>
      </c>
      <c r="D13" s="13" t="s">
        <v>49</v>
      </c>
      <c r="E13" s="12">
        <v>9700087774</v>
      </c>
      <c r="F13" s="13" t="s">
        <v>64</v>
      </c>
      <c r="G13" s="12" t="s">
        <v>37</v>
      </c>
      <c r="H13" s="14">
        <v>-47589.29</v>
      </c>
      <c r="I13" s="15">
        <v>46036</v>
      </c>
      <c r="J13" s="12" t="str">
        <f t="shared" ca="1" si="0"/>
        <v>91-120</v>
      </c>
      <c r="K13" s="14">
        <v>-47589.29</v>
      </c>
      <c r="L13" s="16">
        <v>46006</v>
      </c>
      <c r="M13" s="13" t="s">
        <v>38</v>
      </c>
      <c r="N13" s="13" t="s">
        <v>39</v>
      </c>
      <c r="O13" s="13" t="s">
        <v>40</v>
      </c>
      <c r="P13" s="13" t="s">
        <v>62</v>
      </c>
      <c r="Q13" s="13" t="s">
        <v>41</v>
      </c>
      <c r="R13" s="13" t="s">
        <v>42</v>
      </c>
      <c r="S13" s="17">
        <v>-174771.67</v>
      </c>
      <c r="T13" s="17">
        <v>0</v>
      </c>
      <c r="U13" s="17">
        <v>0</v>
      </c>
      <c r="V13" s="17">
        <v>0</v>
      </c>
      <c r="W13" s="17">
        <v>0</v>
      </c>
      <c r="X13" s="17">
        <v>0</v>
      </c>
      <c r="Y13" s="17">
        <v>0</v>
      </c>
      <c r="Z13" s="17">
        <v>0</v>
      </c>
      <c r="AA13" s="13" t="s">
        <v>65</v>
      </c>
      <c r="AB13" s="13" t="s">
        <v>44</v>
      </c>
      <c r="AC13" s="13" t="s">
        <v>45</v>
      </c>
      <c r="AD13" s="13" t="s">
        <v>46</v>
      </c>
      <c r="AE13" s="17">
        <v>-174771.67</v>
      </c>
      <c r="AF13" s="17">
        <v>-40567.120000000003</v>
      </c>
      <c r="AG13" s="47" t="e">
        <v>#N/A</v>
      </c>
      <c r="AH13" s="20" t="s">
        <v>786</v>
      </c>
      <c r="AI13" s="19" t="b">
        <v>0</v>
      </c>
      <c r="AJ13" s="18" t="s">
        <v>867</v>
      </c>
      <c r="AK13" s="49" t="s">
        <v>786</v>
      </c>
    </row>
    <row r="14" spans="1:702" x14ac:dyDescent="0.35">
      <c r="A14" s="12" t="s">
        <v>33</v>
      </c>
      <c r="B14" s="12">
        <v>100103956</v>
      </c>
      <c r="C14" s="13" t="s">
        <v>48</v>
      </c>
      <c r="D14" s="13" t="s">
        <v>49</v>
      </c>
      <c r="E14" s="12">
        <v>9700087777</v>
      </c>
      <c r="F14" s="13" t="s">
        <v>66</v>
      </c>
      <c r="G14" s="12" t="s">
        <v>37</v>
      </c>
      <c r="H14" s="14">
        <v>-23987.25</v>
      </c>
      <c r="I14" s="15">
        <v>46036</v>
      </c>
      <c r="J14" s="12" t="str">
        <f t="shared" ca="1" si="0"/>
        <v>91-120</v>
      </c>
      <c r="K14" s="14">
        <v>-23987.25</v>
      </c>
      <c r="L14" s="16">
        <v>46006</v>
      </c>
      <c r="M14" s="13" t="s">
        <v>38</v>
      </c>
      <c r="N14" s="13" t="s">
        <v>39</v>
      </c>
      <c r="O14" s="13" t="s">
        <v>40</v>
      </c>
      <c r="P14" s="13" t="s">
        <v>62</v>
      </c>
      <c r="Q14" s="13" t="s">
        <v>41</v>
      </c>
      <c r="R14" s="13" t="s">
        <v>42</v>
      </c>
      <c r="S14" s="17">
        <v>-88093.18</v>
      </c>
      <c r="T14" s="17">
        <v>0</v>
      </c>
      <c r="U14" s="17">
        <v>0</v>
      </c>
      <c r="V14" s="17">
        <v>0</v>
      </c>
      <c r="W14" s="17">
        <v>0</v>
      </c>
      <c r="X14" s="17">
        <v>0</v>
      </c>
      <c r="Y14" s="17">
        <v>0</v>
      </c>
      <c r="Z14" s="17">
        <v>0</v>
      </c>
      <c r="AA14" s="13" t="s">
        <v>67</v>
      </c>
      <c r="AB14" s="13" t="s">
        <v>44</v>
      </c>
      <c r="AC14" s="13" t="s">
        <v>45</v>
      </c>
      <c r="AD14" s="13" t="s">
        <v>46</v>
      </c>
      <c r="AE14" s="17">
        <v>-88093.18</v>
      </c>
      <c r="AF14" s="17">
        <v>-20447.75</v>
      </c>
      <c r="AG14" s="47" t="e">
        <v>#N/A</v>
      </c>
      <c r="AH14" s="20" t="s">
        <v>786</v>
      </c>
      <c r="AI14" s="19" t="b">
        <v>0</v>
      </c>
      <c r="AJ14" s="18" t="s">
        <v>867</v>
      </c>
      <c r="AK14" s="49" t="s">
        <v>786</v>
      </c>
    </row>
    <row r="15" spans="1:702" x14ac:dyDescent="0.35">
      <c r="A15" s="12" t="s">
        <v>33</v>
      </c>
      <c r="B15" s="12">
        <v>100103956</v>
      </c>
      <c r="C15" s="13" t="s">
        <v>48</v>
      </c>
      <c r="D15" s="13" t="s">
        <v>49</v>
      </c>
      <c r="E15" s="12">
        <v>9700088577</v>
      </c>
      <c r="F15" s="13" t="s">
        <v>68</v>
      </c>
      <c r="G15" s="12" t="s">
        <v>37</v>
      </c>
      <c r="H15" s="14">
        <v>787500</v>
      </c>
      <c r="I15" s="15">
        <v>46038</v>
      </c>
      <c r="J15" s="12" t="str">
        <f t="shared" ca="1" si="0"/>
        <v>91-120</v>
      </c>
      <c r="K15" s="14">
        <v>787500</v>
      </c>
      <c r="L15" s="16">
        <v>46008</v>
      </c>
      <c r="M15" s="13" t="s">
        <v>38</v>
      </c>
      <c r="N15" s="13" t="s">
        <v>39</v>
      </c>
      <c r="O15" s="13" t="s">
        <v>40</v>
      </c>
      <c r="P15" s="13"/>
      <c r="Q15" s="13" t="s">
        <v>41</v>
      </c>
      <c r="R15" s="13" t="s">
        <v>42</v>
      </c>
      <c r="S15" s="17">
        <v>0</v>
      </c>
      <c r="T15" s="17">
        <v>0</v>
      </c>
      <c r="U15" s="17">
        <v>0</v>
      </c>
      <c r="V15" s="17">
        <v>2892093.75</v>
      </c>
      <c r="W15" s="17">
        <v>0</v>
      </c>
      <c r="X15" s="17">
        <v>0</v>
      </c>
      <c r="Y15" s="17">
        <v>2892093.75</v>
      </c>
      <c r="Z15" s="17">
        <v>0</v>
      </c>
      <c r="AA15" s="13" t="s">
        <v>52</v>
      </c>
      <c r="AB15" s="13" t="s">
        <v>44</v>
      </c>
      <c r="AC15" s="13" t="s">
        <v>45</v>
      </c>
      <c r="AD15" s="13" t="s">
        <v>46</v>
      </c>
      <c r="AE15" s="17">
        <v>2892093.75</v>
      </c>
      <c r="AF15" s="17">
        <v>668733.02</v>
      </c>
      <c r="AG15" s="47" t="e">
        <v>#N/A</v>
      </c>
      <c r="AH15" s="20" t="s">
        <v>785</v>
      </c>
      <c r="AI15" s="19" t="b">
        <v>1</v>
      </c>
      <c r="AJ15" s="18" t="s">
        <v>911</v>
      </c>
      <c r="AK15" s="49" t="s">
        <v>1268</v>
      </c>
    </row>
    <row r="16" spans="1:702" x14ac:dyDescent="0.35">
      <c r="A16" s="12" t="s">
        <v>33</v>
      </c>
      <c r="B16" s="12">
        <v>100103956</v>
      </c>
      <c r="C16" s="13" t="s">
        <v>48</v>
      </c>
      <c r="D16" s="13" t="s">
        <v>49</v>
      </c>
      <c r="E16" s="12">
        <v>9700088578</v>
      </c>
      <c r="F16" s="13" t="s">
        <v>69</v>
      </c>
      <c r="G16" s="12" t="s">
        <v>37</v>
      </c>
      <c r="H16" s="14">
        <v>509250</v>
      </c>
      <c r="I16" s="15">
        <v>46038</v>
      </c>
      <c r="J16" s="12" t="str">
        <f t="shared" ca="1" si="0"/>
        <v>91-120</v>
      </c>
      <c r="K16" s="14">
        <v>509250</v>
      </c>
      <c r="L16" s="16">
        <v>46008</v>
      </c>
      <c r="M16" s="13" t="s">
        <v>38</v>
      </c>
      <c r="N16" s="13" t="s">
        <v>39</v>
      </c>
      <c r="O16" s="13" t="s">
        <v>40</v>
      </c>
      <c r="P16" s="13"/>
      <c r="Q16" s="13" t="s">
        <v>41</v>
      </c>
      <c r="R16" s="13" t="s">
        <v>42</v>
      </c>
      <c r="S16" s="17">
        <v>0</v>
      </c>
      <c r="T16" s="17">
        <v>0</v>
      </c>
      <c r="U16" s="17">
        <v>0</v>
      </c>
      <c r="V16" s="17">
        <v>1870220.63</v>
      </c>
      <c r="W16" s="17">
        <v>0</v>
      </c>
      <c r="X16" s="17">
        <v>0</v>
      </c>
      <c r="Y16" s="17">
        <v>1870220.63</v>
      </c>
      <c r="Z16" s="17">
        <v>0</v>
      </c>
      <c r="AA16" s="13" t="s">
        <v>52</v>
      </c>
      <c r="AB16" s="13" t="s">
        <v>44</v>
      </c>
      <c r="AC16" s="13" t="s">
        <v>45</v>
      </c>
      <c r="AD16" s="13" t="s">
        <v>46</v>
      </c>
      <c r="AE16" s="17">
        <v>1870220.63</v>
      </c>
      <c r="AF16" s="17">
        <v>432447.35</v>
      </c>
      <c r="AG16" s="47" t="e">
        <v>#N/A</v>
      </c>
      <c r="AH16" s="20" t="s">
        <v>785</v>
      </c>
      <c r="AI16" s="19" t="b">
        <v>0</v>
      </c>
      <c r="AJ16" s="18" t="s">
        <v>866</v>
      </c>
      <c r="AK16" s="49" t="s">
        <v>785</v>
      </c>
    </row>
    <row r="17" spans="1:37" x14ac:dyDescent="0.35">
      <c r="A17" s="12" t="s">
        <v>33</v>
      </c>
      <c r="B17" s="12">
        <v>100103956</v>
      </c>
      <c r="C17" s="13" t="s">
        <v>48</v>
      </c>
      <c r="D17" s="13" t="s">
        <v>49</v>
      </c>
      <c r="E17" s="12">
        <v>9700091144</v>
      </c>
      <c r="F17" s="13" t="s">
        <v>70</v>
      </c>
      <c r="G17" s="12" t="s">
        <v>37</v>
      </c>
      <c r="H17" s="14">
        <v>68250</v>
      </c>
      <c r="I17" s="15">
        <v>46047</v>
      </c>
      <c r="J17" s="12" t="str">
        <f t="shared" ca="1" si="0"/>
        <v>91-120</v>
      </c>
      <c r="K17" s="14">
        <v>68250</v>
      </c>
      <c r="L17" s="16">
        <v>46017</v>
      </c>
      <c r="M17" s="13" t="s">
        <v>38</v>
      </c>
      <c r="N17" s="13" t="s">
        <v>39</v>
      </c>
      <c r="O17" s="13" t="s">
        <v>40</v>
      </c>
      <c r="P17" s="13"/>
      <c r="Q17" s="13" t="s">
        <v>41</v>
      </c>
      <c r="R17" s="13" t="s">
        <v>42</v>
      </c>
      <c r="S17" s="17">
        <v>0</v>
      </c>
      <c r="T17" s="17">
        <v>0</v>
      </c>
      <c r="U17" s="17">
        <v>0</v>
      </c>
      <c r="V17" s="17">
        <v>250648.13</v>
      </c>
      <c r="W17" s="17">
        <v>0</v>
      </c>
      <c r="X17" s="17">
        <v>0</v>
      </c>
      <c r="Y17" s="17">
        <v>250648.13</v>
      </c>
      <c r="Z17" s="17">
        <v>0</v>
      </c>
      <c r="AA17" s="13" t="s">
        <v>52</v>
      </c>
      <c r="AB17" s="13" t="s">
        <v>44</v>
      </c>
      <c r="AC17" s="13" t="s">
        <v>45</v>
      </c>
      <c r="AD17" s="13" t="s">
        <v>46</v>
      </c>
      <c r="AE17" s="17">
        <v>250648.13</v>
      </c>
      <c r="AF17" s="17">
        <v>58109.83</v>
      </c>
      <c r="AG17" s="47" t="e">
        <v>#N/A</v>
      </c>
      <c r="AH17" s="20" t="s">
        <v>787</v>
      </c>
      <c r="AI17" s="19" t="b">
        <v>0</v>
      </c>
      <c r="AJ17" s="18" t="s">
        <v>866</v>
      </c>
      <c r="AK17" s="49" t="s">
        <v>787</v>
      </c>
    </row>
    <row r="18" spans="1:37" ht="16.5" x14ac:dyDescent="0.4">
      <c r="A18" s="3"/>
      <c r="B18" s="3"/>
      <c r="C18" s="4"/>
      <c r="D18" s="4" t="s">
        <v>49</v>
      </c>
      <c r="E18" s="3"/>
      <c r="F18" s="4"/>
      <c r="G18" s="4"/>
      <c r="H18" s="43">
        <f>SUM(H5:H17)</f>
        <v>2888021.51</v>
      </c>
      <c r="I18" s="5"/>
      <c r="J18" s="45" t="str">
        <f t="shared" ca="1" si="0"/>
        <v/>
      </c>
      <c r="K18" s="43">
        <f>SUM(K5:K17)</f>
        <v>2888021.51</v>
      </c>
      <c r="L18" s="9"/>
      <c r="M18" s="4"/>
      <c r="N18" s="4"/>
      <c r="O18" s="4"/>
      <c r="P18" s="4"/>
      <c r="Q18" s="4"/>
      <c r="R18" s="4" t="s">
        <v>42</v>
      </c>
      <c r="S18" s="6">
        <v>-148695.53</v>
      </c>
      <c r="T18" s="6">
        <v>75876.460000000006</v>
      </c>
      <c r="U18" s="6">
        <v>2754375</v>
      </c>
      <c r="V18" s="6">
        <v>5012962.51</v>
      </c>
      <c r="W18" s="6">
        <v>0</v>
      </c>
      <c r="X18" s="7"/>
      <c r="Y18" s="7"/>
      <c r="Z18" s="6">
        <v>0</v>
      </c>
      <c r="AA18" s="4"/>
      <c r="AB18" s="4"/>
      <c r="AC18" s="4"/>
      <c r="AD18" s="4"/>
      <c r="AE18" s="6">
        <v>10606259</v>
      </c>
      <c r="AF18" s="6">
        <v>2464429.7599999998</v>
      </c>
      <c r="AG18" s="48"/>
      <c r="AH18" s="44" cm="1">
        <f t="array" ref="AH18">IFERROR(SUMPRODUCT(AF5:AF17*--(((AI5:AI17=TRUE)+(AI5:AI17=1))&gt;0)),0)</f>
        <v>715765.69000000006</v>
      </c>
      <c r="AI18" s="54">
        <f>SUMIF(AI5:AI17,TRUE,H5:H17)/H18</f>
        <v>0.29152916523810796</v>
      </c>
      <c r="AJ18" s="6"/>
      <c r="AK18" s="50"/>
    </row>
    <row r="19" spans="1:37" x14ac:dyDescent="0.35">
      <c r="A19" s="12" t="s">
        <v>33</v>
      </c>
      <c r="B19" s="12">
        <v>100103260</v>
      </c>
      <c r="C19" s="13" t="s">
        <v>71</v>
      </c>
      <c r="D19" s="13" t="s">
        <v>72</v>
      </c>
      <c r="E19" s="12">
        <v>9700018272</v>
      </c>
      <c r="F19" s="13" t="s">
        <v>73</v>
      </c>
      <c r="G19" s="12" t="s">
        <v>37</v>
      </c>
      <c r="H19" s="14">
        <v>76055.94</v>
      </c>
      <c r="I19" s="15">
        <v>46108</v>
      </c>
      <c r="J19" s="12" t="str">
        <f t="shared" ca="1" si="0"/>
        <v>31-60</v>
      </c>
      <c r="K19" s="14">
        <v>76055.94</v>
      </c>
      <c r="L19" s="16">
        <v>46078</v>
      </c>
      <c r="M19" s="13" t="s">
        <v>38</v>
      </c>
      <c r="N19" s="13" t="s">
        <v>39</v>
      </c>
      <c r="O19" s="13" t="s">
        <v>40</v>
      </c>
      <c r="P19" s="13"/>
      <c r="Q19" s="13" t="s">
        <v>41</v>
      </c>
      <c r="R19" s="13" t="s">
        <v>42</v>
      </c>
      <c r="S19" s="17">
        <v>0</v>
      </c>
      <c r="T19" s="17">
        <v>279315.44</v>
      </c>
      <c r="U19" s="17">
        <v>0</v>
      </c>
      <c r="V19" s="17">
        <v>0</v>
      </c>
      <c r="W19" s="17">
        <v>0</v>
      </c>
      <c r="X19" s="17">
        <v>0</v>
      </c>
      <c r="Y19" s="17">
        <v>279315.44</v>
      </c>
      <c r="Z19" s="17">
        <v>0</v>
      </c>
      <c r="AA19" s="13" t="s">
        <v>74</v>
      </c>
      <c r="AB19" s="13" t="s">
        <v>44</v>
      </c>
      <c r="AC19" s="13" t="s">
        <v>45</v>
      </c>
      <c r="AD19" s="13" t="s">
        <v>46</v>
      </c>
      <c r="AE19" s="17">
        <v>279315.44</v>
      </c>
      <c r="AF19" s="17">
        <v>64541.7</v>
      </c>
      <c r="AG19" s="47" t="s">
        <v>879</v>
      </c>
      <c r="AH19" s="20" t="s">
        <v>788</v>
      </c>
      <c r="AI19" s="19" t="b">
        <v>1</v>
      </c>
      <c r="AJ19" s="18" t="s">
        <v>911</v>
      </c>
      <c r="AK19" s="49" t="s">
        <v>945</v>
      </c>
    </row>
    <row r="20" spans="1:37" x14ac:dyDescent="0.35">
      <c r="A20" s="12" t="s">
        <v>33</v>
      </c>
      <c r="B20" s="12">
        <v>100103260</v>
      </c>
      <c r="C20" s="13" t="s">
        <v>71</v>
      </c>
      <c r="D20" s="13" t="s">
        <v>72</v>
      </c>
      <c r="E20" s="12">
        <v>9700018297</v>
      </c>
      <c r="F20" s="13" t="s">
        <v>75</v>
      </c>
      <c r="G20" s="12" t="s">
        <v>37</v>
      </c>
      <c r="H20" s="14">
        <v>918.8</v>
      </c>
      <c r="I20" s="15">
        <v>46110</v>
      </c>
      <c r="J20" s="12" t="str">
        <f t="shared" ca="1" si="0"/>
        <v>31-60</v>
      </c>
      <c r="K20" s="14">
        <v>918.8</v>
      </c>
      <c r="L20" s="16">
        <v>46080</v>
      </c>
      <c r="M20" s="13" t="s">
        <v>38</v>
      </c>
      <c r="N20" s="13" t="s">
        <v>39</v>
      </c>
      <c r="O20" s="13" t="s">
        <v>40</v>
      </c>
      <c r="P20" s="13"/>
      <c r="Q20" s="13" t="s">
        <v>41</v>
      </c>
      <c r="R20" s="13" t="s">
        <v>42</v>
      </c>
      <c r="S20" s="17">
        <v>0</v>
      </c>
      <c r="T20" s="17">
        <v>3374.29</v>
      </c>
      <c r="U20" s="17">
        <v>0</v>
      </c>
      <c r="V20" s="17">
        <v>0</v>
      </c>
      <c r="W20" s="17">
        <v>0</v>
      </c>
      <c r="X20" s="17">
        <v>0</v>
      </c>
      <c r="Y20" s="17">
        <v>3374.29</v>
      </c>
      <c r="Z20" s="17">
        <v>0</v>
      </c>
      <c r="AA20" s="13" t="s">
        <v>76</v>
      </c>
      <c r="AB20" s="13" t="s">
        <v>44</v>
      </c>
      <c r="AC20" s="13" t="s">
        <v>45</v>
      </c>
      <c r="AD20" s="13" t="s">
        <v>46</v>
      </c>
      <c r="AE20" s="17">
        <v>3374.29</v>
      </c>
      <c r="AF20" s="17">
        <v>779.7</v>
      </c>
      <c r="AG20" s="47" t="s">
        <v>880</v>
      </c>
      <c r="AH20" s="20" t="s">
        <v>788</v>
      </c>
      <c r="AI20" s="19" t="b">
        <v>1</v>
      </c>
      <c r="AJ20" s="18" t="s">
        <v>911</v>
      </c>
      <c r="AK20" s="49" t="s">
        <v>945</v>
      </c>
    </row>
    <row r="21" spans="1:37" x14ac:dyDescent="0.35">
      <c r="A21" s="12" t="s">
        <v>33</v>
      </c>
      <c r="B21" s="12">
        <v>100103260</v>
      </c>
      <c r="C21" s="13" t="s">
        <v>71</v>
      </c>
      <c r="D21" s="13" t="s">
        <v>72</v>
      </c>
      <c r="E21" s="12">
        <v>9700018964</v>
      </c>
      <c r="F21" s="13" t="s">
        <v>77</v>
      </c>
      <c r="G21" s="12" t="s">
        <v>37</v>
      </c>
      <c r="H21" s="14">
        <v>472920</v>
      </c>
      <c r="I21" s="15">
        <v>46116</v>
      </c>
      <c r="J21" s="12" t="str">
        <f t="shared" ca="1" si="0"/>
        <v>0-30</v>
      </c>
      <c r="K21" s="14">
        <v>472920</v>
      </c>
      <c r="L21" s="16">
        <v>46086</v>
      </c>
      <c r="M21" s="13" t="s">
        <v>38</v>
      </c>
      <c r="N21" s="13" t="s">
        <v>39</v>
      </c>
      <c r="O21" s="13" t="s">
        <v>40</v>
      </c>
      <c r="P21" s="13"/>
      <c r="Q21" s="13" t="s">
        <v>41</v>
      </c>
      <c r="R21" s="13" t="s">
        <v>42</v>
      </c>
      <c r="S21" s="17">
        <v>1736798.7</v>
      </c>
      <c r="T21" s="17">
        <v>0</v>
      </c>
      <c r="U21" s="17">
        <v>0</v>
      </c>
      <c r="V21" s="17">
        <v>0</v>
      </c>
      <c r="W21" s="17">
        <v>0</v>
      </c>
      <c r="X21" s="17">
        <v>0</v>
      </c>
      <c r="Y21" s="17">
        <v>0</v>
      </c>
      <c r="Z21" s="17">
        <v>0</v>
      </c>
      <c r="AA21" s="13" t="s">
        <v>78</v>
      </c>
      <c r="AB21" s="13" t="s">
        <v>44</v>
      </c>
      <c r="AC21" s="13" t="s">
        <v>45</v>
      </c>
      <c r="AD21" s="13" t="s">
        <v>46</v>
      </c>
      <c r="AE21" s="17">
        <v>1736798.7</v>
      </c>
      <c r="AF21" s="17">
        <v>404274.23</v>
      </c>
      <c r="AG21" s="47" t="e">
        <v>#N/A</v>
      </c>
      <c r="AH21" s="20" t="e">
        <v>#N/A</v>
      </c>
      <c r="AI21" s="19" t="b">
        <v>1</v>
      </c>
      <c r="AJ21" s="18" t="s">
        <v>874</v>
      </c>
      <c r="AK21" s="49" t="s">
        <v>815</v>
      </c>
    </row>
    <row r="22" spans="1:37" ht="16.5" x14ac:dyDescent="0.4">
      <c r="A22" s="3"/>
      <c r="B22" s="3"/>
      <c r="C22" s="4"/>
      <c r="D22" s="4" t="s">
        <v>72</v>
      </c>
      <c r="E22" s="3"/>
      <c r="F22" s="4"/>
      <c r="G22" s="4"/>
      <c r="H22" s="43">
        <f>SUM(H19:H21)</f>
        <v>549894.74</v>
      </c>
      <c r="I22" s="5"/>
      <c r="J22" s="45" t="str">
        <f t="shared" ca="1" si="0"/>
        <v/>
      </c>
      <c r="K22" s="43">
        <f>SUM(K19:K21)</f>
        <v>549894.74</v>
      </c>
      <c r="L22" s="9"/>
      <c r="M22" s="4"/>
      <c r="N22" s="4"/>
      <c r="O22" s="4"/>
      <c r="P22" s="4"/>
      <c r="Q22" s="4"/>
      <c r="R22" s="4" t="s">
        <v>42</v>
      </c>
      <c r="S22" s="6">
        <v>1736798.7</v>
      </c>
      <c r="T22" s="6">
        <v>282689.73</v>
      </c>
      <c r="U22" s="6">
        <v>0</v>
      </c>
      <c r="V22" s="6">
        <v>0</v>
      </c>
      <c r="W22" s="6">
        <v>0</v>
      </c>
      <c r="X22" s="7"/>
      <c r="Y22" s="7"/>
      <c r="Z22" s="6">
        <v>0</v>
      </c>
      <c r="AA22" s="4"/>
      <c r="AB22" s="4"/>
      <c r="AC22" s="4"/>
      <c r="AD22" s="4"/>
      <c r="AE22" s="6">
        <v>2019488.43</v>
      </c>
      <c r="AF22" s="6">
        <v>469595.63</v>
      </c>
      <c r="AG22" s="48"/>
      <c r="AH22" s="44" cm="1">
        <f t="array" ref="AH22">IFERROR(SUMPRODUCT(AF19:AF21*--(((AI19:AI21=TRUE)+(AI19:AI21=1))&gt;0)),0)</f>
        <v>469595.63</v>
      </c>
      <c r="AI22" s="54">
        <f>SUMIF(AI19:AI21,TRUE,H19:H21)/H22</f>
        <v>1</v>
      </c>
      <c r="AJ22" s="6"/>
      <c r="AK22" s="50"/>
    </row>
    <row r="23" spans="1:37" x14ac:dyDescent="0.35">
      <c r="A23" s="12" t="s">
        <v>33</v>
      </c>
      <c r="B23" s="12">
        <v>100108092</v>
      </c>
      <c r="C23" s="13" t="s">
        <v>79</v>
      </c>
      <c r="D23" s="13" t="s">
        <v>80</v>
      </c>
      <c r="E23" s="12">
        <v>9700024357</v>
      </c>
      <c r="F23" s="13" t="s">
        <v>81</v>
      </c>
      <c r="G23" s="12" t="s">
        <v>37</v>
      </c>
      <c r="H23" s="14">
        <v>50000</v>
      </c>
      <c r="I23" s="15">
        <v>46134</v>
      </c>
      <c r="J23" s="12" t="str">
        <f t="shared" ca="1" si="0"/>
        <v>0-30</v>
      </c>
      <c r="K23" s="14">
        <v>50000</v>
      </c>
      <c r="L23" s="16">
        <v>46104</v>
      </c>
      <c r="M23" s="13" t="s">
        <v>38</v>
      </c>
      <c r="N23" s="13" t="s">
        <v>39</v>
      </c>
      <c r="O23" s="13" t="s">
        <v>40</v>
      </c>
      <c r="P23" s="13"/>
      <c r="Q23" s="13" t="s">
        <v>41</v>
      </c>
      <c r="R23" s="13" t="s">
        <v>42</v>
      </c>
      <c r="S23" s="17">
        <v>183625</v>
      </c>
      <c r="T23" s="17">
        <v>0</v>
      </c>
      <c r="U23" s="17">
        <v>0</v>
      </c>
      <c r="V23" s="17">
        <v>0</v>
      </c>
      <c r="W23" s="17">
        <v>0</v>
      </c>
      <c r="X23" s="17">
        <v>0</v>
      </c>
      <c r="Y23" s="17">
        <v>0</v>
      </c>
      <c r="Z23" s="17">
        <v>0</v>
      </c>
      <c r="AA23" s="13" t="s">
        <v>82</v>
      </c>
      <c r="AB23" s="13" t="s">
        <v>44</v>
      </c>
      <c r="AC23" s="13" t="s">
        <v>45</v>
      </c>
      <c r="AD23" s="13" t="s">
        <v>46</v>
      </c>
      <c r="AE23" s="17">
        <v>183625</v>
      </c>
      <c r="AF23" s="17">
        <v>43271.31</v>
      </c>
      <c r="AG23" s="47" t="s">
        <v>881</v>
      </c>
      <c r="AH23" s="20" t="e">
        <v>#N/A</v>
      </c>
      <c r="AI23" s="19" t="b">
        <v>1</v>
      </c>
      <c r="AJ23" s="18" t="s">
        <v>911</v>
      </c>
      <c r="AK23" s="49" t="s">
        <v>945</v>
      </c>
    </row>
    <row r="24" spans="1:37" ht="16.5" x14ac:dyDescent="0.4">
      <c r="A24" s="3"/>
      <c r="B24" s="3"/>
      <c r="C24" s="4"/>
      <c r="D24" s="4" t="s">
        <v>80</v>
      </c>
      <c r="E24" s="3"/>
      <c r="F24" s="4"/>
      <c r="G24" s="4"/>
      <c r="H24" s="43">
        <f>SUM(H23:H23)</f>
        <v>50000</v>
      </c>
      <c r="I24" s="5"/>
      <c r="J24" s="45" t="str">
        <f t="shared" ca="1" si="0"/>
        <v/>
      </c>
      <c r="K24" s="43">
        <f>SUM(K23:K23)</f>
        <v>50000</v>
      </c>
      <c r="L24" s="9"/>
      <c r="M24" s="4"/>
      <c r="N24" s="4"/>
      <c r="O24" s="4"/>
      <c r="P24" s="4"/>
      <c r="Q24" s="4"/>
      <c r="R24" s="4" t="s">
        <v>42</v>
      </c>
      <c r="S24" s="6">
        <v>183625</v>
      </c>
      <c r="T24" s="6">
        <v>0</v>
      </c>
      <c r="U24" s="6">
        <v>0</v>
      </c>
      <c r="V24" s="6">
        <v>0</v>
      </c>
      <c r="W24" s="6">
        <v>0</v>
      </c>
      <c r="X24" s="7"/>
      <c r="Y24" s="7"/>
      <c r="Z24" s="6">
        <v>0</v>
      </c>
      <c r="AA24" s="4"/>
      <c r="AB24" s="4"/>
      <c r="AC24" s="4"/>
      <c r="AD24" s="4"/>
      <c r="AE24" s="6">
        <v>183625</v>
      </c>
      <c r="AF24" s="6">
        <v>43271.31</v>
      </c>
      <c r="AG24" s="48"/>
      <c r="AH24" s="44" cm="1">
        <f t="array" ref="AH24">IFERROR(SUMPRODUCT(AF23:AF23*--(((AI23:AI23=TRUE)+(AI23:AI23=1))&gt;0)),0)</f>
        <v>43271.31</v>
      </c>
      <c r="AI24" s="54">
        <f>SUMIF(AI23:AI23,TRUE,H23:H23)/H24</f>
        <v>1</v>
      </c>
      <c r="AJ24" s="6"/>
      <c r="AK24" s="50"/>
    </row>
    <row r="25" spans="1:37" x14ac:dyDescent="0.35">
      <c r="A25" s="12" t="s">
        <v>33</v>
      </c>
      <c r="B25" s="12">
        <v>100111888</v>
      </c>
      <c r="C25" s="13" t="s">
        <v>1068</v>
      </c>
      <c r="D25" s="13" t="s">
        <v>1064</v>
      </c>
      <c r="E25" s="12" t="s">
        <v>1065</v>
      </c>
      <c r="F25" s="13" t="s">
        <v>1066</v>
      </c>
      <c r="G25" s="12" t="s">
        <v>37</v>
      </c>
      <c r="H25" s="14">
        <v>-1045.05</v>
      </c>
      <c r="I25" s="15">
        <v>46020</v>
      </c>
      <c r="J25" s="16" t="str">
        <f>IF(OR(I25="",ISBLANK(I25)),"",IF(I25&gt;=DATE(2026,4,15),"0-30",IF(DATE(2026,4,15)-I25&lt;=30,"0-30",IF(DATE(2026,4,15)-I25&lt;=60,"31-60",IF(DATE(2026,4,15)-I25&lt;=90,"61-90",IF(DATE(2026,4,15)-I25&lt;=120,"91-120","120 +"))))))</f>
        <v>91-120</v>
      </c>
      <c r="K25" s="14">
        <v>-1045.05</v>
      </c>
      <c r="L25" s="15">
        <v>46020</v>
      </c>
      <c r="M25" s="13" t="s">
        <v>38</v>
      </c>
      <c r="N25" s="13" t="s">
        <v>213</v>
      </c>
      <c r="O25" s="13" t="s">
        <v>214</v>
      </c>
      <c r="P25" s="13"/>
      <c r="Q25" s="13"/>
      <c r="R25" s="13" t="s">
        <v>42</v>
      </c>
      <c r="S25" s="17">
        <v>0</v>
      </c>
      <c r="T25" s="17">
        <v>0</v>
      </c>
      <c r="U25" s="17">
        <v>0</v>
      </c>
      <c r="V25" s="17">
        <v>0</v>
      </c>
      <c r="W25" s="17">
        <v>-3837.95</v>
      </c>
      <c r="X25" s="17">
        <v>0</v>
      </c>
      <c r="Y25" s="17">
        <v>-3837.95</v>
      </c>
      <c r="Z25" s="17">
        <v>0</v>
      </c>
      <c r="AA25" s="13" t="s">
        <v>1067</v>
      </c>
      <c r="AB25" s="13" t="s">
        <v>44</v>
      </c>
      <c r="AC25" s="13" t="s">
        <v>45</v>
      </c>
      <c r="AD25" s="13" t="s">
        <v>46</v>
      </c>
      <c r="AE25" s="17">
        <v>-3837.95</v>
      </c>
      <c r="AF25" s="17">
        <v>-886.61</v>
      </c>
      <c r="AG25" s="17"/>
      <c r="AH25" s="141"/>
      <c r="AI25" s="19" t="b">
        <v>0</v>
      </c>
      <c r="AJ25" s="18" t="s">
        <v>871</v>
      </c>
      <c r="AK25" s="49" t="s">
        <v>1069</v>
      </c>
    </row>
    <row r="26" spans="1:37" ht="16.5" x14ac:dyDescent="0.4">
      <c r="A26" s="3"/>
      <c r="B26" s="4"/>
      <c r="C26" s="4"/>
      <c r="D26" s="4" t="s">
        <v>1064</v>
      </c>
      <c r="E26" s="3"/>
      <c r="F26" s="4"/>
      <c r="G26" s="4"/>
      <c r="H26" s="140"/>
      <c r="I26" s="5"/>
      <c r="J26" s="5"/>
      <c r="K26" s="140"/>
      <c r="L26" s="5"/>
      <c r="M26" s="4"/>
      <c r="N26" s="4"/>
      <c r="O26" s="4"/>
      <c r="P26" s="4"/>
      <c r="Q26" s="4"/>
      <c r="R26" s="4" t="s">
        <v>42</v>
      </c>
      <c r="S26" s="6">
        <v>0</v>
      </c>
      <c r="T26" s="6">
        <v>0</v>
      </c>
      <c r="U26" s="6">
        <v>0</v>
      </c>
      <c r="V26" s="6">
        <v>0</v>
      </c>
      <c r="W26" s="6">
        <v>-3837.95</v>
      </c>
      <c r="X26" s="7"/>
      <c r="Y26" s="7"/>
      <c r="Z26" s="6">
        <v>0</v>
      </c>
      <c r="AA26" s="4"/>
      <c r="AB26" s="4"/>
      <c r="AC26" s="4"/>
      <c r="AD26" s="4"/>
      <c r="AE26" s="6">
        <v>-3837.95</v>
      </c>
      <c r="AF26" s="6">
        <v>-886.61</v>
      </c>
      <c r="AG26" s="6"/>
      <c r="AH26" s="6"/>
      <c r="AI26" s="6"/>
      <c r="AJ26" s="6"/>
      <c r="AK26" s="6"/>
    </row>
    <row r="27" spans="1:37" x14ac:dyDescent="0.35">
      <c r="A27" s="12" t="s">
        <v>33</v>
      </c>
      <c r="B27" s="12">
        <v>100113182</v>
      </c>
      <c r="C27" s="13" t="s">
        <v>83</v>
      </c>
      <c r="D27" s="13" t="s">
        <v>84</v>
      </c>
      <c r="E27" s="12">
        <v>9700003005</v>
      </c>
      <c r="F27" s="13" t="s">
        <v>85</v>
      </c>
      <c r="G27" s="12" t="s">
        <v>37</v>
      </c>
      <c r="H27" s="14">
        <v>1032.74</v>
      </c>
      <c r="I27" s="15">
        <v>46068</v>
      </c>
      <c r="J27" s="12" t="str">
        <f t="shared" ref="J27:J90" ca="1" si="1">IF($E27="","",IF($I27="","",IF($I27&gt;=TODAY(),"Current",IF(TODAY()-$I27&lt;=30,"0-30",IF(TODAY()-$I27&lt;=60,"31-60",IF(TODAY()-$I27&lt;=90,"61-90",IF(TODAY()-$I27&lt;=120,"91-120","120 +")))))))</f>
        <v>61-90</v>
      </c>
      <c r="K27" s="14">
        <v>1032.74</v>
      </c>
      <c r="L27" s="16">
        <v>46038</v>
      </c>
      <c r="M27" s="13" t="s">
        <v>38</v>
      </c>
      <c r="N27" s="13" t="s">
        <v>39</v>
      </c>
      <c r="O27" s="13" t="s">
        <v>40</v>
      </c>
      <c r="P27" s="13"/>
      <c r="Q27" s="13" t="s">
        <v>41</v>
      </c>
      <c r="R27" s="13" t="s">
        <v>42</v>
      </c>
      <c r="S27" s="17">
        <v>0</v>
      </c>
      <c r="T27" s="17">
        <v>0</v>
      </c>
      <c r="U27" s="17">
        <v>3792.74</v>
      </c>
      <c r="V27" s="17">
        <v>0</v>
      </c>
      <c r="W27" s="17">
        <v>0</v>
      </c>
      <c r="X27" s="17">
        <v>0</v>
      </c>
      <c r="Y27" s="17">
        <v>3792.74</v>
      </c>
      <c r="Z27" s="17">
        <v>0</v>
      </c>
      <c r="AA27" s="13" t="s">
        <v>86</v>
      </c>
      <c r="AB27" s="13" t="s">
        <v>44</v>
      </c>
      <c r="AC27" s="13" t="s">
        <v>45</v>
      </c>
      <c r="AD27" s="13" t="s">
        <v>46</v>
      </c>
      <c r="AE27" s="17">
        <v>3792.74</v>
      </c>
      <c r="AF27" s="17">
        <v>886.17</v>
      </c>
      <c r="AG27" s="47" t="s">
        <v>876</v>
      </c>
      <c r="AH27" s="20" t="s">
        <v>789</v>
      </c>
      <c r="AI27" s="19" t="b">
        <v>0</v>
      </c>
      <c r="AJ27" s="18" t="s">
        <v>865</v>
      </c>
      <c r="AK27" s="49" t="s">
        <v>789</v>
      </c>
    </row>
    <row r="28" spans="1:37" x14ac:dyDescent="0.35">
      <c r="A28" s="12" t="s">
        <v>33</v>
      </c>
      <c r="B28" s="12">
        <v>100113182</v>
      </c>
      <c r="C28" s="13" t="s">
        <v>83</v>
      </c>
      <c r="D28" s="13" t="s">
        <v>84</v>
      </c>
      <c r="E28" s="12">
        <v>9700003829</v>
      </c>
      <c r="F28" s="13" t="s">
        <v>87</v>
      </c>
      <c r="G28" s="12" t="s">
        <v>37</v>
      </c>
      <c r="H28" s="14">
        <v>1082.45</v>
      </c>
      <c r="I28" s="15">
        <v>46068</v>
      </c>
      <c r="J28" s="12" t="str">
        <f t="shared" ca="1" si="1"/>
        <v>61-90</v>
      </c>
      <c r="K28" s="14">
        <v>1082.45</v>
      </c>
      <c r="L28" s="16">
        <v>46038</v>
      </c>
      <c r="M28" s="13" t="s">
        <v>38</v>
      </c>
      <c r="N28" s="13" t="s">
        <v>39</v>
      </c>
      <c r="O28" s="13" t="s">
        <v>40</v>
      </c>
      <c r="P28" s="13"/>
      <c r="Q28" s="13" t="s">
        <v>41</v>
      </c>
      <c r="R28" s="13" t="s">
        <v>42</v>
      </c>
      <c r="S28" s="17">
        <v>0</v>
      </c>
      <c r="T28" s="17">
        <v>0</v>
      </c>
      <c r="U28" s="17">
        <v>3975.3</v>
      </c>
      <c r="V28" s="17">
        <v>0</v>
      </c>
      <c r="W28" s="17">
        <v>0</v>
      </c>
      <c r="X28" s="17">
        <v>0</v>
      </c>
      <c r="Y28" s="17">
        <v>3975.3</v>
      </c>
      <c r="Z28" s="17">
        <v>0</v>
      </c>
      <c r="AA28" s="13" t="s">
        <v>86</v>
      </c>
      <c r="AB28" s="13" t="s">
        <v>44</v>
      </c>
      <c r="AC28" s="13" t="s">
        <v>45</v>
      </c>
      <c r="AD28" s="13" t="s">
        <v>46</v>
      </c>
      <c r="AE28" s="17">
        <v>3975.3</v>
      </c>
      <c r="AF28" s="17">
        <v>929.06</v>
      </c>
      <c r="AG28" s="47" t="s">
        <v>876</v>
      </c>
      <c r="AH28" s="20" t="s">
        <v>789</v>
      </c>
      <c r="AI28" s="19" t="b">
        <v>0</v>
      </c>
      <c r="AJ28" s="18" t="s">
        <v>865</v>
      </c>
      <c r="AK28" s="49" t="s">
        <v>789</v>
      </c>
    </row>
    <row r="29" spans="1:37" x14ac:dyDescent="0.35">
      <c r="A29" s="12" t="s">
        <v>33</v>
      </c>
      <c r="B29" s="12">
        <v>100113182</v>
      </c>
      <c r="C29" s="13" t="s">
        <v>83</v>
      </c>
      <c r="D29" s="13" t="s">
        <v>84</v>
      </c>
      <c r="E29" s="12">
        <v>9700018672</v>
      </c>
      <c r="F29" s="13" t="s">
        <v>88</v>
      </c>
      <c r="G29" s="12" t="s">
        <v>37</v>
      </c>
      <c r="H29" s="14">
        <v>4446.51</v>
      </c>
      <c r="I29" s="15">
        <v>46115</v>
      </c>
      <c r="J29" s="12" t="str">
        <f t="shared" ca="1" si="1"/>
        <v>0-30</v>
      </c>
      <c r="K29" s="14">
        <v>4446.51</v>
      </c>
      <c r="L29" s="16">
        <v>46085</v>
      </c>
      <c r="M29" s="13" t="s">
        <v>38</v>
      </c>
      <c r="N29" s="13" t="s">
        <v>39</v>
      </c>
      <c r="O29" s="13" t="s">
        <v>40</v>
      </c>
      <c r="P29" s="13"/>
      <c r="Q29" s="13" t="s">
        <v>41</v>
      </c>
      <c r="R29" s="13" t="s">
        <v>42</v>
      </c>
      <c r="S29" s="17">
        <v>16329.81</v>
      </c>
      <c r="T29" s="17">
        <v>0</v>
      </c>
      <c r="U29" s="17">
        <v>0</v>
      </c>
      <c r="V29" s="17">
        <v>0</v>
      </c>
      <c r="W29" s="17">
        <v>0</v>
      </c>
      <c r="X29" s="17">
        <v>0</v>
      </c>
      <c r="Y29" s="17">
        <v>0</v>
      </c>
      <c r="Z29" s="17">
        <v>0</v>
      </c>
      <c r="AA29" s="13" t="s">
        <v>89</v>
      </c>
      <c r="AB29" s="13" t="s">
        <v>44</v>
      </c>
      <c r="AC29" s="13" t="s">
        <v>45</v>
      </c>
      <c r="AD29" s="13" t="s">
        <v>46</v>
      </c>
      <c r="AE29" s="17">
        <v>16329.81</v>
      </c>
      <c r="AF29" s="17">
        <v>3766.63</v>
      </c>
      <c r="AG29" s="47" t="s">
        <v>876</v>
      </c>
      <c r="AH29" s="20" t="e">
        <v>#N/A</v>
      </c>
      <c r="AI29" s="19" t="b">
        <v>0</v>
      </c>
      <c r="AJ29" s="18" t="s">
        <v>865</v>
      </c>
      <c r="AK29" s="49" t="s">
        <v>784</v>
      </c>
    </row>
    <row r="30" spans="1:37" ht="16.5" x14ac:dyDescent="0.4">
      <c r="A30" s="3"/>
      <c r="B30" s="3"/>
      <c r="C30" s="4"/>
      <c r="D30" s="4" t="s">
        <v>84</v>
      </c>
      <c r="E30" s="3"/>
      <c r="F30" s="4"/>
      <c r="G30" s="4"/>
      <c r="H30" s="43">
        <f>SUM(H27:H29)</f>
        <v>6561.7000000000007</v>
      </c>
      <c r="I30" s="5"/>
      <c r="J30" s="45" t="str">
        <f t="shared" ca="1" si="1"/>
        <v/>
      </c>
      <c r="K30" s="43">
        <f>SUM(K27:K29)</f>
        <v>6561.7000000000007</v>
      </c>
      <c r="L30" s="9"/>
      <c r="M30" s="4"/>
      <c r="N30" s="4"/>
      <c r="O30" s="4"/>
      <c r="P30" s="4"/>
      <c r="Q30" s="4"/>
      <c r="R30" s="4" t="s">
        <v>42</v>
      </c>
      <c r="S30" s="6">
        <v>16329.81</v>
      </c>
      <c r="T30" s="6">
        <v>0</v>
      </c>
      <c r="U30" s="6">
        <v>7768.04</v>
      </c>
      <c r="V30" s="6">
        <v>0</v>
      </c>
      <c r="W30" s="6">
        <v>0</v>
      </c>
      <c r="X30" s="7"/>
      <c r="Y30" s="7"/>
      <c r="Z30" s="6">
        <v>0</v>
      </c>
      <c r="AA30" s="4"/>
      <c r="AB30" s="4"/>
      <c r="AC30" s="4"/>
      <c r="AD30" s="4"/>
      <c r="AE30" s="6">
        <v>24097.85</v>
      </c>
      <c r="AF30" s="6">
        <v>5581.86</v>
      </c>
      <c r="AG30" s="48"/>
      <c r="AH30" s="44" cm="1">
        <f t="array" ref="AH30">IFERROR(SUMPRODUCT(AF27:AF29*--(((AI27:AI29=TRUE)+(AI27:AI29=1))&gt;0)),0)</f>
        <v>0</v>
      </c>
      <c r="AI30" s="54">
        <f>SUMIF(AI27:AI29,TRUE,H27:H29)/H30</f>
        <v>0</v>
      </c>
      <c r="AJ30" s="6"/>
      <c r="AK30" s="50"/>
    </row>
    <row r="31" spans="1:37" x14ac:dyDescent="0.35">
      <c r="A31" s="12" t="s">
        <v>33</v>
      </c>
      <c r="B31" s="12">
        <v>100113370</v>
      </c>
      <c r="C31" s="13" t="s">
        <v>90</v>
      </c>
      <c r="D31" s="13" t="s">
        <v>91</v>
      </c>
      <c r="E31" s="12">
        <v>9700003144</v>
      </c>
      <c r="F31" s="13" t="s">
        <v>92</v>
      </c>
      <c r="G31" s="12" t="s">
        <v>37</v>
      </c>
      <c r="H31" s="14">
        <v>2389.63</v>
      </c>
      <c r="I31" s="15">
        <v>46068</v>
      </c>
      <c r="J31" s="12" t="str">
        <f t="shared" ca="1" si="1"/>
        <v>61-90</v>
      </c>
      <c r="K31" s="14">
        <v>2389.63</v>
      </c>
      <c r="L31" s="16">
        <v>46038</v>
      </c>
      <c r="M31" s="13" t="s">
        <v>38</v>
      </c>
      <c r="N31" s="13" t="s">
        <v>39</v>
      </c>
      <c r="O31" s="13" t="s">
        <v>40</v>
      </c>
      <c r="P31" s="13"/>
      <c r="Q31" s="13" t="s">
        <v>41</v>
      </c>
      <c r="R31" s="13" t="s">
        <v>42</v>
      </c>
      <c r="S31" s="17">
        <v>0</v>
      </c>
      <c r="T31" s="17">
        <v>0</v>
      </c>
      <c r="U31" s="17">
        <v>8775.92</v>
      </c>
      <c r="V31" s="17">
        <v>0</v>
      </c>
      <c r="W31" s="17">
        <v>0</v>
      </c>
      <c r="X31" s="17">
        <v>0</v>
      </c>
      <c r="Y31" s="17">
        <v>8775.92</v>
      </c>
      <c r="Z31" s="17">
        <v>0</v>
      </c>
      <c r="AA31" s="13" t="s">
        <v>93</v>
      </c>
      <c r="AB31" s="13" t="s">
        <v>44</v>
      </c>
      <c r="AC31" s="13" t="s">
        <v>45</v>
      </c>
      <c r="AD31" s="13" t="s">
        <v>46</v>
      </c>
      <c r="AE31" s="17">
        <v>8775.92</v>
      </c>
      <c r="AF31" s="17">
        <v>2050.48</v>
      </c>
      <c r="AG31" s="47" t="s">
        <v>876</v>
      </c>
      <c r="AH31" s="20" t="s">
        <v>790</v>
      </c>
      <c r="AI31" s="19" t="b">
        <v>0</v>
      </c>
      <c r="AJ31" s="18" t="s">
        <v>872</v>
      </c>
      <c r="AK31" s="49" t="s">
        <v>790</v>
      </c>
    </row>
    <row r="32" spans="1:37" x14ac:dyDescent="0.35">
      <c r="A32" s="12" t="s">
        <v>33</v>
      </c>
      <c r="B32" s="12">
        <v>100113370</v>
      </c>
      <c r="C32" s="13" t="s">
        <v>90</v>
      </c>
      <c r="D32" s="13" t="s">
        <v>91</v>
      </c>
      <c r="E32" s="12">
        <v>9700003850</v>
      </c>
      <c r="F32" s="13" t="s">
        <v>94</v>
      </c>
      <c r="G32" s="12" t="s">
        <v>37</v>
      </c>
      <c r="H32" s="14">
        <v>2453.67</v>
      </c>
      <c r="I32" s="15">
        <v>46071</v>
      </c>
      <c r="J32" s="12" t="str">
        <f t="shared" ca="1" si="1"/>
        <v>61-90</v>
      </c>
      <c r="K32" s="14">
        <v>2453.67</v>
      </c>
      <c r="L32" s="16">
        <v>46041</v>
      </c>
      <c r="M32" s="13" t="s">
        <v>38</v>
      </c>
      <c r="N32" s="13" t="s">
        <v>39</v>
      </c>
      <c r="O32" s="13" t="s">
        <v>40</v>
      </c>
      <c r="P32" s="13"/>
      <c r="Q32" s="13" t="s">
        <v>41</v>
      </c>
      <c r="R32" s="13" t="s">
        <v>42</v>
      </c>
      <c r="S32" s="17">
        <v>0</v>
      </c>
      <c r="T32" s="17">
        <v>0</v>
      </c>
      <c r="U32" s="17">
        <v>9011.1</v>
      </c>
      <c r="V32" s="17">
        <v>0</v>
      </c>
      <c r="W32" s="17">
        <v>0</v>
      </c>
      <c r="X32" s="17">
        <v>0</v>
      </c>
      <c r="Y32" s="17">
        <v>9011.1</v>
      </c>
      <c r="Z32" s="17">
        <v>0</v>
      </c>
      <c r="AA32" s="13" t="s">
        <v>93</v>
      </c>
      <c r="AB32" s="13" t="s">
        <v>44</v>
      </c>
      <c r="AC32" s="13" t="s">
        <v>45</v>
      </c>
      <c r="AD32" s="13" t="s">
        <v>46</v>
      </c>
      <c r="AE32" s="17">
        <v>9011.1</v>
      </c>
      <c r="AF32" s="17">
        <v>2105.9699999999998</v>
      </c>
      <c r="AG32" s="47" t="s">
        <v>876</v>
      </c>
      <c r="AH32" s="20" t="s">
        <v>790</v>
      </c>
      <c r="AI32" s="19" t="b">
        <v>0</v>
      </c>
      <c r="AJ32" s="18" t="s">
        <v>865</v>
      </c>
      <c r="AK32" s="49" t="s">
        <v>790</v>
      </c>
    </row>
    <row r="33" spans="1:37" x14ac:dyDescent="0.35">
      <c r="A33" s="12" t="s">
        <v>33</v>
      </c>
      <c r="B33" s="12">
        <v>100113370</v>
      </c>
      <c r="C33" s="13" t="s">
        <v>90</v>
      </c>
      <c r="D33" s="13" t="s">
        <v>91</v>
      </c>
      <c r="E33" s="12">
        <v>9700022732</v>
      </c>
      <c r="F33" s="13" t="s">
        <v>95</v>
      </c>
      <c r="G33" s="12" t="s">
        <v>37</v>
      </c>
      <c r="H33" s="14">
        <v>2495.7399999999998</v>
      </c>
      <c r="I33" s="15">
        <v>46130</v>
      </c>
      <c r="J33" s="12" t="str">
        <f t="shared" ca="1" si="1"/>
        <v>0-30</v>
      </c>
      <c r="K33" s="14">
        <v>2495.7399999999998</v>
      </c>
      <c r="L33" s="16">
        <v>46100</v>
      </c>
      <c r="M33" s="13" t="s">
        <v>38</v>
      </c>
      <c r="N33" s="13" t="s">
        <v>39</v>
      </c>
      <c r="O33" s="13" t="s">
        <v>40</v>
      </c>
      <c r="P33" s="13"/>
      <c r="Q33" s="13" t="s">
        <v>41</v>
      </c>
      <c r="R33" s="13" t="s">
        <v>42</v>
      </c>
      <c r="S33" s="17">
        <v>9165.61</v>
      </c>
      <c r="T33" s="17">
        <v>0</v>
      </c>
      <c r="U33" s="17">
        <v>0</v>
      </c>
      <c r="V33" s="17">
        <v>0</v>
      </c>
      <c r="W33" s="17">
        <v>0</v>
      </c>
      <c r="X33" s="17">
        <v>0</v>
      </c>
      <c r="Y33" s="17">
        <v>0</v>
      </c>
      <c r="Z33" s="17">
        <v>0</v>
      </c>
      <c r="AA33" s="13" t="s">
        <v>96</v>
      </c>
      <c r="AB33" s="13" t="s">
        <v>44</v>
      </c>
      <c r="AC33" s="13" t="s">
        <v>45</v>
      </c>
      <c r="AD33" s="13" t="s">
        <v>46</v>
      </c>
      <c r="AE33" s="17">
        <v>9165.61</v>
      </c>
      <c r="AF33" s="17">
        <v>2174.75</v>
      </c>
      <c r="AG33" s="47" t="s">
        <v>876</v>
      </c>
      <c r="AH33" s="20" t="e">
        <v>#N/A</v>
      </c>
      <c r="AI33" s="19" t="b">
        <v>0</v>
      </c>
      <c r="AJ33" s="18" t="s">
        <v>865</v>
      </c>
      <c r="AK33" s="49" t="s">
        <v>790</v>
      </c>
    </row>
    <row r="34" spans="1:37" x14ac:dyDescent="0.35">
      <c r="A34" s="12" t="s">
        <v>33</v>
      </c>
      <c r="B34" s="12">
        <v>100113370</v>
      </c>
      <c r="C34" s="13" t="s">
        <v>90</v>
      </c>
      <c r="D34" s="13" t="s">
        <v>91</v>
      </c>
      <c r="E34" s="12">
        <v>9700028955</v>
      </c>
      <c r="F34" s="13" t="s">
        <v>97</v>
      </c>
      <c r="G34" s="12" t="s">
        <v>37</v>
      </c>
      <c r="H34" s="14">
        <v>1816.36</v>
      </c>
      <c r="I34" s="15">
        <v>45805</v>
      </c>
      <c r="J34" s="12" t="str">
        <f t="shared" ca="1" si="1"/>
        <v>120 +</v>
      </c>
      <c r="K34" s="14">
        <v>1816.36</v>
      </c>
      <c r="L34" s="16">
        <v>45775</v>
      </c>
      <c r="M34" s="13" t="s">
        <v>38</v>
      </c>
      <c r="N34" s="13" t="s">
        <v>39</v>
      </c>
      <c r="O34" s="13" t="s">
        <v>40</v>
      </c>
      <c r="P34" s="13"/>
      <c r="Q34" s="13" t="s">
        <v>41</v>
      </c>
      <c r="R34" s="13" t="s">
        <v>42</v>
      </c>
      <c r="S34" s="17">
        <v>0</v>
      </c>
      <c r="T34" s="17">
        <v>0</v>
      </c>
      <c r="U34" s="17">
        <v>0</v>
      </c>
      <c r="V34" s="17">
        <v>0</v>
      </c>
      <c r="W34" s="17">
        <v>0</v>
      </c>
      <c r="X34" s="17">
        <v>6670.58</v>
      </c>
      <c r="Y34" s="17">
        <v>6670.58</v>
      </c>
      <c r="Z34" s="17">
        <v>0</v>
      </c>
      <c r="AA34" s="13" t="s">
        <v>98</v>
      </c>
      <c r="AB34" s="13" t="s">
        <v>44</v>
      </c>
      <c r="AC34" s="13" t="s">
        <v>45</v>
      </c>
      <c r="AD34" s="13" t="s">
        <v>46</v>
      </c>
      <c r="AE34" s="17">
        <v>6670.58</v>
      </c>
      <c r="AF34" s="17">
        <v>1591.2</v>
      </c>
      <c r="AG34" s="47" t="s">
        <v>882</v>
      </c>
      <c r="AH34" s="20" t="s">
        <v>791</v>
      </c>
      <c r="AI34" s="19" t="b">
        <v>0</v>
      </c>
      <c r="AJ34" s="18" t="s">
        <v>865</v>
      </c>
      <c r="AK34" s="49" t="s">
        <v>791</v>
      </c>
    </row>
    <row r="35" spans="1:37" x14ac:dyDescent="0.35">
      <c r="A35" s="12" t="s">
        <v>33</v>
      </c>
      <c r="B35" s="12">
        <v>100113370</v>
      </c>
      <c r="C35" s="13" t="s">
        <v>90</v>
      </c>
      <c r="D35" s="13" t="s">
        <v>91</v>
      </c>
      <c r="E35" s="12">
        <v>9700028956</v>
      </c>
      <c r="F35" s="13" t="s">
        <v>99</v>
      </c>
      <c r="G35" s="12" t="s">
        <v>37</v>
      </c>
      <c r="H35" s="14">
        <v>2411.34</v>
      </c>
      <c r="I35" s="15">
        <v>45805</v>
      </c>
      <c r="J35" s="12" t="str">
        <f t="shared" ca="1" si="1"/>
        <v>120 +</v>
      </c>
      <c r="K35" s="14">
        <v>2411.34</v>
      </c>
      <c r="L35" s="16">
        <v>45775</v>
      </c>
      <c r="M35" s="13" t="s">
        <v>38</v>
      </c>
      <c r="N35" s="13" t="s">
        <v>39</v>
      </c>
      <c r="O35" s="13" t="s">
        <v>40</v>
      </c>
      <c r="P35" s="13"/>
      <c r="Q35" s="13" t="s">
        <v>41</v>
      </c>
      <c r="R35" s="13" t="s">
        <v>42</v>
      </c>
      <c r="S35" s="17">
        <v>0</v>
      </c>
      <c r="T35" s="17">
        <v>0</v>
      </c>
      <c r="U35" s="17">
        <v>0</v>
      </c>
      <c r="V35" s="17">
        <v>0</v>
      </c>
      <c r="W35" s="17">
        <v>0</v>
      </c>
      <c r="X35" s="17">
        <v>8855.65</v>
      </c>
      <c r="Y35" s="17">
        <v>8855.65</v>
      </c>
      <c r="Z35" s="17">
        <v>0</v>
      </c>
      <c r="AA35" s="13" t="s">
        <v>100</v>
      </c>
      <c r="AB35" s="13" t="s">
        <v>44</v>
      </c>
      <c r="AC35" s="13" t="s">
        <v>45</v>
      </c>
      <c r="AD35" s="13" t="s">
        <v>46</v>
      </c>
      <c r="AE35" s="17">
        <v>8855.65</v>
      </c>
      <c r="AF35" s="17">
        <v>2112.4299999999998</v>
      </c>
      <c r="AG35" s="47" t="s">
        <v>883</v>
      </c>
      <c r="AH35" s="20" t="s">
        <v>791</v>
      </c>
      <c r="AI35" s="19" t="b">
        <v>0</v>
      </c>
      <c r="AJ35" s="18" t="s">
        <v>865</v>
      </c>
      <c r="AK35" s="49" t="s">
        <v>791</v>
      </c>
    </row>
    <row r="36" spans="1:37" x14ac:dyDescent="0.35">
      <c r="A36" s="12" t="s">
        <v>33</v>
      </c>
      <c r="B36" s="12">
        <v>100113370</v>
      </c>
      <c r="C36" s="13" t="s">
        <v>90</v>
      </c>
      <c r="D36" s="13" t="s">
        <v>91</v>
      </c>
      <c r="E36" s="12">
        <v>9700028957</v>
      </c>
      <c r="F36" s="13" t="s">
        <v>101</v>
      </c>
      <c r="G36" s="12" t="s">
        <v>37</v>
      </c>
      <c r="H36" s="14">
        <v>543.89</v>
      </c>
      <c r="I36" s="15">
        <v>45805</v>
      </c>
      <c r="J36" s="12" t="str">
        <f t="shared" ca="1" si="1"/>
        <v>120 +</v>
      </c>
      <c r="K36" s="14">
        <v>543.89</v>
      </c>
      <c r="L36" s="16">
        <v>45775</v>
      </c>
      <c r="M36" s="13" t="s">
        <v>38</v>
      </c>
      <c r="N36" s="13" t="s">
        <v>39</v>
      </c>
      <c r="O36" s="13" t="s">
        <v>40</v>
      </c>
      <c r="P36" s="13"/>
      <c r="Q36" s="13" t="s">
        <v>41</v>
      </c>
      <c r="R36" s="13" t="s">
        <v>42</v>
      </c>
      <c r="S36" s="17">
        <v>0</v>
      </c>
      <c r="T36" s="17">
        <v>0</v>
      </c>
      <c r="U36" s="17">
        <v>0</v>
      </c>
      <c r="V36" s="17">
        <v>0</v>
      </c>
      <c r="W36" s="17">
        <v>0</v>
      </c>
      <c r="X36" s="17">
        <v>1997.44</v>
      </c>
      <c r="Y36" s="17">
        <v>1997.44</v>
      </c>
      <c r="Z36" s="17">
        <v>0</v>
      </c>
      <c r="AA36" s="13" t="s">
        <v>102</v>
      </c>
      <c r="AB36" s="13" t="s">
        <v>44</v>
      </c>
      <c r="AC36" s="13" t="s">
        <v>45</v>
      </c>
      <c r="AD36" s="13" t="s">
        <v>46</v>
      </c>
      <c r="AE36" s="17">
        <v>1997.44</v>
      </c>
      <c r="AF36" s="17">
        <v>476.47</v>
      </c>
      <c r="AG36" s="47" t="s">
        <v>882</v>
      </c>
      <c r="AH36" s="20" t="s">
        <v>791</v>
      </c>
      <c r="AI36" s="19" t="b">
        <v>0</v>
      </c>
      <c r="AJ36" s="18" t="s">
        <v>865</v>
      </c>
      <c r="AK36" s="49" t="s">
        <v>791</v>
      </c>
    </row>
    <row r="37" spans="1:37" x14ac:dyDescent="0.35">
      <c r="A37" s="12" t="s">
        <v>33</v>
      </c>
      <c r="B37" s="12">
        <v>100113370</v>
      </c>
      <c r="C37" s="13" t="s">
        <v>90</v>
      </c>
      <c r="D37" s="13" t="s">
        <v>91</v>
      </c>
      <c r="E37" s="12">
        <v>9700029919</v>
      </c>
      <c r="F37" s="13" t="s">
        <v>103</v>
      </c>
      <c r="G37" s="12" t="s">
        <v>37</v>
      </c>
      <c r="H37" s="14">
        <v>1906.22</v>
      </c>
      <c r="I37" s="15">
        <v>45811</v>
      </c>
      <c r="J37" s="12" t="str">
        <f t="shared" ca="1" si="1"/>
        <v>120 +</v>
      </c>
      <c r="K37" s="14">
        <v>1906.22</v>
      </c>
      <c r="L37" s="16">
        <v>45781</v>
      </c>
      <c r="M37" s="13" t="s">
        <v>38</v>
      </c>
      <c r="N37" s="13" t="s">
        <v>39</v>
      </c>
      <c r="O37" s="13" t="s">
        <v>40</v>
      </c>
      <c r="P37" s="13"/>
      <c r="Q37" s="13" t="s">
        <v>41</v>
      </c>
      <c r="R37" s="13" t="s">
        <v>42</v>
      </c>
      <c r="S37" s="17">
        <v>0</v>
      </c>
      <c r="T37" s="17">
        <v>0</v>
      </c>
      <c r="U37" s="17">
        <v>0</v>
      </c>
      <c r="V37" s="17">
        <v>0</v>
      </c>
      <c r="W37" s="17">
        <v>0</v>
      </c>
      <c r="X37" s="17">
        <v>7000.59</v>
      </c>
      <c r="Y37" s="17">
        <v>7000.59</v>
      </c>
      <c r="Z37" s="17">
        <v>0</v>
      </c>
      <c r="AA37" s="13" t="s">
        <v>93</v>
      </c>
      <c r="AB37" s="13" t="s">
        <v>44</v>
      </c>
      <c r="AC37" s="13" t="s">
        <v>45</v>
      </c>
      <c r="AD37" s="13" t="s">
        <v>46</v>
      </c>
      <c r="AE37" s="17">
        <v>7000.59</v>
      </c>
      <c r="AF37" s="17">
        <v>1676.09</v>
      </c>
      <c r="AG37" s="47" t="s">
        <v>876</v>
      </c>
      <c r="AH37" s="20" t="s">
        <v>791</v>
      </c>
      <c r="AI37" s="19" t="b">
        <v>0</v>
      </c>
      <c r="AJ37" s="18" t="s">
        <v>865</v>
      </c>
      <c r="AK37" s="49" t="s">
        <v>791</v>
      </c>
    </row>
    <row r="38" spans="1:37" x14ac:dyDescent="0.35">
      <c r="A38" s="12" t="s">
        <v>33</v>
      </c>
      <c r="B38" s="12">
        <v>100113370</v>
      </c>
      <c r="C38" s="13" t="s">
        <v>90</v>
      </c>
      <c r="D38" s="13" t="s">
        <v>91</v>
      </c>
      <c r="E38" s="12">
        <v>9700044497</v>
      </c>
      <c r="F38" s="13" t="s">
        <v>104</v>
      </c>
      <c r="G38" s="12" t="s">
        <v>37</v>
      </c>
      <c r="H38" s="14">
        <v>3021.43</v>
      </c>
      <c r="I38" s="15">
        <v>45864</v>
      </c>
      <c r="J38" s="12" t="str">
        <f t="shared" ca="1" si="1"/>
        <v>120 +</v>
      </c>
      <c r="K38" s="14">
        <v>3021.43</v>
      </c>
      <c r="L38" s="16">
        <v>45834</v>
      </c>
      <c r="M38" s="13" t="s">
        <v>38</v>
      </c>
      <c r="N38" s="13" t="s">
        <v>39</v>
      </c>
      <c r="O38" s="13" t="s">
        <v>40</v>
      </c>
      <c r="P38" s="13"/>
      <c r="Q38" s="13" t="s">
        <v>41</v>
      </c>
      <c r="R38" s="13" t="s">
        <v>42</v>
      </c>
      <c r="S38" s="17">
        <v>0</v>
      </c>
      <c r="T38" s="17">
        <v>0</v>
      </c>
      <c r="U38" s="17">
        <v>0</v>
      </c>
      <c r="V38" s="17">
        <v>0</v>
      </c>
      <c r="W38" s="17">
        <v>0</v>
      </c>
      <c r="X38" s="17">
        <v>11096.2</v>
      </c>
      <c r="Y38" s="17">
        <v>11096.2</v>
      </c>
      <c r="Z38" s="17">
        <v>0</v>
      </c>
      <c r="AA38" s="13" t="s">
        <v>93</v>
      </c>
      <c r="AB38" s="13" t="s">
        <v>44</v>
      </c>
      <c r="AC38" s="13" t="s">
        <v>45</v>
      </c>
      <c r="AD38" s="13" t="s">
        <v>46</v>
      </c>
      <c r="AE38" s="17">
        <v>11096.2</v>
      </c>
      <c r="AF38" s="17">
        <v>2603.11</v>
      </c>
      <c r="AG38" s="47" t="s">
        <v>876</v>
      </c>
      <c r="AH38" s="20" t="s">
        <v>791</v>
      </c>
      <c r="AI38" s="19" t="b">
        <v>0</v>
      </c>
      <c r="AJ38" s="18" t="s">
        <v>865</v>
      </c>
      <c r="AK38" s="49" t="s">
        <v>791</v>
      </c>
    </row>
    <row r="39" spans="1:37" x14ac:dyDescent="0.35">
      <c r="A39" s="12" t="s">
        <v>33</v>
      </c>
      <c r="B39" s="12">
        <v>100113370</v>
      </c>
      <c r="C39" s="13" t="s">
        <v>90</v>
      </c>
      <c r="D39" s="13" t="s">
        <v>91</v>
      </c>
      <c r="E39" s="12">
        <v>9700063453</v>
      </c>
      <c r="F39" s="13" t="s">
        <v>105</v>
      </c>
      <c r="G39" s="12" t="s">
        <v>37</v>
      </c>
      <c r="H39" s="14">
        <v>7989.46</v>
      </c>
      <c r="I39" s="15">
        <v>45949</v>
      </c>
      <c r="J39" s="12" t="str">
        <f t="shared" ca="1" si="1"/>
        <v>120 +</v>
      </c>
      <c r="K39" s="14">
        <v>7989.46</v>
      </c>
      <c r="L39" s="16">
        <v>45919</v>
      </c>
      <c r="M39" s="13" t="s">
        <v>38</v>
      </c>
      <c r="N39" s="13" t="s">
        <v>39</v>
      </c>
      <c r="O39" s="13" t="s">
        <v>40</v>
      </c>
      <c r="P39" s="13"/>
      <c r="Q39" s="13" t="s">
        <v>41</v>
      </c>
      <c r="R39" s="13" t="s">
        <v>42</v>
      </c>
      <c r="S39" s="17">
        <v>0</v>
      </c>
      <c r="T39" s="17">
        <v>0</v>
      </c>
      <c r="U39" s="17">
        <v>0</v>
      </c>
      <c r="V39" s="17">
        <v>0</v>
      </c>
      <c r="W39" s="17">
        <v>0</v>
      </c>
      <c r="X39" s="17">
        <v>29341.29</v>
      </c>
      <c r="Y39" s="17">
        <v>29341.29</v>
      </c>
      <c r="Z39" s="17">
        <v>0</v>
      </c>
      <c r="AA39" s="13" t="s">
        <v>93</v>
      </c>
      <c r="AB39" s="13" t="s">
        <v>44</v>
      </c>
      <c r="AC39" s="13" t="s">
        <v>45</v>
      </c>
      <c r="AD39" s="13" t="s">
        <v>46</v>
      </c>
      <c r="AE39" s="17">
        <v>29341.29</v>
      </c>
      <c r="AF39" s="17">
        <v>6818.11</v>
      </c>
      <c r="AG39" s="47" t="s">
        <v>876</v>
      </c>
      <c r="AH39" s="20" t="s">
        <v>791</v>
      </c>
      <c r="AI39" s="19" t="b">
        <v>0</v>
      </c>
      <c r="AJ39" s="18" t="s">
        <v>865</v>
      </c>
      <c r="AK39" s="49" t="s">
        <v>791</v>
      </c>
    </row>
    <row r="40" spans="1:37" x14ac:dyDescent="0.35">
      <c r="A40" s="12" t="s">
        <v>33</v>
      </c>
      <c r="B40" s="12">
        <v>100113370</v>
      </c>
      <c r="C40" s="13" t="s">
        <v>90</v>
      </c>
      <c r="D40" s="13" t="s">
        <v>91</v>
      </c>
      <c r="E40" s="12">
        <v>9700065542</v>
      </c>
      <c r="F40" s="13" t="s">
        <v>106</v>
      </c>
      <c r="G40" s="12" t="s">
        <v>37</v>
      </c>
      <c r="H40" s="14">
        <v>2507.0500000000002</v>
      </c>
      <c r="I40" s="15">
        <v>45954</v>
      </c>
      <c r="J40" s="12" t="str">
        <f t="shared" ca="1" si="1"/>
        <v>120 +</v>
      </c>
      <c r="K40" s="14">
        <v>2507.0500000000002</v>
      </c>
      <c r="L40" s="16">
        <v>45924</v>
      </c>
      <c r="M40" s="13" t="s">
        <v>38</v>
      </c>
      <c r="N40" s="13" t="s">
        <v>39</v>
      </c>
      <c r="O40" s="13" t="s">
        <v>40</v>
      </c>
      <c r="P40" s="13"/>
      <c r="Q40" s="13" t="s">
        <v>41</v>
      </c>
      <c r="R40" s="13" t="s">
        <v>42</v>
      </c>
      <c r="S40" s="17">
        <v>0</v>
      </c>
      <c r="T40" s="17">
        <v>0</v>
      </c>
      <c r="U40" s="17">
        <v>0</v>
      </c>
      <c r="V40" s="17">
        <v>0</v>
      </c>
      <c r="W40" s="17">
        <v>0</v>
      </c>
      <c r="X40" s="17">
        <v>9207.14</v>
      </c>
      <c r="Y40" s="17">
        <v>9207.14</v>
      </c>
      <c r="Z40" s="17">
        <v>0</v>
      </c>
      <c r="AA40" s="13" t="s">
        <v>93</v>
      </c>
      <c r="AB40" s="13" t="s">
        <v>44</v>
      </c>
      <c r="AC40" s="13" t="s">
        <v>45</v>
      </c>
      <c r="AD40" s="13" t="s">
        <v>46</v>
      </c>
      <c r="AE40" s="17">
        <v>9207.14</v>
      </c>
      <c r="AF40" s="17">
        <v>2136.1999999999998</v>
      </c>
      <c r="AG40" s="47" t="s">
        <v>876</v>
      </c>
      <c r="AH40" s="20" t="s">
        <v>791</v>
      </c>
      <c r="AI40" s="19" t="b">
        <v>0</v>
      </c>
      <c r="AJ40" s="18" t="s">
        <v>865</v>
      </c>
      <c r="AK40" s="49" t="s">
        <v>791</v>
      </c>
    </row>
    <row r="41" spans="1:37" x14ac:dyDescent="0.35">
      <c r="A41" s="12" t="s">
        <v>33</v>
      </c>
      <c r="B41" s="12">
        <v>100113370</v>
      </c>
      <c r="C41" s="13" t="s">
        <v>90</v>
      </c>
      <c r="D41" s="13" t="s">
        <v>91</v>
      </c>
      <c r="E41" s="12">
        <v>9700069498</v>
      </c>
      <c r="F41" s="13" t="s">
        <v>107</v>
      </c>
      <c r="G41" s="12" t="s">
        <v>37</v>
      </c>
      <c r="H41" s="14">
        <v>2532.5100000000002</v>
      </c>
      <c r="I41" s="15">
        <v>45970</v>
      </c>
      <c r="J41" s="12" t="str">
        <f t="shared" ca="1" si="1"/>
        <v>120 +</v>
      </c>
      <c r="K41" s="14">
        <v>2532.5100000000002</v>
      </c>
      <c r="L41" s="16">
        <v>45940</v>
      </c>
      <c r="M41" s="13" t="s">
        <v>38</v>
      </c>
      <c r="N41" s="13" t="s">
        <v>39</v>
      </c>
      <c r="O41" s="13" t="s">
        <v>40</v>
      </c>
      <c r="P41" s="13"/>
      <c r="Q41" s="13" t="s">
        <v>41</v>
      </c>
      <c r="R41" s="13" t="s">
        <v>42</v>
      </c>
      <c r="S41" s="17">
        <v>0</v>
      </c>
      <c r="T41" s="17">
        <v>0</v>
      </c>
      <c r="U41" s="17">
        <v>0</v>
      </c>
      <c r="V41" s="17">
        <v>0</v>
      </c>
      <c r="W41" s="17">
        <v>0</v>
      </c>
      <c r="X41" s="17">
        <v>9300.64</v>
      </c>
      <c r="Y41" s="17">
        <v>9300.64</v>
      </c>
      <c r="Z41" s="17">
        <v>0</v>
      </c>
      <c r="AA41" s="13" t="s">
        <v>93</v>
      </c>
      <c r="AB41" s="13" t="s">
        <v>44</v>
      </c>
      <c r="AC41" s="13" t="s">
        <v>45</v>
      </c>
      <c r="AD41" s="13" t="s">
        <v>46</v>
      </c>
      <c r="AE41" s="17">
        <v>9300.64</v>
      </c>
      <c r="AF41" s="17">
        <v>2170.85</v>
      </c>
      <c r="AG41" s="47" t="s">
        <v>876</v>
      </c>
      <c r="AH41" s="20" t="s">
        <v>791</v>
      </c>
      <c r="AI41" s="19" t="b">
        <v>0</v>
      </c>
      <c r="AJ41" s="18" t="s">
        <v>865</v>
      </c>
      <c r="AK41" s="49" t="s">
        <v>791</v>
      </c>
    </row>
    <row r="42" spans="1:37" x14ac:dyDescent="0.35">
      <c r="A42" s="12" t="s">
        <v>33</v>
      </c>
      <c r="B42" s="12">
        <v>100113370</v>
      </c>
      <c r="C42" s="13" t="s">
        <v>90</v>
      </c>
      <c r="D42" s="13" t="s">
        <v>91</v>
      </c>
      <c r="E42" s="12">
        <v>9700081327</v>
      </c>
      <c r="F42" s="13" t="s">
        <v>108</v>
      </c>
      <c r="G42" s="12" t="s">
        <v>37</v>
      </c>
      <c r="H42" s="14">
        <v>2491.38</v>
      </c>
      <c r="I42" s="15">
        <v>46011</v>
      </c>
      <c r="J42" s="12" t="str">
        <f t="shared" ca="1" si="1"/>
        <v>120 +</v>
      </c>
      <c r="K42" s="14">
        <v>2491.38</v>
      </c>
      <c r="L42" s="16">
        <v>45981</v>
      </c>
      <c r="M42" s="13" t="s">
        <v>38</v>
      </c>
      <c r="N42" s="13" t="s">
        <v>39</v>
      </c>
      <c r="O42" s="13" t="s">
        <v>40</v>
      </c>
      <c r="P42" s="13"/>
      <c r="Q42" s="13" t="s">
        <v>41</v>
      </c>
      <c r="R42" s="13" t="s">
        <v>42</v>
      </c>
      <c r="S42" s="17">
        <v>0</v>
      </c>
      <c r="T42" s="17">
        <v>0</v>
      </c>
      <c r="U42" s="17">
        <v>0</v>
      </c>
      <c r="V42" s="17">
        <v>0</v>
      </c>
      <c r="W42" s="17">
        <v>9149.59</v>
      </c>
      <c r="X42" s="17">
        <v>0</v>
      </c>
      <c r="Y42" s="17">
        <v>9149.59</v>
      </c>
      <c r="Z42" s="17">
        <v>0</v>
      </c>
      <c r="AA42" s="13" t="s">
        <v>93</v>
      </c>
      <c r="AB42" s="13" t="s">
        <v>44</v>
      </c>
      <c r="AC42" s="13" t="s">
        <v>45</v>
      </c>
      <c r="AD42" s="13" t="s">
        <v>46</v>
      </c>
      <c r="AE42" s="17">
        <v>9149.59</v>
      </c>
      <c r="AF42" s="17">
        <v>2149.04</v>
      </c>
      <c r="AG42" s="47" t="s">
        <v>876</v>
      </c>
      <c r="AH42" s="20" t="s">
        <v>791</v>
      </c>
      <c r="AI42" s="19" t="b">
        <v>0</v>
      </c>
      <c r="AJ42" s="18" t="s">
        <v>865</v>
      </c>
      <c r="AK42" s="49" t="s">
        <v>791</v>
      </c>
    </row>
    <row r="43" spans="1:37" ht="16.5" x14ac:dyDescent="0.4">
      <c r="A43" s="3"/>
      <c r="B43" s="3"/>
      <c r="C43" s="4"/>
      <c r="D43" s="4" t="s">
        <v>91</v>
      </c>
      <c r="E43" s="3"/>
      <c r="F43" s="4"/>
      <c r="G43" s="4"/>
      <c r="H43" s="43">
        <f>SUM(H31:H42)</f>
        <v>32558.679999999997</v>
      </c>
      <c r="I43" s="5"/>
      <c r="J43" s="45" t="str">
        <f t="shared" ca="1" si="1"/>
        <v/>
      </c>
      <c r="K43" s="43">
        <f>SUM(K31:K42)</f>
        <v>32558.679999999997</v>
      </c>
      <c r="L43" s="9"/>
      <c r="M43" s="4"/>
      <c r="N43" s="4"/>
      <c r="O43" s="4"/>
      <c r="P43" s="4"/>
      <c r="Q43" s="4"/>
      <c r="R43" s="4" t="s">
        <v>42</v>
      </c>
      <c r="S43" s="6">
        <v>9165.61</v>
      </c>
      <c r="T43" s="6">
        <v>0</v>
      </c>
      <c r="U43" s="6">
        <v>17787.02</v>
      </c>
      <c r="V43" s="6">
        <v>0</v>
      </c>
      <c r="W43" s="6">
        <v>9149.59</v>
      </c>
      <c r="X43" s="7"/>
      <c r="Y43" s="7"/>
      <c r="Z43" s="6">
        <v>0</v>
      </c>
      <c r="AA43" s="4"/>
      <c r="AB43" s="4"/>
      <c r="AC43" s="4"/>
      <c r="AD43" s="4"/>
      <c r="AE43" s="6">
        <v>119571.75</v>
      </c>
      <c r="AF43" s="6">
        <v>28064.7</v>
      </c>
      <c r="AG43" s="48"/>
      <c r="AH43" s="44" cm="1">
        <f t="array" ref="AH43">IFERROR(SUMPRODUCT(AF31:AF42*--(((AI31:AI42=TRUE)+(AI31:AI42=1))&gt;0)),0)</f>
        <v>0</v>
      </c>
      <c r="AI43" s="54">
        <f>SUMIF(AI31:AI42,TRUE,H31:H42)/H43</f>
        <v>0</v>
      </c>
      <c r="AJ43" s="6"/>
      <c r="AK43" s="50"/>
    </row>
    <row r="44" spans="1:37" x14ac:dyDescent="0.35">
      <c r="A44" s="12" t="s">
        <v>33</v>
      </c>
      <c r="B44" s="12">
        <v>100114715</v>
      </c>
      <c r="C44" s="13" t="s">
        <v>109</v>
      </c>
      <c r="D44" s="13" t="s">
        <v>110</v>
      </c>
      <c r="E44" s="12">
        <v>9700003162</v>
      </c>
      <c r="F44" s="13" t="s">
        <v>111</v>
      </c>
      <c r="G44" s="12" t="s">
        <v>37</v>
      </c>
      <c r="H44" s="14">
        <v>2342.4699999999998</v>
      </c>
      <c r="I44" s="15">
        <v>46067</v>
      </c>
      <c r="J44" s="12" t="str">
        <f t="shared" ca="1" si="1"/>
        <v>61-90</v>
      </c>
      <c r="K44" s="14">
        <v>2342.4699999999998</v>
      </c>
      <c r="L44" s="16">
        <v>46037</v>
      </c>
      <c r="M44" s="13" t="s">
        <v>38</v>
      </c>
      <c r="N44" s="13" t="s">
        <v>39</v>
      </c>
      <c r="O44" s="13" t="s">
        <v>40</v>
      </c>
      <c r="P44" s="13"/>
      <c r="Q44" s="13" t="s">
        <v>41</v>
      </c>
      <c r="R44" s="13" t="s">
        <v>42</v>
      </c>
      <c r="S44" s="17">
        <v>0</v>
      </c>
      <c r="T44" s="17">
        <v>0</v>
      </c>
      <c r="U44" s="17">
        <v>8602.7199999999993</v>
      </c>
      <c r="V44" s="17">
        <v>0</v>
      </c>
      <c r="W44" s="17">
        <v>0</v>
      </c>
      <c r="X44" s="17">
        <v>0</v>
      </c>
      <c r="Y44" s="17">
        <v>8602.7199999999993</v>
      </c>
      <c r="Z44" s="17">
        <v>0</v>
      </c>
      <c r="AA44" s="13" t="s">
        <v>112</v>
      </c>
      <c r="AB44" s="13" t="s">
        <v>44</v>
      </c>
      <c r="AC44" s="13" t="s">
        <v>45</v>
      </c>
      <c r="AD44" s="13" t="s">
        <v>46</v>
      </c>
      <c r="AE44" s="17">
        <v>8602.7199999999993</v>
      </c>
      <c r="AF44" s="17">
        <v>2010.01</v>
      </c>
      <c r="AG44" s="47" t="s">
        <v>876</v>
      </c>
      <c r="AH44" s="20" t="s">
        <v>792</v>
      </c>
      <c r="AI44" s="19" t="b">
        <v>0</v>
      </c>
      <c r="AJ44" s="18" t="s">
        <v>872</v>
      </c>
      <c r="AK44" s="49" t="s">
        <v>1272</v>
      </c>
    </row>
    <row r="45" spans="1:37" x14ac:dyDescent="0.35">
      <c r="A45" s="12" t="s">
        <v>33</v>
      </c>
      <c r="B45" s="12">
        <v>100114715</v>
      </c>
      <c r="C45" s="13" t="s">
        <v>109</v>
      </c>
      <c r="D45" s="13" t="s">
        <v>110</v>
      </c>
      <c r="E45" s="12">
        <v>9700005199</v>
      </c>
      <c r="F45" s="13" t="s">
        <v>113</v>
      </c>
      <c r="G45" s="12" t="s">
        <v>37</v>
      </c>
      <c r="H45" s="14">
        <v>2390.75</v>
      </c>
      <c r="I45" s="15">
        <v>46075</v>
      </c>
      <c r="J45" s="12" t="str">
        <f t="shared" ca="1" si="1"/>
        <v>61-90</v>
      </c>
      <c r="K45" s="14">
        <v>2390.75</v>
      </c>
      <c r="L45" s="16">
        <v>46045</v>
      </c>
      <c r="M45" s="13" t="s">
        <v>38</v>
      </c>
      <c r="N45" s="13" t="s">
        <v>39</v>
      </c>
      <c r="O45" s="13" t="s">
        <v>40</v>
      </c>
      <c r="P45" s="13"/>
      <c r="Q45" s="13" t="s">
        <v>41</v>
      </c>
      <c r="R45" s="13" t="s">
        <v>42</v>
      </c>
      <c r="S45" s="17">
        <v>0</v>
      </c>
      <c r="T45" s="17">
        <v>0</v>
      </c>
      <c r="U45" s="17">
        <v>8780.0300000000007</v>
      </c>
      <c r="V45" s="17">
        <v>0</v>
      </c>
      <c r="W45" s="17">
        <v>0</v>
      </c>
      <c r="X45" s="17">
        <v>0</v>
      </c>
      <c r="Y45" s="17">
        <v>8780.0300000000007</v>
      </c>
      <c r="Z45" s="17">
        <v>0</v>
      </c>
      <c r="AA45" s="13" t="s">
        <v>112</v>
      </c>
      <c r="AB45" s="13" t="s">
        <v>44</v>
      </c>
      <c r="AC45" s="13" t="s">
        <v>45</v>
      </c>
      <c r="AD45" s="13" t="s">
        <v>46</v>
      </c>
      <c r="AE45" s="17">
        <v>8780.0300000000007</v>
      </c>
      <c r="AF45" s="17">
        <v>2055.5</v>
      </c>
      <c r="AG45" s="47" t="s">
        <v>876</v>
      </c>
      <c r="AH45" s="20" t="s">
        <v>792</v>
      </c>
      <c r="AI45" s="19" t="b">
        <v>0</v>
      </c>
      <c r="AJ45" s="18" t="s">
        <v>872</v>
      </c>
      <c r="AK45" s="49" t="s">
        <v>1272</v>
      </c>
    </row>
    <row r="46" spans="1:37" x14ac:dyDescent="0.35">
      <c r="A46" s="12" t="s">
        <v>33</v>
      </c>
      <c r="B46" s="12">
        <v>100114715</v>
      </c>
      <c r="C46" s="13" t="s">
        <v>109</v>
      </c>
      <c r="D46" s="13" t="s">
        <v>110</v>
      </c>
      <c r="E46" s="12">
        <v>9700018674</v>
      </c>
      <c r="F46" s="13" t="s">
        <v>114</v>
      </c>
      <c r="G46" s="12" t="s">
        <v>37</v>
      </c>
      <c r="H46" s="14">
        <v>1867.01</v>
      </c>
      <c r="I46" s="15">
        <v>46115</v>
      </c>
      <c r="J46" s="12" t="str">
        <f t="shared" ca="1" si="1"/>
        <v>0-30</v>
      </c>
      <c r="K46" s="14">
        <v>1867.01</v>
      </c>
      <c r="L46" s="16">
        <v>46085</v>
      </c>
      <c r="M46" s="13" t="s">
        <v>38</v>
      </c>
      <c r="N46" s="13" t="s">
        <v>39</v>
      </c>
      <c r="O46" s="13" t="s">
        <v>40</v>
      </c>
      <c r="P46" s="13"/>
      <c r="Q46" s="13" t="s">
        <v>41</v>
      </c>
      <c r="R46" s="13" t="s">
        <v>42</v>
      </c>
      <c r="S46" s="17">
        <v>6856.59</v>
      </c>
      <c r="T46" s="17">
        <v>0</v>
      </c>
      <c r="U46" s="17">
        <v>0</v>
      </c>
      <c r="V46" s="17">
        <v>0</v>
      </c>
      <c r="W46" s="17">
        <v>0</v>
      </c>
      <c r="X46" s="17">
        <v>0</v>
      </c>
      <c r="Y46" s="17">
        <v>0</v>
      </c>
      <c r="Z46" s="17">
        <v>0</v>
      </c>
      <c r="AA46" s="13" t="s">
        <v>115</v>
      </c>
      <c r="AB46" s="13" t="s">
        <v>44</v>
      </c>
      <c r="AC46" s="13" t="s">
        <v>45</v>
      </c>
      <c r="AD46" s="13" t="s">
        <v>46</v>
      </c>
      <c r="AE46" s="17">
        <v>6856.59</v>
      </c>
      <c r="AF46" s="17">
        <v>1581.54</v>
      </c>
      <c r="AG46" s="47" t="s">
        <v>884</v>
      </c>
      <c r="AH46" s="20" t="e">
        <v>#N/A</v>
      </c>
      <c r="AI46" s="19" t="b">
        <v>0</v>
      </c>
      <c r="AJ46" s="18" t="s">
        <v>872</v>
      </c>
      <c r="AK46" s="49" t="s">
        <v>1272</v>
      </c>
    </row>
    <row r="47" spans="1:37" x14ac:dyDescent="0.35">
      <c r="A47" s="12" t="s">
        <v>33</v>
      </c>
      <c r="B47" s="12">
        <v>100114715</v>
      </c>
      <c r="C47" s="13" t="s">
        <v>109</v>
      </c>
      <c r="D47" s="13" t="s">
        <v>110</v>
      </c>
      <c r="E47" s="12">
        <v>9700025711</v>
      </c>
      <c r="F47" s="13" t="s">
        <v>116</v>
      </c>
      <c r="G47" s="12" t="s">
        <v>37</v>
      </c>
      <c r="H47" s="14">
        <v>1426.18</v>
      </c>
      <c r="I47" s="15">
        <v>46141</v>
      </c>
      <c r="J47" s="12" t="str">
        <f t="shared" ca="1" si="1"/>
        <v>Current</v>
      </c>
      <c r="K47" s="14">
        <v>1426.18</v>
      </c>
      <c r="L47" s="16">
        <v>46111</v>
      </c>
      <c r="M47" s="13" t="s">
        <v>38</v>
      </c>
      <c r="N47" s="13" t="s">
        <v>39</v>
      </c>
      <c r="O47" s="13" t="s">
        <v>40</v>
      </c>
      <c r="P47" s="13"/>
      <c r="Q47" s="13" t="s">
        <v>41</v>
      </c>
      <c r="R47" s="13" t="s">
        <v>42</v>
      </c>
      <c r="S47" s="17">
        <v>5237.6499999999996</v>
      </c>
      <c r="T47" s="17">
        <v>0</v>
      </c>
      <c r="U47" s="17">
        <v>0</v>
      </c>
      <c r="V47" s="17">
        <v>0</v>
      </c>
      <c r="W47" s="17">
        <v>0</v>
      </c>
      <c r="X47" s="17">
        <v>0</v>
      </c>
      <c r="Y47" s="17">
        <v>0</v>
      </c>
      <c r="Z47" s="17">
        <v>0</v>
      </c>
      <c r="AA47" s="13" t="s">
        <v>115</v>
      </c>
      <c r="AB47" s="13" t="s">
        <v>44</v>
      </c>
      <c r="AC47" s="13" t="s">
        <v>45</v>
      </c>
      <c r="AD47" s="13" t="s">
        <v>46</v>
      </c>
      <c r="AE47" s="17">
        <v>5237.6499999999996</v>
      </c>
      <c r="AF47" s="17">
        <v>1232.44</v>
      </c>
      <c r="AG47" s="47" t="s">
        <v>884</v>
      </c>
      <c r="AH47" s="20" t="e">
        <v>#N/A</v>
      </c>
      <c r="AI47" s="19" t="b">
        <v>0</v>
      </c>
      <c r="AJ47" s="18" t="s">
        <v>872</v>
      </c>
      <c r="AK47" s="49" t="s">
        <v>1272</v>
      </c>
    </row>
    <row r="48" spans="1:37" x14ac:dyDescent="0.35">
      <c r="A48" s="12" t="s">
        <v>33</v>
      </c>
      <c r="B48" s="12">
        <v>100114715</v>
      </c>
      <c r="C48" s="13" t="s">
        <v>109</v>
      </c>
      <c r="D48" s="13" t="s">
        <v>110</v>
      </c>
      <c r="E48" s="12">
        <v>9700033631</v>
      </c>
      <c r="F48" s="13" t="s">
        <v>117</v>
      </c>
      <c r="G48" s="12" t="s">
        <v>37</v>
      </c>
      <c r="H48" s="14">
        <v>6213.11</v>
      </c>
      <c r="I48" s="15">
        <v>45823</v>
      </c>
      <c r="J48" s="12" t="str">
        <f t="shared" ca="1" si="1"/>
        <v>120 +</v>
      </c>
      <c r="K48" s="14">
        <v>6213.11</v>
      </c>
      <c r="L48" s="16">
        <v>45793</v>
      </c>
      <c r="M48" s="13" t="s">
        <v>38</v>
      </c>
      <c r="N48" s="13" t="s">
        <v>39</v>
      </c>
      <c r="O48" s="13" t="s">
        <v>40</v>
      </c>
      <c r="P48" s="13"/>
      <c r="Q48" s="13" t="s">
        <v>41</v>
      </c>
      <c r="R48" s="13" t="s">
        <v>42</v>
      </c>
      <c r="S48" s="17">
        <v>0</v>
      </c>
      <c r="T48" s="17">
        <v>0</v>
      </c>
      <c r="U48" s="17">
        <v>0</v>
      </c>
      <c r="V48" s="17">
        <v>0</v>
      </c>
      <c r="W48" s="17">
        <v>0</v>
      </c>
      <c r="X48" s="17">
        <v>22817.65</v>
      </c>
      <c r="Y48" s="17">
        <v>22817.65</v>
      </c>
      <c r="Z48" s="17">
        <v>0</v>
      </c>
      <c r="AA48" s="13" t="s">
        <v>118</v>
      </c>
      <c r="AB48" s="13" t="s">
        <v>44</v>
      </c>
      <c r="AC48" s="13" t="s">
        <v>45</v>
      </c>
      <c r="AD48" s="13" t="s">
        <v>46</v>
      </c>
      <c r="AE48" s="17">
        <v>22817.65</v>
      </c>
      <c r="AF48" s="17">
        <v>5540.49</v>
      </c>
      <c r="AG48" s="47" t="s">
        <v>883</v>
      </c>
      <c r="AH48" s="20" t="s">
        <v>792</v>
      </c>
      <c r="AI48" s="19" t="b">
        <v>0</v>
      </c>
      <c r="AJ48" s="18" t="s">
        <v>872</v>
      </c>
      <c r="AK48" s="49" t="s">
        <v>1272</v>
      </c>
    </row>
    <row r="49" spans="1:37" x14ac:dyDescent="0.35">
      <c r="A49" s="12" t="s">
        <v>33</v>
      </c>
      <c r="B49" s="12">
        <v>100114715</v>
      </c>
      <c r="C49" s="13" t="s">
        <v>109</v>
      </c>
      <c r="D49" s="13" t="s">
        <v>110</v>
      </c>
      <c r="E49" s="12">
        <v>9700033632</v>
      </c>
      <c r="F49" s="13" t="s">
        <v>119</v>
      </c>
      <c r="G49" s="12" t="s">
        <v>37</v>
      </c>
      <c r="H49" s="14">
        <v>2939.58</v>
      </c>
      <c r="I49" s="15">
        <v>45823</v>
      </c>
      <c r="J49" s="12" t="str">
        <f t="shared" ca="1" si="1"/>
        <v>120 +</v>
      </c>
      <c r="K49" s="14">
        <v>2939.58</v>
      </c>
      <c r="L49" s="16">
        <v>45793</v>
      </c>
      <c r="M49" s="13" t="s">
        <v>38</v>
      </c>
      <c r="N49" s="13" t="s">
        <v>39</v>
      </c>
      <c r="O49" s="13" t="s">
        <v>40</v>
      </c>
      <c r="P49" s="13"/>
      <c r="Q49" s="13" t="s">
        <v>41</v>
      </c>
      <c r="R49" s="13" t="s">
        <v>42</v>
      </c>
      <c r="S49" s="17">
        <v>0</v>
      </c>
      <c r="T49" s="17">
        <v>0</v>
      </c>
      <c r="U49" s="17">
        <v>0</v>
      </c>
      <c r="V49" s="17">
        <v>0</v>
      </c>
      <c r="W49" s="17">
        <v>0</v>
      </c>
      <c r="X49" s="17">
        <v>10795.61</v>
      </c>
      <c r="Y49" s="17">
        <v>10795.61</v>
      </c>
      <c r="Z49" s="17">
        <v>0</v>
      </c>
      <c r="AA49" s="13" t="s">
        <v>120</v>
      </c>
      <c r="AB49" s="13" t="s">
        <v>44</v>
      </c>
      <c r="AC49" s="13" t="s">
        <v>45</v>
      </c>
      <c r="AD49" s="13" t="s">
        <v>46</v>
      </c>
      <c r="AE49" s="17">
        <v>10795.61</v>
      </c>
      <c r="AF49" s="17">
        <v>2621.35</v>
      </c>
      <c r="AG49" s="47" t="s">
        <v>882</v>
      </c>
      <c r="AH49" s="20" t="s">
        <v>792</v>
      </c>
      <c r="AI49" s="19" t="b">
        <v>0</v>
      </c>
      <c r="AJ49" s="18" t="s">
        <v>872</v>
      </c>
      <c r="AK49" s="49" t="s">
        <v>1272</v>
      </c>
    </row>
    <row r="50" spans="1:37" x14ac:dyDescent="0.35">
      <c r="A50" s="12" t="s">
        <v>33</v>
      </c>
      <c r="B50" s="12">
        <v>100114715</v>
      </c>
      <c r="C50" s="13" t="s">
        <v>109</v>
      </c>
      <c r="D50" s="13" t="s">
        <v>110</v>
      </c>
      <c r="E50" s="12">
        <v>9700033633</v>
      </c>
      <c r="F50" s="13" t="s">
        <v>121</v>
      </c>
      <c r="G50" s="12" t="s">
        <v>37</v>
      </c>
      <c r="H50" s="14">
        <v>2807.12</v>
      </c>
      <c r="I50" s="15">
        <v>45823</v>
      </c>
      <c r="J50" s="12" t="str">
        <f t="shared" ca="1" si="1"/>
        <v>120 +</v>
      </c>
      <c r="K50" s="14">
        <v>2807.12</v>
      </c>
      <c r="L50" s="16">
        <v>45793</v>
      </c>
      <c r="M50" s="13" t="s">
        <v>38</v>
      </c>
      <c r="N50" s="13" t="s">
        <v>39</v>
      </c>
      <c r="O50" s="13" t="s">
        <v>40</v>
      </c>
      <c r="P50" s="13"/>
      <c r="Q50" s="13" t="s">
        <v>41</v>
      </c>
      <c r="R50" s="13" t="s">
        <v>42</v>
      </c>
      <c r="S50" s="17">
        <v>0</v>
      </c>
      <c r="T50" s="17">
        <v>0</v>
      </c>
      <c r="U50" s="17">
        <v>0</v>
      </c>
      <c r="V50" s="17">
        <v>0</v>
      </c>
      <c r="W50" s="17">
        <v>0</v>
      </c>
      <c r="X50" s="17">
        <v>10309.15</v>
      </c>
      <c r="Y50" s="17">
        <v>10309.15</v>
      </c>
      <c r="Z50" s="17">
        <v>0</v>
      </c>
      <c r="AA50" s="13" t="s">
        <v>112</v>
      </c>
      <c r="AB50" s="13" t="s">
        <v>44</v>
      </c>
      <c r="AC50" s="13" t="s">
        <v>45</v>
      </c>
      <c r="AD50" s="13" t="s">
        <v>46</v>
      </c>
      <c r="AE50" s="17">
        <v>10309.15</v>
      </c>
      <c r="AF50" s="17">
        <v>2503.23</v>
      </c>
      <c r="AG50" s="47" t="s">
        <v>876</v>
      </c>
      <c r="AH50" s="20" t="s">
        <v>792</v>
      </c>
      <c r="AI50" s="19" t="b">
        <v>0</v>
      </c>
      <c r="AJ50" s="18" t="s">
        <v>872</v>
      </c>
      <c r="AK50" s="49" t="s">
        <v>1272</v>
      </c>
    </row>
    <row r="51" spans="1:37" x14ac:dyDescent="0.35">
      <c r="A51" s="12" t="s">
        <v>33</v>
      </c>
      <c r="B51" s="12">
        <v>100114715</v>
      </c>
      <c r="C51" s="13" t="s">
        <v>109</v>
      </c>
      <c r="D51" s="13" t="s">
        <v>110</v>
      </c>
      <c r="E51" s="12">
        <v>9700034386</v>
      </c>
      <c r="F51" s="13" t="s">
        <v>122</v>
      </c>
      <c r="G51" s="12" t="s">
        <v>37</v>
      </c>
      <c r="H51" s="14">
        <v>1170.43</v>
      </c>
      <c r="I51" s="15">
        <v>45827</v>
      </c>
      <c r="J51" s="12" t="str">
        <f t="shared" ca="1" si="1"/>
        <v>120 +</v>
      </c>
      <c r="K51" s="14">
        <v>1170.43</v>
      </c>
      <c r="L51" s="16">
        <v>45797</v>
      </c>
      <c r="M51" s="13" t="s">
        <v>38</v>
      </c>
      <c r="N51" s="13" t="s">
        <v>39</v>
      </c>
      <c r="O51" s="13" t="s">
        <v>40</v>
      </c>
      <c r="P51" s="13"/>
      <c r="Q51" s="13" t="s">
        <v>41</v>
      </c>
      <c r="R51" s="13" t="s">
        <v>42</v>
      </c>
      <c r="S51" s="17">
        <v>0</v>
      </c>
      <c r="T51" s="17">
        <v>0</v>
      </c>
      <c r="U51" s="17">
        <v>0</v>
      </c>
      <c r="V51" s="17">
        <v>0</v>
      </c>
      <c r="W51" s="17">
        <v>0</v>
      </c>
      <c r="X51" s="17">
        <v>4298.3999999999996</v>
      </c>
      <c r="Y51" s="17">
        <v>4298.3999999999996</v>
      </c>
      <c r="Z51" s="17">
        <v>0</v>
      </c>
      <c r="AA51" s="13" t="s">
        <v>112</v>
      </c>
      <c r="AB51" s="13" t="s">
        <v>44</v>
      </c>
      <c r="AC51" s="13" t="s">
        <v>45</v>
      </c>
      <c r="AD51" s="13" t="s">
        <v>46</v>
      </c>
      <c r="AE51" s="17">
        <v>4298.3999999999996</v>
      </c>
      <c r="AF51" s="17">
        <v>1046.43</v>
      </c>
      <c r="AG51" s="47" t="s">
        <v>876</v>
      </c>
      <c r="AH51" s="20" t="s">
        <v>792</v>
      </c>
      <c r="AI51" s="19" t="b">
        <v>0</v>
      </c>
      <c r="AJ51" s="18" t="s">
        <v>872</v>
      </c>
      <c r="AK51" s="49" t="s">
        <v>1272</v>
      </c>
    </row>
    <row r="52" spans="1:37" x14ac:dyDescent="0.35">
      <c r="A52" s="12" t="s">
        <v>33</v>
      </c>
      <c r="B52" s="12">
        <v>100114715</v>
      </c>
      <c r="C52" s="13" t="s">
        <v>109</v>
      </c>
      <c r="D52" s="13" t="s">
        <v>110</v>
      </c>
      <c r="E52" s="12">
        <v>9700034725</v>
      </c>
      <c r="F52" s="13" t="s">
        <v>123</v>
      </c>
      <c r="G52" s="12" t="s">
        <v>37</v>
      </c>
      <c r="H52" s="14">
        <v>1883.32</v>
      </c>
      <c r="I52" s="15">
        <v>45828</v>
      </c>
      <c r="J52" s="12" t="str">
        <f t="shared" ca="1" si="1"/>
        <v>120 +</v>
      </c>
      <c r="K52" s="14">
        <v>1883.32</v>
      </c>
      <c r="L52" s="16">
        <v>45798</v>
      </c>
      <c r="M52" s="13" t="s">
        <v>38</v>
      </c>
      <c r="N52" s="13" t="s">
        <v>39</v>
      </c>
      <c r="O52" s="13" t="s">
        <v>40</v>
      </c>
      <c r="P52" s="13"/>
      <c r="Q52" s="13" t="s">
        <v>41</v>
      </c>
      <c r="R52" s="13" t="s">
        <v>42</v>
      </c>
      <c r="S52" s="17">
        <v>0</v>
      </c>
      <c r="T52" s="17">
        <v>0</v>
      </c>
      <c r="U52" s="17">
        <v>0</v>
      </c>
      <c r="V52" s="17">
        <v>0</v>
      </c>
      <c r="W52" s="17">
        <v>0</v>
      </c>
      <c r="X52" s="17">
        <v>6916.49</v>
      </c>
      <c r="Y52" s="17">
        <v>6916.49</v>
      </c>
      <c r="Z52" s="17">
        <v>0</v>
      </c>
      <c r="AA52" s="13" t="s">
        <v>112</v>
      </c>
      <c r="AB52" s="13" t="s">
        <v>44</v>
      </c>
      <c r="AC52" s="13" t="s">
        <v>45</v>
      </c>
      <c r="AD52" s="13" t="s">
        <v>46</v>
      </c>
      <c r="AE52" s="17">
        <v>6916.49</v>
      </c>
      <c r="AF52" s="17">
        <v>1682.44</v>
      </c>
      <c r="AG52" s="47" t="s">
        <v>876</v>
      </c>
      <c r="AH52" s="20" t="s">
        <v>792</v>
      </c>
      <c r="AI52" s="19" t="b">
        <v>0</v>
      </c>
      <c r="AJ52" s="18" t="s">
        <v>872</v>
      </c>
      <c r="AK52" s="49" t="s">
        <v>1272</v>
      </c>
    </row>
    <row r="53" spans="1:37" x14ac:dyDescent="0.35">
      <c r="A53" s="12" t="s">
        <v>33</v>
      </c>
      <c r="B53" s="12">
        <v>100114715</v>
      </c>
      <c r="C53" s="13" t="s">
        <v>109</v>
      </c>
      <c r="D53" s="13" t="s">
        <v>110</v>
      </c>
      <c r="E53" s="12">
        <v>9700041216</v>
      </c>
      <c r="F53" s="13" t="s">
        <v>124</v>
      </c>
      <c r="G53" s="12" t="s">
        <v>37</v>
      </c>
      <c r="H53" s="14">
        <v>2124.85</v>
      </c>
      <c r="I53" s="15">
        <v>45856</v>
      </c>
      <c r="J53" s="12" t="str">
        <f t="shared" ca="1" si="1"/>
        <v>120 +</v>
      </c>
      <c r="K53" s="14">
        <v>2124.85</v>
      </c>
      <c r="L53" s="16">
        <v>45826</v>
      </c>
      <c r="M53" s="13" t="s">
        <v>38</v>
      </c>
      <c r="N53" s="13" t="s">
        <v>39</v>
      </c>
      <c r="O53" s="13" t="s">
        <v>40</v>
      </c>
      <c r="P53" s="13"/>
      <c r="Q53" s="13" t="s">
        <v>41</v>
      </c>
      <c r="R53" s="13" t="s">
        <v>42</v>
      </c>
      <c r="S53" s="17">
        <v>0</v>
      </c>
      <c r="T53" s="17">
        <v>0</v>
      </c>
      <c r="U53" s="17">
        <v>0</v>
      </c>
      <c r="V53" s="17">
        <v>0</v>
      </c>
      <c r="W53" s="17">
        <v>0</v>
      </c>
      <c r="X53" s="17">
        <v>7803.51</v>
      </c>
      <c r="Y53" s="17">
        <v>7803.51</v>
      </c>
      <c r="Z53" s="17">
        <v>0</v>
      </c>
      <c r="AA53" s="13" t="s">
        <v>112</v>
      </c>
      <c r="AB53" s="13" t="s">
        <v>44</v>
      </c>
      <c r="AC53" s="13" t="s">
        <v>45</v>
      </c>
      <c r="AD53" s="13" t="s">
        <v>46</v>
      </c>
      <c r="AE53" s="17">
        <v>7803.51</v>
      </c>
      <c r="AF53" s="17">
        <v>1835.88</v>
      </c>
      <c r="AG53" s="47" t="s">
        <v>876</v>
      </c>
      <c r="AH53" s="20" t="s">
        <v>792</v>
      </c>
      <c r="AI53" s="19" t="b">
        <v>0</v>
      </c>
      <c r="AJ53" s="18" t="s">
        <v>872</v>
      </c>
      <c r="AK53" s="49" t="s">
        <v>1272</v>
      </c>
    </row>
    <row r="54" spans="1:37" x14ac:dyDescent="0.35">
      <c r="A54" s="12" t="s">
        <v>33</v>
      </c>
      <c r="B54" s="12">
        <v>100114715</v>
      </c>
      <c r="C54" s="13" t="s">
        <v>109</v>
      </c>
      <c r="D54" s="13" t="s">
        <v>110</v>
      </c>
      <c r="E54" s="12">
        <v>9700047529</v>
      </c>
      <c r="F54" s="13" t="s">
        <v>125</v>
      </c>
      <c r="G54" s="12" t="s">
        <v>37</v>
      </c>
      <c r="H54" s="14">
        <v>1994.22</v>
      </c>
      <c r="I54" s="15">
        <v>45889</v>
      </c>
      <c r="J54" s="12" t="str">
        <f t="shared" ca="1" si="1"/>
        <v>120 +</v>
      </c>
      <c r="K54" s="14">
        <v>1994.22</v>
      </c>
      <c r="L54" s="16">
        <v>45859</v>
      </c>
      <c r="M54" s="13" t="s">
        <v>38</v>
      </c>
      <c r="N54" s="13" t="s">
        <v>39</v>
      </c>
      <c r="O54" s="13" t="s">
        <v>40</v>
      </c>
      <c r="P54" s="13"/>
      <c r="Q54" s="13" t="s">
        <v>41</v>
      </c>
      <c r="R54" s="13" t="s">
        <v>42</v>
      </c>
      <c r="S54" s="17">
        <v>0</v>
      </c>
      <c r="T54" s="17">
        <v>0</v>
      </c>
      <c r="U54" s="17">
        <v>0</v>
      </c>
      <c r="V54" s="17">
        <v>0</v>
      </c>
      <c r="W54" s="17">
        <v>0</v>
      </c>
      <c r="X54" s="17">
        <v>7323.77</v>
      </c>
      <c r="Y54" s="17">
        <v>7323.77</v>
      </c>
      <c r="Z54" s="17">
        <v>0</v>
      </c>
      <c r="AA54" s="13" t="s">
        <v>112</v>
      </c>
      <c r="AB54" s="13" t="s">
        <v>44</v>
      </c>
      <c r="AC54" s="13" t="s">
        <v>45</v>
      </c>
      <c r="AD54" s="13" t="s">
        <v>46</v>
      </c>
      <c r="AE54" s="17">
        <v>7323.77</v>
      </c>
      <c r="AF54" s="17">
        <v>1718.86</v>
      </c>
      <c r="AG54" s="47" t="s">
        <v>876</v>
      </c>
      <c r="AH54" s="20" t="s">
        <v>792</v>
      </c>
      <c r="AI54" s="19" t="b">
        <v>0</v>
      </c>
      <c r="AJ54" s="18" t="s">
        <v>872</v>
      </c>
      <c r="AK54" s="49" t="s">
        <v>1272</v>
      </c>
    </row>
    <row r="55" spans="1:37" x14ac:dyDescent="0.35">
      <c r="A55" s="12" t="s">
        <v>33</v>
      </c>
      <c r="B55" s="12">
        <v>100114715</v>
      </c>
      <c r="C55" s="13" t="s">
        <v>109</v>
      </c>
      <c r="D55" s="13" t="s">
        <v>110</v>
      </c>
      <c r="E55" s="12">
        <v>9700051371</v>
      </c>
      <c r="F55" s="13" t="s">
        <v>126</v>
      </c>
      <c r="G55" s="12" t="s">
        <v>37</v>
      </c>
      <c r="H55" s="14">
        <v>-2622.87</v>
      </c>
      <c r="I55" s="15">
        <v>45896</v>
      </c>
      <c r="J55" s="12" t="str">
        <f t="shared" ca="1" si="1"/>
        <v>120 +</v>
      </c>
      <c r="K55" s="14">
        <v>-2622.87</v>
      </c>
      <c r="L55" s="16">
        <v>45866</v>
      </c>
      <c r="M55" s="13" t="s">
        <v>38</v>
      </c>
      <c r="N55" s="13" t="s">
        <v>39</v>
      </c>
      <c r="O55" s="13" t="s">
        <v>40</v>
      </c>
      <c r="P55" s="13" t="s">
        <v>62</v>
      </c>
      <c r="Q55" s="13" t="s">
        <v>41</v>
      </c>
      <c r="R55" s="13" t="s">
        <v>42</v>
      </c>
      <c r="S55" s="17">
        <v>-9632.49</v>
      </c>
      <c r="T55" s="17">
        <v>0</v>
      </c>
      <c r="U55" s="17">
        <v>0</v>
      </c>
      <c r="V55" s="17">
        <v>0</v>
      </c>
      <c r="W55" s="17">
        <v>0</v>
      </c>
      <c r="X55" s="17">
        <v>0</v>
      </c>
      <c r="Y55" s="17">
        <v>0</v>
      </c>
      <c r="Z55" s="17">
        <v>0</v>
      </c>
      <c r="AA55" s="13"/>
      <c r="AB55" s="13" t="s">
        <v>44</v>
      </c>
      <c r="AC55" s="13" t="s">
        <v>45</v>
      </c>
      <c r="AD55" s="13" t="s">
        <v>46</v>
      </c>
      <c r="AE55" s="17">
        <v>-9632.49</v>
      </c>
      <c r="AF55" s="17">
        <v>-2237.1799999999998</v>
      </c>
      <c r="AG55" s="47" t="e">
        <v>#N/A</v>
      </c>
      <c r="AH55" s="20" t="s">
        <v>792</v>
      </c>
      <c r="AI55" s="19" t="b">
        <v>0</v>
      </c>
      <c r="AJ55" s="18" t="s">
        <v>872</v>
      </c>
      <c r="AK55" s="49" t="s">
        <v>1272</v>
      </c>
    </row>
    <row r="56" spans="1:37" x14ac:dyDescent="0.35">
      <c r="A56" s="12" t="s">
        <v>33</v>
      </c>
      <c r="B56" s="12">
        <v>100114715</v>
      </c>
      <c r="C56" s="13" t="s">
        <v>109</v>
      </c>
      <c r="D56" s="13" t="s">
        <v>110</v>
      </c>
      <c r="E56" s="12">
        <v>9700061838</v>
      </c>
      <c r="F56" s="13" t="s">
        <v>127</v>
      </c>
      <c r="G56" s="12" t="s">
        <v>37</v>
      </c>
      <c r="H56" s="14">
        <v>2290.65</v>
      </c>
      <c r="I56" s="15">
        <v>45940</v>
      </c>
      <c r="J56" s="12" t="str">
        <f t="shared" ca="1" si="1"/>
        <v>120 +</v>
      </c>
      <c r="K56" s="14">
        <v>2290.65</v>
      </c>
      <c r="L56" s="16">
        <v>45910</v>
      </c>
      <c r="M56" s="13" t="s">
        <v>38</v>
      </c>
      <c r="N56" s="13" t="s">
        <v>39</v>
      </c>
      <c r="O56" s="13" t="s">
        <v>40</v>
      </c>
      <c r="P56" s="13"/>
      <c r="Q56" s="13" t="s">
        <v>41</v>
      </c>
      <c r="R56" s="13" t="s">
        <v>42</v>
      </c>
      <c r="S56" s="17">
        <v>0</v>
      </c>
      <c r="T56" s="17">
        <v>0</v>
      </c>
      <c r="U56" s="17">
        <v>0</v>
      </c>
      <c r="V56" s="17">
        <v>0</v>
      </c>
      <c r="W56" s="17">
        <v>0</v>
      </c>
      <c r="X56" s="17">
        <v>8412.41</v>
      </c>
      <c r="Y56" s="17">
        <v>8412.41</v>
      </c>
      <c r="Z56" s="17">
        <v>0</v>
      </c>
      <c r="AA56" s="13" t="s">
        <v>112</v>
      </c>
      <c r="AB56" s="13" t="s">
        <v>44</v>
      </c>
      <c r="AC56" s="13" t="s">
        <v>45</v>
      </c>
      <c r="AD56" s="13" t="s">
        <v>46</v>
      </c>
      <c r="AE56" s="17">
        <v>8412.41</v>
      </c>
      <c r="AF56" s="17">
        <v>1950.49</v>
      </c>
      <c r="AG56" s="47" t="s">
        <v>876</v>
      </c>
      <c r="AH56" s="20" t="s">
        <v>792</v>
      </c>
      <c r="AI56" s="19" t="b">
        <v>0</v>
      </c>
      <c r="AJ56" s="18" t="s">
        <v>872</v>
      </c>
      <c r="AK56" s="49" t="s">
        <v>1272</v>
      </c>
    </row>
    <row r="57" spans="1:37" x14ac:dyDescent="0.35">
      <c r="A57" s="12" t="s">
        <v>33</v>
      </c>
      <c r="B57" s="12">
        <v>100114715</v>
      </c>
      <c r="C57" s="13" t="s">
        <v>109</v>
      </c>
      <c r="D57" s="13" t="s">
        <v>110</v>
      </c>
      <c r="E57" s="12">
        <v>9700063455</v>
      </c>
      <c r="F57" s="13" t="s">
        <v>128</v>
      </c>
      <c r="G57" s="12" t="s">
        <v>37</v>
      </c>
      <c r="H57" s="14">
        <v>2498.5500000000002</v>
      </c>
      <c r="I57" s="15">
        <v>45949</v>
      </c>
      <c r="J57" s="12" t="str">
        <f t="shared" ca="1" si="1"/>
        <v>120 +</v>
      </c>
      <c r="K57" s="14">
        <v>2498.5500000000002</v>
      </c>
      <c r="L57" s="16">
        <v>45919</v>
      </c>
      <c r="M57" s="13" t="s">
        <v>38</v>
      </c>
      <c r="N57" s="13" t="s">
        <v>39</v>
      </c>
      <c r="O57" s="13" t="s">
        <v>40</v>
      </c>
      <c r="P57" s="13"/>
      <c r="Q57" s="13" t="s">
        <v>41</v>
      </c>
      <c r="R57" s="13" t="s">
        <v>42</v>
      </c>
      <c r="S57" s="17">
        <v>0</v>
      </c>
      <c r="T57" s="17">
        <v>0</v>
      </c>
      <c r="U57" s="17">
        <v>0</v>
      </c>
      <c r="V57" s="17">
        <v>0</v>
      </c>
      <c r="W57" s="17">
        <v>0</v>
      </c>
      <c r="X57" s="17">
        <v>9175.92</v>
      </c>
      <c r="Y57" s="17">
        <v>9175.92</v>
      </c>
      <c r="Z57" s="17">
        <v>0</v>
      </c>
      <c r="AA57" s="13" t="s">
        <v>112</v>
      </c>
      <c r="AB57" s="13" t="s">
        <v>44</v>
      </c>
      <c r="AC57" s="13" t="s">
        <v>45</v>
      </c>
      <c r="AD57" s="13" t="s">
        <v>46</v>
      </c>
      <c r="AE57" s="17">
        <v>9175.92</v>
      </c>
      <c r="AF57" s="17">
        <v>2132.23</v>
      </c>
      <c r="AG57" s="47" t="s">
        <v>876</v>
      </c>
      <c r="AH57" s="20" t="s">
        <v>792</v>
      </c>
      <c r="AI57" s="19" t="b">
        <v>0</v>
      </c>
      <c r="AJ57" s="18" t="s">
        <v>872</v>
      </c>
      <c r="AK57" s="49" t="s">
        <v>1272</v>
      </c>
    </row>
    <row r="58" spans="1:37" x14ac:dyDescent="0.35">
      <c r="A58" s="12" t="s">
        <v>33</v>
      </c>
      <c r="B58" s="12">
        <v>100114715</v>
      </c>
      <c r="C58" s="13" t="s">
        <v>109</v>
      </c>
      <c r="D58" s="13" t="s">
        <v>110</v>
      </c>
      <c r="E58" s="12">
        <v>9700070150</v>
      </c>
      <c r="F58" s="13" t="s">
        <v>129</v>
      </c>
      <c r="G58" s="12" t="s">
        <v>37</v>
      </c>
      <c r="H58" s="14">
        <v>2525.19</v>
      </c>
      <c r="I58" s="15">
        <v>45974</v>
      </c>
      <c r="J58" s="12" t="str">
        <f t="shared" ca="1" si="1"/>
        <v>120 +</v>
      </c>
      <c r="K58" s="14">
        <v>2525.19</v>
      </c>
      <c r="L58" s="16">
        <v>45944</v>
      </c>
      <c r="M58" s="13" t="s">
        <v>38</v>
      </c>
      <c r="N58" s="13" t="s">
        <v>39</v>
      </c>
      <c r="O58" s="13" t="s">
        <v>40</v>
      </c>
      <c r="P58" s="13"/>
      <c r="Q58" s="13" t="s">
        <v>41</v>
      </c>
      <c r="R58" s="13" t="s">
        <v>42</v>
      </c>
      <c r="S58" s="17">
        <v>0</v>
      </c>
      <c r="T58" s="17">
        <v>0</v>
      </c>
      <c r="U58" s="17">
        <v>0</v>
      </c>
      <c r="V58" s="17">
        <v>0</v>
      </c>
      <c r="W58" s="17">
        <v>0</v>
      </c>
      <c r="X58" s="17">
        <v>9273.76</v>
      </c>
      <c r="Y58" s="17">
        <v>9273.76</v>
      </c>
      <c r="Z58" s="17">
        <v>0</v>
      </c>
      <c r="AA58" s="13" t="s">
        <v>112</v>
      </c>
      <c r="AB58" s="13" t="s">
        <v>44</v>
      </c>
      <c r="AC58" s="13" t="s">
        <v>45</v>
      </c>
      <c r="AD58" s="13" t="s">
        <v>46</v>
      </c>
      <c r="AE58" s="17">
        <v>9273.76</v>
      </c>
      <c r="AF58" s="17">
        <v>2171.83</v>
      </c>
      <c r="AG58" s="47" t="s">
        <v>876</v>
      </c>
      <c r="AH58" s="20" t="s">
        <v>792</v>
      </c>
      <c r="AI58" s="19" t="b">
        <v>0</v>
      </c>
      <c r="AJ58" s="18" t="s">
        <v>872</v>
      </c>
      <c r="AK58" s="49" t="s">
        <v>1272</v>
      </c>
    </row>
    <row r="59" spans="1:37" x14ac:dyDescent="0.35">
      <c r="A59" s="12" t="s">
        <v>33</v>
      </c>
      <c r="B59" s="12">
        <v>100114715</v>
      </c>
      <c r="C59" s="13" t="s">
        <v>109</v>
      </c>
      <c r="D59" s="13" t="s">
        <v>110</v>
      </c>
      <c r="E59" s="12">
        <v>9700081331</v>
      </c>
      <c r="F59" s="13" t="s">
        <v>130</v>
      </c>
      <c r="G59" s="12" t="s">
        <v>37</v>
      </c>
      <c r="H59" s="14">
        <v>2503.88</v>
      </c>
      <c r="I59" s="15">
        <v>46011</v>
      </c>
      <c r="J59" s="12" t="str">
        <f t="shared" ca="1" si="1"/>
        <v>120 +</v>
      </c>
      <c r="K59" s="14">
        <v>2503.88</v>
      </c>
      <c r="L59" s="16">
        <v>45981</v>
      </c>
      <c r="M59" s="13" t="s">
        <v>38</v>
      </c>
      <c r="N59" s="13" t="s">
        <v>39</v>
      </c>
      <c r="O59" s="13" t="s">
        <v>40</v>
      </c>
      <c r="P59" s="13"/>
      <c r="Q59" s="13" t="s">
        <v>41</v>
      </c>
      <c r="R59" s="13" t="s">
        <v>42</v>
      </c>
      <c r="S59" s="17">
        <v>0</v>
      </c>
      <c r="T59" s="17">
        <v>0</v>
      </c>
      <c r="U59" s="17">
        <v>0</v>
      </c>
      <c r="V59" s="17">
        <v>0</v>
      </c>
      <c r="W59" s="17">
        <v>9195.5</v>
      </c>
      <c r="X59" s="17">
        <v>0</v>
      </c>
      <c r="Y59" s="17">
        <v>9195.5</v>
      </c>
      <c r="Z59" s="17">
        <v>0</v>
      </c>
      <c r="AA59" s="13" t="s">
        <v>112</v>
      </c>
      <c r="AB59" s="13" t="s">
        <v>44</v>
      </c>
      <c r="AC59" s="13" t="s">
        <v>45</v>
      </c>
      <c r="AD59" s="13" t="s">
        <v>46</v>
      </c>
      <c r="AE59" s="17">
        <v>9195.5</v>
      </c>
      <c r="AF59" s="17">
        <v>2159.8200000000002</v>
      </c>
      <c r="AG59" s="47" t="s">
        <v>876</v>
      </c>
      <c r="AH59" s="20" t="s">
        <v>792</v>
      </c>
      <c r="AI59" s="19" t="b">
        <v>0</v>
      </c>
      <c r="AJ59" s="18" t="s">
        <v>872</v>
      </c>
      <c r="AK59" s="49" t="s">
        <v>1272</v>
      </c>
    </row>
    <row r="60" spans="1:37" ht="16.5" x14ac:dyDescent="0.4">
      <c r="A60" s="3"/>
      <c r="B60" s="3"/>
      <c r="C60" s="4"/>
      <c r="D60" s="4" t="s">
        <v>110</v>
      </c>
      <c r="E60" s="3"/>
      <c r="F60" s="4"/>
      <c r="G60" s="4"/>
      <c r="H60" s="43">
        <f>SUM(H44:H59)</f>
        <v>34354.439999999995</v>
      </c>
      <c r="I60" s="5"/>
      <c r="J60" s="45" t="str">
        <f t="shared" ca="1" si="1"/>
        <v/>
      </c>
      <c r="K60" s="43">
        <f>SUM(K44:K59)</f>
        <v>34354.439999999995</v>
      </c>
      <c r="L60" s="9"/>
      <c r="M60" s="4"/>
      <c r="N60" s="4"/>
      <c r="O60" s="4"/>
      <c r="P60" s="4"/>
      <c r="Q60" s="4"/>
      <c r="R60" s="4" t="s">
        <v>42</v>
      </c>
      <c r="S60" s="6">
        <v>2461.75</v>
      </c>
      <c r="T60" s="6">
        <v>0</v>
      </c>
      <c r="U60" s="6">
        <v>17382.75</v>
      </c>
      <c r="V60" s="6">
        <v>0</v>
      </c>
      <c r="W60" s="6">
        <v>9195.5</v>
      </c>
      <c r="X60" s="7"/>
      <c r="Y60" s="7"/>
      <c r="Z60" s="6">
        <v>0</v>
      </c>
      <c r="AA60" s="4"/>
      <c r="AB60" s="4"/>
      <c r="AC60" s="4"/>
      <c r="AD60" s="4"/>
      <c r="AE60" s="6">
        <v>126166.67</v>
      </c>
      <c r="AF60" s="6">
        <v>30005.360000000001</v>
      </c>
      <c r="AG60" s="48"/>
      <c r="AH60" s="44" cm="1">
        <f t="array" ref="AH60">IFERROR(SUMPRODUCT(AF44:AF59*--(((AI44:AI59=TRUE)+(AI44:AI59=1))&gt;0)),0)</f>
        <v>0</v>
      </c>
      <c r="AI60" s="54">
        <f>SUMIF(AI44:AI59,TRUE,H44:H59)/H60</f>
        <v>0</v>
      </c>
      <c r="AJ60" s="6"/>
      <c r="AK60" s="50"/>
    </row>
    <row r="61" spans="1:37" x14ac:dyDescent="0.35">
      <c r="A61" s="12" t="s">
        <v>33</v>
      </c>
      <c r="B61" s="12">
        <v>100114688</v>
      </c>
      <c r="C61" s="13" t="s">
        <v>131</v>
      </c>
      <c r="D61" s="13" t="s">
        <v>132</v>
      </c>
      <c r="E61" s="12">
        <v>9700003825</v>
      </c>
      <c r="F61" s="13" t="s">
        <v>133</v>
      </c>
      <c r="G61" s="12" t="s">
        <v>37</v>
      </c>
      <c r="H61" s="14">
        <v>289.39</v>
      </c>
      <c r="I61" s="15">
        <v>46068</v>
      </c>
      <c r="J61" s="12" t="str">
        <f t="shared" ca="1" si="1"/>
        <v>61-90</v>
      </c>
      <c r="K61" s="14">
        <v>289.39</v>
      </c>
      <c r="L61" s="16">
        <v>46038</v>
      </c>
      <c r="M61" s="13" t="s">
        <v>38</v>
      </c>
      <c r="N61" s="13" t="s">
        <v>39</v>
      </c>
      <c r="O61" s="13" t="s">
        <v>40</v>
      </c>
      <c r="P61" s="13"/>
      <c r="Q61" s="13" t="s">
        <v>41</v>
      </c>
      <c r="R61" s="13" t="s">
        <v>42</v>
      </c>
      <c r="S61" s="17">
        <v>0</v>
      </c>
      <c r="T61" s="17">
        <v>0</v>
      </c>
      <c r="U61" s="17">
        <v>1062.78</v>
      </c>
      <c r="V61" s="17">
        <v>0</v>
      </c>
      <c r="W61" s="17">
        <v>0</v>
      </c>
      <c r="X61" s="17">
        <v>0</v>
      </c>
      <c r="Y61" s="17">
        <v>1062.78</v>
      </c>
      <c r="Z61" s="17">
        <v>0</v>
      </c>
      <c r="AA61" s="13" t="s">
        <v>134</v>
      </c>
      <c r="AB61" s="13" t="s">
        <v>44</v>
      </c>
      <c r="AC61" s="13" t="s">
        <v>45</v>
      </c>
      <c r="AD61" s="13" t="s">
        <v>46</v>
      </c>
      <c r="AE61" s="17">
        <v>1062.78</v>
      </c>
      <c r="AF61" s="17">
        <v>248.38</v>
      </c>
      <c r="AG61" s="47" t="s">
        <v>876</v>
      </c>
      <c r="AH61" s="20" t="s">
        <v>784</v>
      </c>
      <c r="AI61" s="19" t="b">
        <v>0</v>
      </c>
      <c r="AJ61" s="18" t="s">
        <v>865</v>
      </c>
      <c r="AK61" s="49" t="s">
        <v>784</v>
      </c>
    </row>
    <row r="62" spans="1:37" x14ac:dyDescent="0.35">
      <c r="A62" s="12" t="s">
        <v>33</v>
      </c>
      <c r="B62" s="12">
        <v>100114688</v>
      </c>
      <c r="C62" s="13" t="s">
        <v>131</v>
      </c>
      <c r="D62" s="13" t="s">
        <v>132</v>
      </c>
      <c r="E62" s="12">
        <v>9700022724</v>
      </c>
      <c r="F62" s="13" t="s">
        <v>135</v>
      </c>
      <c r="G62" s="12" t="s">
        <v>37</v>
      </c>
      <c r="H62" s="14">
        <v>250.16</v>
      </c>
      <c r="I62" s="15">
        <v>46130</v>
      </c>
      <c r="J62" s="12" t="str">
        <f t="shared" ca="1" si="1"/>
        <v>0-30</v>
      </c>
      <c r="K62" s="14">
        <v>250.16</v>
      </c>
      <c r="L62" s="16">
        <v>46100</v>
      </c>
      <c r="M62" s="13" t="s">
        <v>38</v>
      </c>
      <c r="N62" s="13" t="s">
        <v>39</v>
      </c>
      <c r="O62" s="13" t="s">
        <v>40</v>
      </c>
      <c r="P62" s="13"/>
      <c r="Q62" s="13" t="s">
        <v>41</v>
      </c>
      <c r="R62" s="13" t="s">
        <v>42</v>
      </c>
      <c r="S62" s="17">
        <v>918.71</v>
      </c>
      <c r="T62" s="17">
        <v>0</v>
      </c>
      <c r="U62" s="17">
        <v>0</v>
      </c>
      <c r="V62" s="17">
        <v>0</v>
      </c>
      <c r="W62" s="17">
        <v>0</v>
      </c>
      <c r="X62" s="17">
        <v>0</v>
      </c>
      <c r="Y62" s="17">
        <v>0</v>
      </c>
      <c r="Z62" s="17">
        <v>0</v>
      </c>
      <c r="AA62" s="13" t="s">
        <v>136</v>
      </c>
      <c r="AB62" s="13" t="s">
        <v>44</v>
      </c>
      <c r="AC62" s="13" t="s">
        <v>45</v>
      </c>
      <c r="AD62" s="13" t="s">
        <v>46</v>
      </c>
      <c r="AE62" s="17">
        <v>918.71</v>
      </c>
      <c r="AF62" s="17">
        <v>217.99</v>
      </c>
      <c r="AG62" s="47" t="s">
        <v>876</v>
      </c>
      <c r="AH62" s="20" t="e">
        <v>#N/A</v>
      </c>
      <c r="AI62" s="19" t="b">
        <v>0</v>
      </c>
      <c r="AJ62" s="18" t="s">
        <v>865</v>
      </c>
      <c r="AK62" s="49" t="s">
        <v>784</v>
      </c>
    </row>
    <row r="63" spans="1:37" ht="16.5" x14ac:dyDescent="0.4">
      <c r="A63" s="3"/>
      <c r="B63" s="3"/>
      <c r="C63" s="4"/>
      <c r="D63" s="4" t="s">
        <v>132</v>
      </c>
      <c r="E63" s="3"/>
      <c r="F63" s="4"/>
      <c r="G63" s="4"/>
      <c r="H63" s="43">
        <f>SUM(H61:H62)</f>
        <v>539.54999999999995</v>
      </c>
      <c r="I63" s="5"/>
      <c r="J63" s="45" t="str">
        <f t="shared" ca="1" si="1"/>
        <v/>
      </c>
      <c r="K63" s="43">
        <f>SUM(K61:K62)</f>
        <v>539.54999999999995</v>
      </c>
      <c r="L63" s="9"/>
      <c r="M63" s="4"/>
      <c r="N63" s="4"/>
      <c r="O63" s="4"/>
      <c r="P63" s="4"/>
      <c r="Q63" s="4"/>
      <c r="R63" s="4" t="s">
        <v>42</v>
      </c>
      <c r="S63" s="6">
        <v>918.71</v>
      </c>
      <c r="T63" s="6">
        <v>0</v>
      </c>
      <c r="U63" s="6">
        <v>1062.78</v>
      </c>
      <c r="V63" s="6">
        <v>0</v>
      </c>
      <c r="W63" s="6">
        <v>0</v>
      </c>
      <c r="X63" s="7"/>
      <c r="Y63" s="7"/>
      <c r="Z63" s="6">
        <v>0</v>
      </c>
      <c r="AA63" s="4"/>
      <c r="AB63" s="4"/>
      <c r="AC63" s="4"/>
      <c r="AD63" s="4"/>
      <c r="AE63" s="6">
        <v>1981.49</v>
      </c>
      <c r="AF63" s="6">
        <v>466.37</v>
      </c>
      <c r="AG63" s="48"/>
      <c r="AH63" s="44" cm="1">
        <f t="array" ref="AH63">IFERROR(SUMPRODUCT(AF61:AF62*--(((AI61:AI62=TRUE)+(AI61:AI62=1))&gt;0)),0)</f>
        <v>0</v>
      </c>
      <c r="AI63" s="54">
        <f>SUMIF(AI61:AI62,TRUE,H61:H62)/H63</f>
        <v>0</v>
      </c>
      <c r="AJ63" s="6"/>
      <c r="AK63" s="50"/>
    </row>
    <row r="64" spans="1:37" x14ac:dyDescent="0.35">
      <c r="A64" s="12" t="s">
        <v>33</v>
      </c>
      <c r="B64" s="12">
        <v>100111676</v>
      </c>
      <c r="C64" s="13" t="s">
        <v>137</v>
      </c>
      <c r="D64" s="13" t="s">
        <v>138</v>
      </c>
      <c r="E64" s="12">
        <v>9700002780</v>
      </c>
      <c r="F64" s="13" t="s">
        <v>139</v>
      </c>
      <c r="G64" s="12" t="s">
        <v>37</v>
      </c>
      <c r="H64" s="14">
        <v>578</v>
      </c>
      <c r="I64" s="15">
        <v>46068</v>
      </c>
      <c r="J64" s="12" t="str">
        <f t="shared" ca="1" si="1"/>
        <v>61-90</v>
      </c>
      <c r="K64" s="14">
        <v>578</v>
      </c>
      <c r="L64" s="16">
        <v>46038</v>
      </c>
      <c r="M64" s="13" t="s">
        <v>38</v>
      </c>
      <c r="N64" s="13" t="s">
        <v>39</v>
      </c>
      <c r="O64" s="13" t="s">
        <v>40</v>
      </c>
      <c r="P64" s="13"/>
      <c r="Q64" s="13" t="s">
        <v>41</v>
      </c>
      <c r="R64" s="13" t="s">
        <v>42</v>
      </c>
      <c r="S64" s="17">
        <v>0</v>
      </c>
      <c r="T64" s="17">
        <v>0</v>
      </c>
      <c r="U64" s="17">
        <v>2122.71</v>
      </c>
      <c r="V64" s="17">
        <v>0</v>
      </c>
      <c r="W64" s="17">
        <v>0</v>
      </c>
      <c r="X64" s="17">
        <v>0</v>
      </c>
      <c r="Y64" s="17">
        <v>2122.71</v>
      </c>
      <c r="Z64" s="17">
        <v>0</v>
      </c>
      <c r="AA64" s="13" t="s">
        <v>140</v>
      </c>
      <c r="AB64" s="13" t="s">
        <v>44</v>
      </c>
      <c r="AC64" s="13" t="s">
        <v>45</v>
      </c>
      <c r="AD64" s="13" t="s">
        <v>46</v>
      </c>
      <c r="AE64" s="17">
        <v>2122.71</v>
      </c>
      <c r="AF64" s="17">
        <v>495.97</v>
      </c>
      <c r="AG64" s="47" t="s">
        <v>885</v>
      </c>
      <c r="AH64" s="20" t="s">
        <v>793</v>
      </c>
      <c r="AI64" s="19" t="b">
        <v>0</v>
      </c>
      <c r="AJ64" s="18" t="s">
        <v>868</v>
      </c>
      <c r="AK64" s="49" t="s">
        <v>793</v>
      </c>
    </row>
    <row r="65" spans="1:37" x14ac:dyDescent="0.35">
      <c r="A65" s="12" t="s">
        <v>33</v>
      </c>
      <c r="B65" s="12">
        <v>100111676</v>
      </c>
      <c r="C65" s="13" t="s">
        <v>137</v>
      </c>
      <c r="D65" s="13" t="s">
        <v>138</v>
      </c>
      <c r="E65" s="12">
        <v>9700015204</v>
      </c>
      <c r="F65" s="13" t="s">
        <v>141</v>
      </c>
      <c r="G65" s="12" t="s">
        <v>37</v>
      </c>
      <c r="H65" s="14">
        <v>1161.4100000000001</v>
      </c>
      <c r="I65" s="15">
        <v>45744</v>
      </c>
      <c r="J65" s="12" t="str">
        <f t="shared" ca="1" si="1"/>
        <v>120 +</v>
      </c>
      <c r="K65" s="14">
        <v>1161.4100000000001</v>
      </c>
      <c r="L65" s="16">
        <v>45714</v>
      </c>
      <c r="M65" s="13" t="s">
        <v>38</v>
      </c>
      <c r="N65" s="13" t="s">
        <v>39</v>
      </c>
      <c r="O65" s="13" t="s">
        <v>40</v>
      </c>
      <c r="P65" s="13"/>
      <c r="Q65" s="13" t="s">
        <v>41</v>
      </c>
      <c r="R65" s="13" t="s">
        <v>42</v>
      </c>
      <c r="S65" s="17">
        <v>0</v>
      </c>
      <c r="T65" s="17">
        <v>0</v>
      </c>
      <c r="U65" s="17">
        <v>0</v>
      </c>
      <c r="V65" s="17">
        <v>0</v>
      </c>
      <c r="W65" s="17">
        <v>0</v>
      </c>
      <c r="X65" s="17">
        <v>4265.28</v>
      </c>
      <c r="Y65" s="17">
        <v>4265.28</v>
      </c>
      <c r="Z65" s="17">
        <v>0</v>
      </c>
      <c r="AA65" s="13" t="s">
        <v>142</v>
      </c>
      <c r="AB65" s="13" t="s">
        <v>44</v>
      </c>
      <c r="AC65" s="13" t="s">
        <v>45</v>
      </c>
      <c r="AD65" s="13" t="s">
        <v>46</v>
      </c>
      <c r="AE65" s="17">
        <v>4265.28</v>
      </c>
      <c r="AF65" s="17">
        <v>1109.7</v>
      </c>
      <c r="AG65" s="47" t="s">
        <v>883</v>
      </c>
      <c r="AH65" s="20" t="s">
        <v>793</v>
      </c>
      <c r="AI65" s="19" t="b">
        <v>0</v>
      </c>
      <c r="AJ65" s="18" t="s">
        <v>868</v>
      </c>
      <c r="AK65" s="49" t="s">
        <v>793</v>
      </c>
    </row>
    <row r="66" spans="1:37" x14ac:dyDescent="0.35">
      <c r="A66" s="12" t="s">
        <v>33</v>
      </c>
      <c r="B66" s="12">
        <v>100111676</v>
      </c>
      <c r="C66" s="13" t="s">
        <v>137</v>
      </c>
      <c r="D66" s="13" t="s">
        <v>138</v>
      </c>
      <c r="E66" s="12">
        <v>9700015212</v>
      </c>
      <c r="F66" s="13" t="s">
        <v>143</v>
      </c>
      <c r="G66" s="12" t="s">
        <v>37</v>
      </c>
      <c r="H66" s="14">
        <v>590.51</v>
      </c>
      <c r="I66" s="15">
        <v>45744</v>
      </c>
      <c r="J66" s="12" t="str">
        <f t="shared" ca="1" si="1"/>
        <v>120 +</v>
      </c>
      <c r="K66" s="14">
        <v>590.51</v>
      </c>
      <c r="L66" s="16">
        <v>45714</v>
      </c>
      <c r="M66" s="13" t="s">
        <v>38</v>
      </c>
      <c r="N66" s="13" t="s">
        <v>39</v>
      </c>
      <c r="O66" s="13" t="s">
        <v>40</v>
      </c>
      <c r="P66" s="13"/>
      <c r="Q66" s="13" t="s">
        <v>41</v>
      </c>
      <c r="R66" s="13" t="s">
        <v>42</v>
      </c>
      <c r="S66" s="17">
        <v>0</v>
      </c>
      <c r="T66" s="17">
        <v>0</v>
      </c>
      <c r="U66" s="17">
        <v>0</v>
      </c>
      <c r="V66" s="17">
        <v>0</v>
      </c>
      <c r="W66" s="17">
        <v>0</v>
      </c>
      <c r="X66" s="17">
        <v>2168.65</v>
      </c>
      <c r="Y66" s="17">
        <v>2168.65</v>
      </c>
      <c r="Z66" s="17">
        <v>0</v>
      </c>
      <c r="AA66" s="13" t="s">
        <v>144</v>
      </c>
      <c r="AB66" s="13" t="s">
        <v>44</v>
      </c>
      <c r="AC66" s="13" t="s">
        <v>45</v>
      </c>
      <c r="AD66" s="13" t="s">
        <v>46</v>
      </c>
      <c r="AE66" s="17">
        <v>2168.65</v>
      </c>
      <c r="AF66" s="17">
        <v>564.22</v>
      </c>
      <c r="AG66" s="47" t="s">
        <v>882</v>
      </c>
      <c r="AH66" s="20" t="s">
        <v>793</v>
      </c>
      <c r="AI66" s="19" t="b">
        <v>0</v>
      </c>
      <c r="AJ66" s="18" t="s">
        <v>868</v>
      </c>
      <c r="AK66" s="49" t="s">
        <v>793</v>
      </c>
    </row>
    <row r="67" spans="1:37" x14ac:dyDescent="0.35">
      <c r="A67" s="12" t="s">
        <v>33</v>
      </c>
      <c r="B67" s="12">
        <v>100111676</v>
      </c>
      <c r="C67" s="13" t="s">
        <v>137</v>
      </c>
      <c r="D67" s="13" t="s">
        <v>138</v>
      </c>
      <c r="E67" s="12">
        <v>9700015213</v>
      </c>
      <c r="F67" s="13" t="s">
        <v>145</v>
      </c>
      <c r="G67" s="12" t="s">
        <v>37</v>
      </c>
      <c r="H67" s="14">
        <v>407.89</v>
      </c>
      <c r="I67" s="15">
        <v>45744</v>
      </c>
      <c r="J67" s="12" t="str">
        <f t="shared" ca="1" si="1"/>
        <v>120 +</v>
      </c>
      <c r="K67" s="14">
        <v>407.89</v>
      </c>
      <c r="L67" s="16">
        <v>45714</v>
      </c>
      <c r="M67" s="13" t="s">
        <v>38</v>
      </c>
      <c r="N67" s="13" t="s">
        <v>39</v>
      </c>
      <c r="O67" s="13" t="s">
        <v>40</v>
      </c>
      <c r="P67" s="13"/>
      <c r="Q67" s="13" t="s">
        <v>41</v>
      </c>
      <c r="R67" s="13" t="s">
        <v>42</v>
      </c>
      <c r="S67" s="17">
        <v>0</v>
      </c>
      <c r="T67" s="17">
        <v>0</v>
      </c>
      <c r="U67" s="17">
        <v>0</v>
      </c>
      <c r="V67" s="17">
        <v>0</v>
      </c>
      <c r="W67" s="17">
        <v>0</v>
      </c>
      <c r="X67" s="17">
        <v>1497.98</v>
      </c>
      <c r="Y67" s="17">
        <v>1497.98</v>
      </c>
      <c r="Z67" s="17">
        <v>0</v>
      </c>
      <c r="AA67" s="13" t="s">
        <v>146</v>
      </c>
      <c r="AB67" s="13" t="s">
        <v>44</v>
      </c>
      <c r="AC67" s="13" t="s">
        <v>45</v>
      </c>
      <c r="AD67" s="13" t="s">
        <v>46</v>
      </c>
      <c r="AE67" s="17">
        <v>1497.98</v>
      </c>
      <c r="AF67" s="17">
        <v>389.73</v>
      </c>
      <c r="AG67" s="47" t="s">
        <v>882</v>
      </c>
      <c r="AH67" s="20" t="s">
        <v>793</v>
      </c>
      <c r="AI67" s="19" t="b">
        <v>0</v>
      </c>
      <c r="AJ67" s="18" t="s">
        <v>868</v>
      </c>
      <c r="AK67" s="49" t="s">
        <v>793</v>
      </c>
    </row>
    <row r="68" spans="1:37" x14ac:dyDescent="0.35">
      <c r="A68" s="12" t="s">
        <v>33</v>
      </c>
      <c r="B68" s="12">
        <v>100111676</v>
      </c>
      <c r="C68" s="13" t="s">
        <v>137</v>
      </c>
      <c r="D68" s="13" t="s">
        <v>138</v>
      </c>
      <c r="E68" s="12">
        <v>9700016150</v>
      </c>
      <c r="F68" s="13" t="s">
        <v>147</v>
      </c>
      <c r="G68" s="12" t="s">
        <v>37</v>
      </c>
      <c r="H68" s="14">
        <v>568.26</v>
      </c>
      <c r="I68" s="15">
        <v>46103</v>
      </c>
      <c r="J68" s="12" t="str">
        <f t="shared" ca="1" si="1"/>
        <v>31-60</v>
      </c>
      <c r="K68" s="14">
        <v>568.26</v>
      </c>
      <c r="L68" s="16">
        <v>46073</v>
      </c>
      <c r="M68" s="13" t="s">
        <v>38</v>
      </c>
      <c r="N68" s="13" t="s">
        <v>39</v>
      </c>
      <c r="O68" s="13" t="s">
        <v>40</v>
      </c>
      <c r="P68" s="13"/>
      <c r="Q68" s="13" t="s">
        <v>41</v>
      </c>
      <c r="R68" s="13" t="s">
        <v>42</v>
      </c>
      <c r="S68" s="17">
        <v>0</v>
      </c>
      <c r="T68" s="17">
        <v>2086.9299999999998</v>
      </c>
      <c r="U68" s="17">
        <v>0</v>
      </c>
      <c r="V68" s="17">
        <v>0</v>
      </c>
      <c r="W68" s="17">
        <v>0</v>
      </c>
      <c r="X68" s="17">
        <v>0</v>
      </c>
      <c r="Y68" s="17">
        <v>2086.9299999999998</v>
      </c>
      <c r="Z68" s="17">
        <v>0</v>
      </c>
      <c r="AA68" s="13" t="s">
        <v>140</v>
      </c>
      <c r="AB68" s="13" t="s">
        <v>44</v>
      </c>
      <c r="AC68" s="13" t="s">
        <v>45</v>
      </c>
      <c r="AD68" s="13" t="s">
        <v>46</v>
      </c>
      <c r="AE68" s="17">
        <v>2086.9299999999998</v>
      </c>
      <c r="AF68" s="17">
        <v>479.75</v>
      </c>
      <c r="AG68" s="47" t="s">
        <v>885</v>
      </c>
      <c r="AH68" s="20" t="s">
        <v>793</v>
      </c>
      <c r="AI68" s="19" t="b">
        <v>0</v>
      </c>
      <c r="AJ68" s="18" t="s">
        <v>868</v>
      </c>
      <c r="AK68" s="49" t="s">
        <v>793</v>
      </c>
    </row>
    <row r="69" spans="1:37" x14ac:dyDescent="0.35">
      <c r="A69" s="12" t="s">
        <v>33</v>
      </c>
      <c r="B69" s="12">
        <v>100111676</v>
      </c>
      <c r="C69" s="13" t="s">
        <v>137</v>
      </c>
      <c r="D69" s="13" t="s">
        <v>138</v>
      </c>
      <c r="E69" s="12">
        <v>9700017527</v>
      </c>
      <c r="F69" s="13" t="s">
        <v>148</v>
      </c>
      <c r="G69" s="12" t="s">
        <v>37</v>
      </c>
      <c r="H69" s="14">
        <v>1503.28</v>
      </c>
      <c r="I69" s="15">
        <v>46109</v>
      </c>
      <c r="J69" s="12" t="str">
        <f t="shared" ca="1" si="1"/>
        <v>31-60</v>
      </c>
      <c r="K69" s="14">
        <v>1503.28</v>
      </c>
      <c r="L69" s="16">
        <v>46079</v>
      </c>
      <c r="M69" s="13" t="s">
        <v>38</v>
      </c>
      <c r="N69" s="13" t="s">
        <v>39</v>
      </c>
      <c r="O69" s="13" t="s">
        <v>40</v>
      </c>
      <c r="P69" s="13"/>
      <c r="Q69" s="13" t="s">
        <v>41</v>
      </c>
      <c r="R69" s="13" t="s">
        <v>42</v>
      </c>
      <c r="S69" s="17">
        <v>0</v>
      </c>
      <c r="T69" s="17">
        <v>5520.8</v>
      </c>
      <c r="U69" s="17">
        <v>0</v>
      </c>
      <c r="V69" s="17">
        <v>0</v>
      </c>
      <c r="W69" s="17">
        <v>0</v>
      </c>
      <c r="X69" s="17">
        <v>0</v>
      </c>
      <c r="Y69" s="17">
        <v>5520.8</v>
      </c>
      <c r="Z69" s="17">
        <v>0</v>
      </c>
      <c r="AA69" s="13" t="s">
        <v>149</v>
      </c>
      <c r="AB69" s="13" t="s">
        <v>44</v>
      </c>
      <c r="AC69" s="13" t="s">
        <v>45</v>
      </c>
      <c r="AD69" s="13" t="s">
        <v>46</v>
      </c>
      <c r="AE69" s="17">
        <v>5520.8</v>
      </c>
      <c r="AF69" s="17">
        <v>1277.54</v>
      </c>
      <c r="AG69" s="47" t="s">
        <v>885</v>
      </c>
      <c r="AH69" s="20" t="s">
        <v>793</v>
      </c>
      <c r="AI69" s="19" t="b">
        <v>0</v>
      </c>
      <c r="AJ69" s="18" t="s">
        <v>868</v>
      </c>
      <c r="AK69" s="49" t="s">
        <v>793</v>
      </c>
    </row>
    <row r="70" spans="1:37" x14ac:dyDescent="0.35">
      <c r="A70" s="12" t="s">
        <v>33</v>
      </c>
      <c r="B70" s="12">
        <v>100111676</v>
      </c>
      <c r="C70" s="13" t="s">
        <v>137</v>
      </c>
      <c r="D70" s="13" t="s">
        <v>138</v>
      </c>
      <c r="E70" s="12">
        <v>9700025561</v>
      </c>
      <c r="F70" s="13" t="s">
        <v>150</v>
      </c>
      <c r="G70" s="12" t="s">
        <v>37</v>
      </c>
      <c r="H70" s="14">
        <v>395.61</v>
      </c>
      <c r="I70" s="15">
        <v>45794</v>
      </c>
      <c r="J70" s="12" t="str">
        <f t="shared" ca="1" si="1"/>
        <v>120 +</v>
      </c>
      <c r="K70" s="14">
        <v>395.61</v>
      </c>
      <c r="L70" s="16">
        <v>45764</v>
      </c>
      <c r="M70" s="13" t="s">
        <v>38</v>
      </c>
      <c r="N70" s="13" t="s">
        <v>39</v>
      </c>
      <c r="O70" s="13" t="s">
        <v>40</v>
      </c>
      <c r="P70" s="13"/>
      <c r="Q70" s="13" t="s">
        <v>41</v>
      </c>
      <c r="R70" s="13" t="s">
        <v>42</v>
      </c>
      <c r="S70" s="17">
        <v>0</v>
      </c>
      <c r="T70" s="17">
        <v>0</v>
      </c>
      <c r="U70" s="17">
        <v>0</v>
      </c>
      <c r="V70" s="17">
        <v>0</v>
      </c>
      <c r="W70" s="17">
        <v>0</v>
      </c>
      <c r="X70" s="17">
        <v>1452.88</v>
      </c>
      <c r="Y70" s="17">
        <v>1452.88</v>
      </c>
      <c r="Z70" s="17">
        <v>0</v>
      </c>
      <c r="AA70" s="13" t="s">
        <v>140</v>
      </c>
      <c r="AB70" s="13" t="s">
        <v>44</v>
      </c>
      <c r="AC70" s="13" t="s">
        <v>45</v>
      </c>
      <c r="AD70" s="13" t="s">
        <v>46</v>
      </c>
      <c r="AE70" s="17">
        <v>1452.88</v>
      </c>
      <c r="AF70" s="17">
        <v>348.68</v>
      </c>
      <c r="AG70" s="47" t="s">
        <v>885</v>
      </c>
      <c r="AH70" s="20" t="s">
        <v>793</v>
      </c>
      <c r="AI70" s="19" t="b">
        <v>0</v>
      </c>
      <c r="AJ70" s="18" t="s">
        <v>868</v>
      </c>
      <c r="AK70" s="49" t="s">
        <v>793</v>
      </c>
    </row>
    <row r="71" spans="1:37" x14ac:dyDescent="0.35">
      <c r="A71" s="12" t="s">
        <v>33</v>
      </c>
      <c r="B71" s="12">
        <v>100111676</v>
      </c>
      <c r="C71" s="13" t="s">
        <v>137</v>
      </c>
      <c r="D71" s="13" t="s">
        <v>138</v>
      </c>
      <c r="E71" s="12">
        <v>9700025901</v>
      </c>
      <c r="F71" s="13" t="s">
        <v>151</v>
      </c>
      <c r="G71" s="12" t="s">
        <v>37</v>
      </c>
      <c r="H71" s="14">
        <v>360.51</v>
      </c>
      <c r="I71" s="15">
        <v>45794</v>
      </c>
      <c r="J71" s="12" t="str">
        <f t="shared" ca="1" si="1"/>
        <v>120 +</v>
      </c>
      <c r="K71" s="14">
        <v>360.51</v>
      </c>
      <c r="L71" s="16">
        <v>45764</v>
      </c>
      <c r="M71" s="13" t="s">
        <v>38</v>
      </c>
      <c r="N71" s="13" t="s">
        <v>39</v>
      </c>
      <c r="O71" s="13" t="s">
        <v>40</v>
      </c>
      <c r="P71" s="13"/>
      <c r="Q71" s="13" t="s">
        <v>41</v>
      </c>
      <c r="R71" s="13" t="s">
        <v>42</v>
      </c>
      <c r="S71" s="17">
        <v>0</v>
      </c>
      <c r="T71" s="17">
        <v>0</v>
      </c>
      <c r="U71" s="17">
        <v>0</v>
      </c>
      <c r="V71" s="17">
        <v>0</v>
      </c>
      <c r="W71" s="17">
        <v>0</v>
      </c>
      <c r="X71" s="17">
        <v>1323.97</v>
      </c>
      <c r="Y71" s="17">
        <v>1323.97</v>
      </c>
      <c r="Z71" s="17">
        <v>0</v>
      </c>
      <c r="AA71" s="13" t="s">
        <v>140</v>
      </c>
      <c r="AB71" s="13" t="s">
        <v>44</v>
      </c>
      <c r="AC71" s="13" t="s">
        <v>45</v>
      </c>
      <c r="AD71" s="13" t="s">
        <v>46</v>
      </c>
      <c r="AE71" s="17">
        <v>1323.97</v>
      </c>
      <c r="AF71" s="17">
        <v>316.88</v>
      </c>
      <c r="AG71" s="47" t="s">
        <v>885</v>
      </c>
      <c r="AH71" s="20" t="s">
        <v>793</v>
      </c>
      <c r="AI71" s="19" t="b">
        <v>0</v>
      </c>
      <c r="AJ71" s="18" t="s">
        <v>868</v>
      </c>
      <c r="AK71" s="49" t="s">
        <v>793</v>
      </c>
    </row>
    <row r="72" spans="1:37" x14ac:dyDescent="0.35">
      <c r="A72" s="12" t="s">
        <v>33</v>
      </c>
      <c r="B72" s="12">
        <v>100111676</v>
      </c>
      <c r="C72" s="13" t="s">
        <v>137</v>
      </c>
      <c r="D72" s="13" t="s">
        <v>138</v>
      </c>
      <c r="E72" s="12">
        <v>9700025999</v>
      </c>
      <c r="F72" s="13" t="s">
        <v>152</v>
      </c>
      <c r="G72" s="12" t="s">
        <v>37</v>
      </c>
      <c r="H72" s="14">
        <v>1445.56</v>
      </c>
      <c r="I72" s="15">
        <v>46141</v>
      </c>
      <c r="J72" s="12" t="str">
        <f t="shared" ca="1" si="1"/>
        <v>Current</v>
      </c>
      <c r="K72" s="14">
        <v>1445.56</v>
      </c>
      <c r="L72" s="16">
        <v>46111</v>
      </c>
      <c r="M72" s="13" t="s">
        <v>38</v>
      </c>
      <c r="N72" s="13" t="s">
        <v>39</v>
      </c>
      <c r="O72" s="13" t="s">
        <v>40</v>
      </c>
      <c r="P72" s="13"/>
      <c r="Q72" s="13" t="s">
        <v>41</v>
      </c>
      <c r="R72" s="13" t="s">
        <v>42</v>
      </c>
      <c r="S72" s="17">
        <v>5308.82</v>
      </c>
      <c r="T72" s="17">
        <v>0</v>
      </c>
      <c r="U72" s="17">
        <v>0</v>
      </c>
      <c r="V72" s="17">
        <v>0</v>
      </c>
      <c r="W72" s="17">
        <v>0</v>
      </c>
      <c r="X72" s="17">
        <v>0</v>
      </c>
      <c r="Y72" s="17">
        <v>0</v>
      </c>
      <c r="Z72" s="17">
        <v>0</v>
      </c>
      <c r="AA72" s="13" t="s">
        <v>149</v>
      </c>
      <c r="AB72" s="13" t="s">
        <v>44</v>
      </c>
      <c r="AC72" s="13" t="s">
        <v>45</v>
      </c>
      <c r="AD72" s="13" t="s">
        <v>46</v>
      </c>
      <c r="AE72" s="17">
        <v>5308.82</v>
      </c>
      <c r="AF72" s="17">
        <v>1247.03</v>
      </c>
      <c r="AG72" s="47" t="s">
        <v>885</v>
      </c>
      <c r="AH72" s="20" t="e">
        <v>#N/A</v>
      </c>
      <c r="AI72" s="19" t="b">
        <v>0</v>
      </c>
      <c r="AJ72" s="18" t="s">
        <v>868</v>
      </c>
      <c r="AK72" s="49" t="s">
        <v>793</v>
      </c>
    </row>
    <row r="73" spans="1:37" x14ac:dyDescent="0.35">
      <c r="A73" s="12" t="s">
        <v>33</v>
      </c>
      <c r="B73" s="12">
        <v>100111676</v>
      </c>
      <c r="C73" s="13" t="s">
        <v>137</v>
      </c>
      <c r="D73" s="13" t="s">
        <v>138</v>
      </c>
      <c r="E73" s="12">
        <v>9700029158</v>
      </c>
      <c r="F73" s="13" t="s">
        <v>153</v>
      </c>
      <c r="G73" s="12" t="s">
        <v>37</v>
      </c>
      <c r="H73" s="14">
        <v>351.71</v>
      </c>
      <c r="I73" s="15">
        <v>45805</v>
      </c>
      <c r="J73" s="12" t="str">
        <f t="shared" ca="1" si="1"/>
        <v>120 +</v>
      </c>
      <c r="K73" s="14">
        <v>351.71</v>
      </c>
      <c r="L73" s="16">
        <v>45775</v>
      </c>
      <c r="M73" s="13" t="s">
        <v>38</v>
      </c>
      <c r="N73" s="13" t="s">
        <v>39</v>
      </c>
      <c r="O73" s="13" t="s">
        <v>40</v>
      </c>
      <c r="P73" s="13"/>
      <c r="Q73" s="13" t="s">
        <v>41</v>
      </c>
      <c r="R73" s="13" t="s">
        <v>42</v>
      </c>
      <c r="S73" s="17">
        <v>0</v>
      </c>
      <c r="T73" s="17">
        <v>0</v>
      </c>
      <c r="U73" s="17">
        <v>0</v>
      </c>
      <c r="V73" s="17">
        <v>0</v>
      </c>
      <c r="W73" s="17">
        <v>0</v>
      </c>
      <c r="X73" s="17">
        <v>1291.6500000000001</v>
      </c>
      <c r="Y73" s="17">
        <v>1291.6500000000001</v>
      </c>
      <c r="Z73" s="17">
        <v>0</v>
      </c>
      <c r="AA73" s="13" t="s">
        <v>140</v>
      </c>
      <c r="AB73" s="13" t="s">
        <v>44</v>
      </c>
      <c r="AC73" s="13" t="s">
        <v>45</v>
      </c>
      <c r="AD73" s="13" t="s">
        <v>46</v>
      </c>
      <c r="AE73" s="17">
        <v>1291.6500000000001</v>
      </c>
      <c r="AF73" s="17">
        <v>309.17</v>
      </c>
      <c r="AG73" s="47" t="s">
        <v>885</v>
      </c>
      <c r="AH73" s="20" t="s">
        <v>793</v>
      </c>
      <c r="AI73" s="19" t="b">
        <v>0</v>
      </c>
      <c r="AJ73" s="18" t="s">
        <v>868</v>
      </c>
      <c r="AK73" s="49" t="s">
        <v>793</v>
      </c>
    </row>
    <row r="74" spans="1:37" x14ac:dyDescent="0.35">
      <c r="A74" s="12" t="s">
        <v>33</v>
      </c>
      <c r="B74" s="12">
        <v>100111676</v>
      </c>
      <c r="C74" s="13" t="s">
        <v>137</v>
      </c>
      <c r="D74" s="13" t="s">
        <v>138</v>
      </c>
      <c r="E74" s="12">
        <v>9700034850</v>
      </c>
      <c r="F74" s="13" t="s">
        <v>154</v>
      </c>
      <c r="G74" s="12" t="s">
        <v>37</v>
      </c>
      <c r="H74" s="14">
        <v>524.83000000000004</v>
      </c>
      <c r="I74" s="15">
        <v>45828</v>
      </c>
      <c r="J74" s="12" t="str">
        <f t="shared" ca="1" si="1"/>
        <v>120 +</v>
      </c>
      <c r="K74" s="14">
        <v>524.83000000000004</v>
      </c>
      <c r="L74" s="16">
        <v>45798</v>
      </c>
      <c r="M74" s="13" t="s">
        <v>38</v>
      </c>
      <c r="N74" s="13" t="s">
        <v>39</v>
      </c>
      <c r="O74" s="13" t="s">
        <v>40</v>
      </c>
      <c r="P74" s="13"/>
      <c r="Q74" s="13" t="s">
        <v>41</v>
      </c>
      <c r="R74" s="13" t="s">
        <v>42</v>
      </c>
      <c r="S74" s="17">
        <v>0</v>
      </c>
      <c r="T74" s="17">
        <v>0</v>
      </c>
      <c r="U74" s="17">
        <v>0</v>
      </c>
      <c r="V74" s="17">
        <v>0</v>
      </c>
      <c r="W74" s="17">
        <v>0</v>
      </c>
      <c r="X74" s="17">
        <v>1927.44</v>
      </c>
      <c r="Y74" s="17">
        <v>1927.44</v>
      </c>
      <c r="Z74" s="17">
        <v>0</v>
      </c>
      <c r="AA74" s="13" t="s">
        <v>140</v>
      </c>
      <c r="AB74" s="13" t="s">
        <v>44</v>
      </c>
      <c r="AC74" s="13" t="s">
        <v>45</v>
      </c>
      <c r="AD74" s="13" t="s">
        <v>46</v>
      </c>
      <c r="AE74" s="17">
        <v>1927.44</v>
      </c>
      <c r="AF74" s="17">
        <v>468.85</v>
      </c>
      <c r="AG74" s="47" t="s">
        <v>885</v>
      </c>
      <c r="AH74" s="20" t="s">
        <v>793</v>
      </c>
      <c r="AI74" s="19" t="b">
        <v>0</v>
      </c>
      <c r="AJ74" s="18" t="s">
        <v>868</v>
      </c>
      <c r="AK74" s="49" t="s">
        <v>793</v>
      </c>
    </row>
    <row r="75" spans="1:37" x14ac:dyDescent="0.35">
      <c r="A75" s="12" t="s">
        <v>33</v>
      </c>
      <c r="B75" s="12">
        <v>100111676</v>
      </c>
      <c r="C75" s="13" t="s">
        <v>137</v>
      </c>
      <c r="D75" s="13" t="s">
        <v>138</v>
      </c>
      <c r="E75" s="12">
        <v>9700040580</v>
      </c>
      <c r="F75" s="13" t="s">
        <v>155</v>
      </c>
      <c r="G75" s="12" t="s">
        <v>37</v>
      </c>
      <c r="H75" s="14">
        <v>514.41</v>
      </c>
      <c r="I75" s="15">
        <v>45856</v>
      </c>
      <c r="J75" s="12" t="str">
        <f t="shared" ca="1" si="1"/>
        <v>120 +</v>
      </c>
      <c r="K75" s="14">
        <v>514.41</v>
      </c>
      <c r="L75" s="16">
        <v>45826</v>
      </c>
      <c r="M75" s="13" t="s">
        <v>38</v>
      </c>
      <c r="N75" s="13" t="s">
        <v>39</v>
      </c>
      <c r="O75" s="13" t="s">
        <v>40</v>
      </c>
      <c r="P75" s="13"/>
      <c r="Q75" s="13" t="s">
        <v>41</v>
      </c>
      <c r="R75" s="13" t="s">
        <v>42</v>
      </c>
      <c r="S75" s="17">
        <v>0</v>
      </c>
      <c r="T75" s="17">
        <v>0</v>
      </c>
      <c r="U75" s="17">
        <v>0</v>
      </c>
      <c r="V75" s="17">
        <v>0</v>
      </c>
      <c r="W75" s="17">
        <v>0</v>
      </c>
      <c r="X75" s="17">
        <v>1889.17</v>
      </c>
      <c r="Y75" s="17">
        <v>1889.17</v>
      </c>
      <c r="Z75" s="17">
        <v>0</v>
      </c>
      <c r="AA75" s="13" t="s">
        <v>140</v>
      </c>
      <c r="AB75" s="13" t="s">
        <v>44</v>
      </c>
      <c r="AC75" s="13" t="s">
        <v>45</v>
      </c>
      <c r="AD75" s="13" t="s">
        <v>46</v>
      </c>
      <c r="AE75" s="17">
        <v>1889.17</v>
      </c>
      <c r="AF75" s="17">
        <v>446.85</v>
      </c>
      <c r="AG75" s="47" t="s">
        <v>885</v>
      </c>
      <c r="AH75" s="20" t="s">
        <v>793</v>
      </c>
      <c r="AI75" s="19" t="b">
        <v>0</v>
      </c>
      <c r="AJ75" s="18" t="s">
        <v>868</v>
      </c>
      <c r="AK75" s="49" t="s">
        <v>793</v>
      </c>
    </row>
    <row r="76" spans="1:37" x14ac:dyDescent="0.35">
      <c r="A76" s="12" t="s">
        <v>33</v>
      </c>
      <c r="B76" s="12">
        <v>100111676</v>
      </c>
      <c r="C76" s="13" t="s">
        <v>137</v>
      </c>
      <c r="D76" s="13" t="s">
        <v>138</v>
      </c>
      <c r="E76" s="12">
        <v>9700047504</v>
      </c>
      <c r="F76" s="13" t="s">
        <v>156</v>
      </c>
      <c r="G76" s="12" t="s">
        <v>37</v>
      </c>
      <c r="H76" s="14">
        <v>484.98</v>
      </c>
      <c r="I76" s="15">
        <v>45889</v>
      </c>
      <c r="J76" s="12" t="str">
        <f t="shared" ca="1" si="1"/>
        <v>120 +</v>
      </c>
      <c r="K76" s="14">
        <v>484.98</v>
      </c>
      <c r="L76" s="16">
        <v>45859</v>
      </c>
      <c r="M76" s="13" t="s">
        <v>38</v>
      </c>
      <c r="N76" s="13" t="s">
        <v>39</v>
      </c>
      <c r="O76" s="13" t="s">
        <v>40</v>
      </c>
      <c r="P76" s="13"/>
      <c r="Q76" s="13" t="s">
        <v>41</v>
      </c>
      <c r="R76" s="13" t="s">
        <v>42</v>
      </c>
      <c r="S76" s="17">
        <v>0</v>
      </c>
      <c r="T76" s="17">
        <v>0</v>
      </c>
      <c r="U76" s="17">
        <v>0</v>
      </c>
      <c r="V76" s="17">
        <v>0</v>
      </c>
      <c r="W76" s="17">
        <v>0</v>
      </c>
      <c r="X76" s="17">
        <v>1781.09</v>
      </c>
      <c r="Y76" s="17">
        <v>1781.09</v>
      </c>
      <c r="Z76" s="17">
        <v>0</v>
      </c>
      <c r="AA76" s="13" t="s">
        <v>140</v>
      </c>
      <c r="AB76" s="13" t="s">
        <v>44</v>
      </c>
      <c r="AC76" s="13" t="s">
        <v>45</v>
      </c>
      <c r="AD76" s="13" t="s">
        <v>46</v>
      </c>
      <c r="AE76" s="17">
        <v>1781.09</v>
      </c>
      <c r="AF76" s="17">
        <v>418.01</v>
      </c>
      <c r="AG76" s="47" t="s">
        <v>885</v>
      </c>
      <c r="AH76" s="20" t="s">
        <v>793</v>
      </c>
      <c r="AI76" s="19" t="b">
        <v>0</v>
      </c>
      <c r="AJ76" s="18" t="s">
        <v>868</v>
      </c>
      <c r="AK76" s="49" t="s">
        <v>793</v>
      </c>
    </row>
    <row r="77" spans="1:37" x14ac:dyDescent="0.35">
      <c r="A77" s="12" t="s">
        <v>33</v>
      </c>
      <c r="B77" s="12">
        <v>100111676</v>
      </c>
      <c r="C77" s="13" t="s">
        <v>137</v>
      </c>
      <c r="D77" s="13" t="s">
        <v>138</v>
      </c>
      <c r="E77" s="12">
        <v>9700050581</v>
      </c>
      <c r="F77" s="13" t="s">
        <v>157</v>
      </c>
      <c r="G77" s="12" t="s">
        <v>37</v>
      </c>
      <c r="H77" s="14">
        <v>-1039.48</v>
      </c>
      <c r="I77" s="15">
        <v>45896</v>
      </c>
      <c r="J77" s="12" t="str">
        <f t="shared" ca="1" si="1"/>
        <v>120 +</v>
      </c>
      <c r="K77" s="14">
        <v>-1039.48</v>
      </c>
      <c r="L77" s="16">
        <v>45866</v>
      </c>
      <c r="M77" s="13" t="s">
        <v>38</v>
      </c>
      <c r="N77" s="13" t="s">
        <v>39</v>
      </c>
      <c r="O77" s="13" t="s">
        <v>40</v>
      </c>
      <c r="P77" s="13" t="s">
        <v>62</v>
      </c>
      <c r="Q77" s="13" t="s">
        <v>41</v>
      </c>
      <c r="R77" s="13" t="s">
        <v>42</v>
      </c>
      <c r="S77" s="17">
        <v>-3817.49</v>
      </c>
      <c r="T77" s="17">
        <v>0</v>
      </c>
      <c r="U77" s="17">
        <v>0</v>
      </c>
      <c r="V77" s="17">
        <v>0</v>
      </c>
      <c r="W77" s="17">
        <v>0</v>
      </c>
      <c r="X77" s="17">
        <v>0</v>
      </c>
      <c r="Y77" s="17">
        <v>0</v>
      </c>
      <c r="Z77" s="17">
        <v>0</v>
      </c>
      <c r="AA77" s="13"/>
      <c r="AB77" s="13" t="s">
        <v>44</v>
      </c>
      <c r="AC77" s="13" t="s">
        <v>45</v>
      </c>
      <c r="AD77" s="13" t="s">
        <v>46</v>
      </c>
      <c r="AE77" s="17">
        <v>-3817.49</v>
      </c>
      <c r="AF77" s="17">
        <v>-884.21</v>
      </c>
      <c r="AG77" s="47" t="e">
        <v>#N/A</v>
      </c>
      <c r="AH77" s="20" t="s">
        <v>793</v>
      </c>
      <c r="AI77" s="19" t="b">
        <v>0</v>
      </c>
      <c r="AJ77" s="18" t="s">
        <v>868</v>
      </c>
      <c r="AK77" s="49" t="s">
        <v>793</v>
      </c>
    </row>
    <row r="78" spans="1:37" x14ac:dyDescent="0.35">
      <c r="A78" s="12" t="s">
        <v>33</v>
      </c>
      <c r="B78" s="12">
        <v>100111676</v>
      </c>
      <c r="C78" s="13" t="s">
        <v>137</v>
      </c>
      <c r="D78" s="13" t="s">
        <v>138</v>
      </c>
      <c r="E78" s="12">
        <v>9700062009</v>
      </c>
      <c r="F78" s="13" t="s">
        <v>158</v>
      </c>
      <c r="G78" s="12" t="s">
        <v>37</v>
      </c>
      <c r="H78" s="14">
        <v>576.52</v>
      </c>
      <c r="I78" s="15">
        <v>45942</v>
      </c>
      <c r="J78" s="12" t="str">
        <f t="shared" ca="1" si="1"/>
        <v>120 +</v>
      </c>
      <c r="K78" s="14">
        <v>576.52</v>
      </c>
      <c r="L78" s="16">
        <v>45912</v>
      </c>
      <c r="M78" s="13" t="s">
        <v>38</v>
      </c>
      <c r="N78" s="13" t="s">
        <v>39</v>
      </c>
      <c r="O78" s="13" t="s">
        <v>40</v>
      </c>
      <c r="P78" s="13"/>
      <c r="Q78" s="13" t="s">
        <v>41</v>
      </c>
      <c r="R78" s="13" t="s">
        <v>42</v>
      </c>
      <c r="S78" s="17">
        <v>0</v>
      </c>
      <c r="T78" s="17">
        <v>0</v>
      </c>
      <c r="U78" s="17">
        <v>0</v>
      </c>
      <c r="V78" s="17">
        <v>0</v>
      </c>
      <c r="W78" s="17">
        <v>0</v>
      </c>
      <c r="X78" s="17">
        <v>2117.27</v>
      </c>
      <c r="Y78" s="17">
        <v>2117.27</v>
      </c>
      <c r="Z78" s="17">
        <v>0</v>
      </c>
      <c r="AA78" s="13" t="s">
        <v>140</v>
      </c>
      <c r="AB78" s="13" t="s">
        <v>44</v>
      </c>
      <c r="AC78" s="13" t="s">
        <v>45</v>
      </c>
      <c r="AD78" s="13" t="s">
        <v>46</v>
      </c>
      <c r="AE78" s="17">
        <v>2117.27</v>
      </c>
      <c r="AF78" s="17">
        <v>490.91</v>
      </c>
      <c r="AG78" s="47" t="s">
        <v>885</v>
      </c>
      <c r="AH78" s="20" t="s">
        <v>793</v>
      </c>
      <c r="AI78" s="19" t="b">
        <v>0</v>
      </c>
      <c r="AJ78" s="18" t="s">
        <v>868</v>
      </c>
      <c r="AK78" s="49" t="s">
        <v>793</v>
      </c>
    </row>
    <row r="79" spans="1:37" x14ac:dyDescent="0.35">
      <c r="A79" s="12" t="s">
        <v>33</v>
      </c>
      <c r="B79" s="12">
        <v>100111676</v>
      </c>
      <c r="C79" s="13" t="s">
        <v>137</v>
      </c>
      <c r="D79" s="13" t="s">
        <v>138</v>
      </c>
      <c r="E79" s="12">
        <v>9700064316</v>
      </c>
      <c r="F79" s="13" t="s">
        <v>159</v>
      </c>
      <c r="G79" s="12" t="s">
        <v>37</v>
      </c>
      <c r="H79" s="14">
        <v>605.27</v>
      </c>
      <c r="I79" s="15">
        <v>45948</v>
      </c>
      <c r="J79" s="12" t="str">
        <f t="shared" ca="1" si="1"/>
        <v>120 +</v>
      </c>
      <c r="K79" s="14">
        <v>605.27</v>
      </c>
      <c r="L79" s="16">
        <v>45918</v>
      </c>
      <c r="M79" s="13" t="s">
        <v>38</v>
      </c>
      <c r="N79" s="13" t="s">
        <v>39</v>
      </c>
      <c r="O79" s="13" t="s">
        <v>40</v>
      </c>
      <c r="P79" s="13"/>
      <c r="Q79" s="13" t="s">
        <v>41</v>
      </c>
      <c r="R79" s="13" t="s">
        <v>42</v>
      </c>
      <c r="S79" s="17">
        <v>0</v>
      </c>
      <c r="T79" s="17">
        <v>0</v>
      </c>
      <c r="U79" s="17">
        <v>0</v>
      </c>
      <c r="V79" s="17">
        <v>0</v>
      </c>
      <c r="W79" s="17">
        <v>0</v>
      </c>
      <c r="X79" s="17">
        <v>2222.85</v>
      </c>
      <c r="Y79" s="17">
        <v>2222.85</v>
      </c>
      <c r="Z79" s="17">
        <v>0</v>
      </c>
      <c r="AA79" s="13" t="s">
        <v>140</v>
      </c>
      <c r="AB79" s="13" t="s">
        <v>44</v>
      </c>
      <c r="AC79" s="13" t="s">
        <v>45</v>
      </c>
      <c r="AD79" s="13" t="s">
        <v>46</v>
      </c>
      <c r="AE79" s="17">
        <v>2222.85</v>
      </c>
      <c r="AF79" s="17">
        <v>512.64</v>
      </c>
      <c r="AG79" s="47" t="s">
        <v>885</v>
      </c>
      <c r="AH79" s="20" t="s">
        <v>793</v>
      </c>
      <c r="AI79" s="19" t="b">
        <v>0</v>
      </c>
      <c r="AJ79" s="18" t="s">
        <v>868</v>
      </c>
      <c r="AK79" s="49" t="s">
        <v>793</v>
      </c>
    </row>
    <row r="80" spans="1:37" x14ac:dyDescent="0.35">
      <c r="A80" s="12" t="s">
        <v>33</v>
      </c>
      <c r="B80" s="12">
        <v>100111676</v>
      </c>
      <c r="C80" s="13" t="s">
        <v>137</v>
      </c>
      <c r="D80" s="13" t="s">
        <v>138</v>
      </c>
      <c r="E80" s="12">
        <v>9700070452</v>
      </c>
      <c r="F80" s="13" t="s">
        <v>160</v>
      </c>
      <c r="G80" s="12" t="s">
        <v>37</v>
      </c>
      <c r="H80" s="14">
        <v>603.82000000000005</v>
      </c>
      <c r="I80" s="15">
        <v>45973</v>
      </c>
      <c r="J80" s="12" t="str">
        <f t="shared" ca="1" si="1"/>
        <v>120 +</v>
      </c>
      <c r="K80" s="14">
        <v>603.82000000000005</v>
      </c>
      <c r="L80" s="16">
        <v>45943</v>
      </c>
      <c r="M80" s="13" t="s">
        <v>38</v>
      </c>
      <c r="N80" s="13" t="s">
        <v>39</v>
      </c>
      <c r="O80" s="13" t="s">
        <v>40</v>
      </c>
      <c r="P80" s="13"/>
      <c r="Q80" s="13" t="s">
        <v>41</v>
      </c>
      <c r="R80" s="13" t="s">
        <v>42</v>
      </c>
      <c r="S80" s="17">
        <v>0</v>
      </c>
      <c r="T80" s="17">
        <v>0</v>
      </c>
      <c r="U80" s="17">
        <v>0</v>
      </c>
      <c r="V80" s="17">
        <v>0</v>
      </c>
      <c r="W80" s="17">
        <v>0</v>
      </c>
      <c r="X80" s="17">
        <v>2217.5300000000002</v>
      </c>
      <c r="Y80" s="17">
        <v>2217.5300000000002</v>
      </c>
      <c r="Z80" s="17">
        <v>0</v>
      </c>
      <c r="AA80" s="13" t="s">
        <v>140</v>
      </c>
      <c r="AB80" s="13" t="s">
        <v>44</v>
      </c>
      <c r="AC80" s="13" t="s">
        <v>45</v>
      </c>
      <c r="AD80" s="13" t="s">
        <v>46</v>
      </c>
      <c r="AE80" s="17">
        <v>2217.5300000000002</v>
      </c>
      <c r="AF80" s="17">
        <v>520.04</v>
      </c>
      <c r="AG80" s="47" t="s">
        <v>885</v>
      </c>
      <c r="AH80" s="20" t="s">
        <v>793</v>
      </c>
      <c r="AI80" s="19" t="b">
        <v>0</v>
      </c>
      <c r="AJ80" s="18" t="s">
        <v>868</v>
      </c>
      <c r="AK80" s="49" t="s">
        <v>793</v>
      </c>
    </row>
    <row r="81" spans="1:37" x14ac:dyDescent="0.35">
      <c r="A81" s="12" t="s">
        <v>33</v>
      </c>
      <c r="B81" s="12">
        <v>100111676</v>
      </c>
      <c r="C81" s="13" t="s">
        <v>137</v>
      </c>
      <c r="D81" s="13" t="s">
        <v>138</v>
      </c>
      <c r="E81" s="12">
        <v>9700083366</v>
      </c>
      <c r="F81" s="13" t="s">
        <v>161</v>
      </c>
      <c r="G81" s="12" t="s">
        <v>37</v>
      </c>
      <c r="H81" s="14">
        <v>597.39</v>
      </c>
      <c r="I81" s="15">
        <v>46017</v>
      </c>
      <c r="J81" s="12" t="str">
        <f t="shared" ca="1" si="1"/>
        <v>120 +</v>
      </c>
      <c r="K81" s="14">
        <v>597.39</v>
      </c>
      <c r="L81" s="16">
        <v>45987</v>
      </c>
      <c r="M81" s="13" t="s">
        <v>38</v>
      </c>
      <c r="N81" s="13" t="s">
        <v>39</v>
      </c>
      <c r="O81" s="13" t="s">
        <v>40</v>
      </c>
      <c r="P81" s="13"/>
      <c r="Q81" s="13" t="s">
        <v>41</v>
      </c>
      <c r="R81" s="13" t="s">
        <v>42</v>
      </c>
      <c r="S81" s="17">
        <v>0</v>
      </c>
      <c r="T81" s="17">
        <v>0</v>
      </c>
      <c r="U81" s="17">
        <v>0</v>
      </c>
      <c r="V81" s="17">
        <v>0</v>
      </c>
      <c r="W81" s="17">
        <v>2193.91</v>
      </c>
      <c r="X81" s="17">
        <v>0</v>
      </c>
      <c r="Y81" s="17">
        <v>2193.91</v>
      </c>
      <c r="Z81" s="17">
        <v>0</v>
      </c>
      <c r="AA81" s="13" t="s">
        <v>140</v>
      </c>
      <c r="AB81" s="13" t="s">
        <v>44</v>
      </c>
      <c r="AC81" s="13" t="s">
        <v>45</v>
      </c>
      <c r="AD81" s="13" t="s">
        <v>46</v>
      </c>
      <c r="AE81" s="17">
        <v>2193.91</v>
      </c>
      <c r="AF81" s="17">
        <v>518.57000000000005</v>
      </c>
      <c r="AG81" s="47" t="s">
        <v>885</v>
      </c>
      <c r="AH81" s="20" t="s">
        <v>793</v>
      </c>
      <c r="AI81" s="19" t="b">
        <v>0</v>
      </c>
      <c r="AJ81" s="18" t="s">
        <v>868</v>
      </c>
      <c r="AK81" s="49" t="s">
        <v>793</v>
      </c>
    </row>
    <row r="82" spans="1:37" ht="16.5" x14ac:dyDescent="0.4">
      <c r="A82" s="3"/>
      <c r="B82" s="3"/>
      <c r="C82" s="4"/>
      <c r="D82" s="4" t="s">
        <v>138</v>
      </c>
      <c r="E82" s="3"/>
      <c r="F82" s="4"/>
      <c r="G82" s="4"/>
      <c r="H82" s="43">
        <f>SUM(H64:H81)</f>
        <v>10230.48</v>
      </c>
      <c r="I82" s="5"/>
      <c r="J82" s="45" t="str">
        <f t="shared" ca="1" si="1"/>
        <v/>
      </c>
      <c r="K82" s="43">
        <f>SUM(K64:K81)</f>
        <v>10230.48</v>
      </c>
      <c r="L82" s="9"/>
      <c r="M82" s="4"/>
      <c r="N82" s="4"/>
      <c r="O82" s="4"/>
      <c r="P82" s="4"/>
      <c r="Q82" s="4"/>
      <c r="R82" s="4" t="s">
        <v>42</v>
      </c>
      <c r="S82" s="6">
        <v>1491.33</v>
      </c>
      <c r="T82" s="6">
        <v>7607.73</v>
      </c>
      <c r="U82" s="6">
        <v>2122.71</v>
      </c>
      <c r="V82" s="6">
        <v>0</v>
      </c>
      <c r="W82" s="6">
        <v>2193.91</v>
      </c>
      <c r="X82" s="7"/>
      <c r="Y82" s="7"/>
      <c r="Z82" s="6">
        <v>0</v>
      </c>
      <c r="AA82" s="4"/>
      <c r="AB82" s="4"/>
      <c r="AC82" s="4"/>
      <c r="AD82" s="4"/>
      <c r="AE82" s="6">
        <v>37571.440000000002</v>
      </c>
      <c r="AF82" s="6">
        <v>9030.33</v>
      </c>
      <c r="AG82" s="48"/>
      <c r="AH82" s="44" cm="1">
        <f t="array" ref="AH82">IFERROR(SUMPRODUCT(AF64:AF81*--(((AI64:AI81=TRUE)+(AI64:AI81=1))&gt;0)),0)</f>
        <v>0</v>
      </c>
      <c r="AI82" s="54">
        <f>SUMIF(AI64:AI81,TRUE,H64:H81)/H82</f>
        <v>0</v>
      </c>
      <c r="AJ82" s="6"/>
      <c r="AK82" s="50"/>
    </row>
    <row r="83" spans="1:37" x14ac:dyDescent="0.35">
      <c r="A83" s="12" t="s">
        <v>33</v>
      </c>
      <c r="B83" s="12">
        <v>100108821</v>
      </c>
      <c r="C83" s="13" t="s">
        <v>162</v>
      </c>
      <c r="D83" s="13" t="s">
        <v>163</v>
      </c>
      <c r="E83" s="12">
        <v>9700002097</v>
      </c>
      <c r="F83" s="13" t="s">
        <v>164</v>
      </c>
      <c r="G83" s="12" t="s">
        <v>37</v>
      </c>
      <c r="H83" s="14">
        <v>617.37</v>
      </c>
      <c r="I83" s="15">
        <v>46066</v>
      </c>
      <c r="J83" s="12" t="str">
        <f t="shared" ca="1" si="1"/>
        <v>61-90</v>
      </c>
      <c r="K83" s="14">
        <v>617.37</v>
      </c>
      <c r="L83" s="16">
        <v>46036</v>
      </c>
      <c r="M83" s="13" t="s">
        <v>38</v>
      </c>
      <c r="N83" s="13" t="s">
        <v>39</v>
      </c>
      <c r="O83" s="13" t="s">
        <v>40</v>
      </c>
      <c r="P83" s="13"/>
      <c r="Q83" s="13" t="s">
        <v>41</v>
      </c>
      <c r="R83" s="13" t="s">
        <v>42</v>
      </c>
      <c r="S83" s="17">
        <v>0</v>
      </c>
      <c r="T83" s="17">
        <v>0</v>
      </c>
      <c r="U83" s="17">
        <v>2267.29</v>
      </c>
      <c r="V83" s="17">
        <v>0</v>
      </c>
      <c r="W83" s="17">
        <v>0</v>
      </c>
      <c r="X83" s="17">
        <v>0</v>
      </c>
      <c r="Y83" s="17">
        <v>2267.29</v>
      </c>
      <c r="Z83" s="17">
        <v>0</v>
      </c>
      <c r="AA83" s="13" t="s">
        <v>165</v>
      </c>
      <c r="AB83" s="13" t="s">
        <v>44</v>
      </c>
      <c r="AC83" s="13" t="s">
        <v>45</v>
      </c>
      <c r="AD83" s="13" t="s">
        <v>46</v>
      </c>
      <c r="AE83" s="17">
        <v>2267.29</v>
      </c>
      <c r="AF83" s="17">
        <v>530.29999999999995</v>
      </c>
      <c r="AG83" s="47" t="s">
        <v>876</v>
      </c>
      <c r="AH83" s="20" t="s">
        <v>794</v>
      </c>
      <c r="AI83" s="19" t="b">
        <v>0</v>
      </c>
      <c r="AJ83" s="18" t="s">
        <v>868</v>
      </c>
      <c r="AK83" s="49" t="s">
        <v>794</v>
      </c>
    </row>
    <row r="84" spans="1:37" x14ac:dyDescent="0.35">
      <c r="A84" s="12" t="s">
        <v>33</v>
      </c>
      <c r="B84" s="12">
        <v>100108821</v>
      </c>
      <c r="C84" s="13" t="s">
        <v>162</v>
      </c>
      <c r="D84" s="13" t="s">
        <v>163</v>
      </c>
      <c r="E84" s="12">
        <v>9700003847</v>
      </c>
      <c r="F84" s="13" t="s">
        <v>166</v>
      </c>
      <c r="G84" s="12" t="s">
        <v>37</v>
      </c>
      <c r="H84" s="14">
        <v>629.04</v>
      </c>
      <c r="I84" s="15">
        <v>46071</v>
      </c>
      <c r="J84" s="12" t="str">
        <f t="shared" ca="1" si="1"/>
        <v>61-90</v>
      </c>
      <c r="K84" s="14">
        <v>629.04</v>
      </c>
      <c r="L84" s="16">
        <v>46041</v>
      </c>
      <c r="M84" s="13" t="s">
        <v>38</v>
      </c>
      <c r="N84" s="13" t="s">
        <v>39</v>
      </c>
      <c r="O84" s="13" t="s">
        <v>40</v>
      </c>
      <c r="P84" s="13"/>
      <c r="Q84" s="13" t="s">
        <v>41</v>
      </c>
      <c r="R84" s="13" t="s">
        <v>42</v>
      </c>
      <c r="S84" s="17">
        <v>0</v>
      </c>
      <c r="T84" s="17">
        <v>0</v>
      </c>
      <c r="U84" s="17">
        <v>2310.15</v>
      </c>
      <c r="V84" s="17">
        <v>0</v>
      </c>
      <c r="W84" s="17">
        <v>0</v>
      </c>
      <c r="X84" s="17">
        <v>0</v>
      </c>
      <c r="Y84" s="17">
        <v>2310.15</v>
      </c>
      <c r="Z84" s="17">
        <v>0</v>
      </c>
      <c r="AA84" s="13" t="s">
        <v>165</v>
      </c>
      <c r="AB84" s="13" t="s">
        <v>44</v>
      </c>
      <c r="AC84" s="13" t="s">
        <v>45</v>
      </c>
      <c r="AD84" s="13" t="s">
        <v>46</v>
      </c>
      <c r="AE84" s="17">
        <v>2310.15</v>
      </c>
      <c r="AF84" s="17">
        <v>539.9</v>
      </c>
      <c r="AG84" s="47" t="s">
        <v>876</v>
      </c>
      <c r="AH84" s="20" t="s">
        <v>794</v>
      </c>
      <c r="AI84" s="19" t="b">
        <v>0</v>
      </c>
      <c r="AJ84" s="18" t="s">
        <v>868</v>
      </c>
      <c r="AK84" s="49" t="s">
        <v>794</v>
      </c>
    </row>
    <row r="85" spans="1:37" x14ac:dyDescent="0.35">
      <c r="A85" s="12" t="s">
        <v>33</v>
      </c>
      <c r="B85" s="12">
        <v>100108821</v>
      </c>
      <c r="C85" s="13" t="s">
        <v>162</v>
      </c>
      <c r="D85" s="13" t="s">
        <v>163</v>
      </c>
      <c r="E85" s="12">
        <v>9700012890</v>
      </c>
      <c r="F85" s="13" t="s">
        <v>167</v>
      </c>
      <c r="G85" s="12" t="s">
        <v>37</v>
      </c>
      <c r="H85" s="14">
        <v>227.29</v>
      </c>
      <c r="I85" s="15">
        <v>45738</v>
      </c>
      <c r="J85" s="12" t="str">
        <f t="shared" ca="1" si="1"/>
        <v>120 +</v>
      </c>
      <c r="K85" s="14">
        <v>227.29</v>
      </c>
      <c r="L85" s="16">
        <v>45708</v>
      </c>
      <c r="M85" s="13" t="s">
        <v>38</v>
      </c>
      <c r="N85" s="13" t="s">
        <v>39</v>
      </c>
      <c r="O85" s="13" t="s">
        <v>40</v>
      </c>
      <c r="P85" s="13"/>
      <c r="Q85" s="13" t="s">
        <v>41</v>
      </c>
      <c r="R85" s="13" t="s">
        <v>42</v>
      </c>
      <c r="S85" s="17">
        <v>0</v>
      </c>
      <c r="T85" s="17">
        <v>0</v>
      </c>
      <c r="U85" s="17">
        <v>0</v>
      </c>
      <c r="V85" s="17">
        <v>0</v>
      </c>
      <c r="W85" s="17">
        <v>0</v>
      </c>
      <c r="X85" s="17">
        <v>834.72</v>
      </c>
      <c r="Y85" s="17">
        <v>834.72</v>
      </c>
      <c r="Z85" s="17">
        <v>0</v>
      </c>
      <c r="AA85" s="13" t="s">
        <v>168</v>
      </c>
      <c r="AB85" s="13" t="s">
        <v>44</v>
      </c>
      <c r="AC85" s="13" t="s">
        <v>45</v>
      </c>
      <c r="AD85" s="13" t="s">
        <v>46</v>
      </c>
      <c r="AE85" s="17">
        <v>834.72</v>
      </c>
      <c r="AF85" s="17">
        <v>217.56</v>
      </c>
      <c r="AG85" s="47" t="s">
        <v>882</v>
      </c>
      <c r="AH85" s="20" t="s">
        <v>794</v>
      </c>
      <c r="AI85" s="19" t="b">
        <v>0</v>
      </c>
      <c r="AJ85" s="18" t="s">
        <v>868</v>
      </c>
      <c r="AK85" s="49" t="s">
        <v>794</v>
      </c>
    </row>
    <row r="86" spans="1:37" x14ac:dyDescent="0.35">
      <c r="A86" s="12" t="s">
        <v>33</v>
      </c>
      <c r="B86" s="12">
        <v>100108821</v>
      </c>
      <c r="C86" s="13" t="s">
        <v>162</v>
      </c>
      <c r="D86" s="13" t="s">
        <v>163</v>
      </c>
      <c r="E86" s="12">
        <v>9700019172</v>
      </c>
      <c r="F86" s="13" t="s">
        <v>169</v>
      </c>
      <c r="G86" s="12" t="s">
        <v>37</v>
      </c>
      <c r="H86" s="14">
        <v>1527.54</v>
      </c>
      <c r="I86" s="15">
        <v>46115</v>
      </c>
      <c r="J86" s="12" t="str">
        <f t="shared" ca="1" si="1"/>
        <v>0-30</v>
      </c>
      <c r="K86" s="14">
        <v>1527.54</v>
      </c>
      <c r="L86" s="16">
        <v>46085</v>
      </c>
      <c r="M86" s="13" t="s">
        <v>38</v>
      </c>
      <c r="N86" s="13" t="s">
        <v>39</v>
      </c>
      <c r="O86" s="13" t="s">
        <v>40</v>
      </c>
      <c r="P86" s="13"/>
      <c r="Q86" s="13" t="s">
        <v>41</v>
      </c>
      <c r="R86" s="13" t="s">
        <v>42</v>
      </c>
      <c r="S86" s="17">
        <v>5609.89</v>
      </c>
      <c r="T86" s="17">
        <v>0</v>
      </c>
      <c r="U86" s="17">
        <v>0</v>
      </c>
      <c r="V86" s="17">
        <v>0</v>
      </c>
      <c r="W86" s="17">
        <v>0</v>
      </c>
      <c r="X86" s="17">
        <v>0</v>
      </c>
      <c r="Y86" s="17">
        <v>0</v>
      </c>
      <c r="Z86" s="17">
        <v>0</v>
      </c>
      <c r="AA86" s="13" t="s">
        <v>170</v>
      </c>
      <c r="AB86" s="13" t="s">
        <v>44</v>
      </c>
      <c r="AC86" s="13" t="s">
        <v>45</v>
      </c>
      <c r="AD86" s="13" t="s">
        <v>46</v>
      </c>
      <c r="AE86" s="17">
        <v>5609.89</v>
      </c>
      <c r="AF86" s="17">
        <v>1305.81</v>
      </c>
      <c r="AG86" s="47" t="s">
        <v>876</v>
      </c>
      <c r="AH86" s="20" t="e">
        <v>#N/A</v>
      </c>
      <c r="AI86" s="19" t="b">
        <v>0</v>
      </c>
      <c r="AJ86" s="18" t="s">
        <v>868</v>
      </c>
      <c r="AK86" s="49" t="s">
        <v>794</v>
      </c>
    </row>
    <row r="87" spans="1:37" x14ac:dyDescent="0.35">
      <c r="A87" s="12" t="s">
        <v>33</v>
      </c>
      <c r="B87" s="12">
        <v>100108821</v>
      </c>
      <c r="C87" s="13" t="s">
        <v>162</v>
      </c>
      <c r="D87" s="13" t="s">
        <v>163</v>
      </c>
      <c r="E87" s="12">
        <v>9700025518</v>
      </c>
      <c r="F87" s="13" t="s">
        <v>171</v>
      </c>
      <c r="G87" s="12" t="s">
        <v>37</v>
      </c>
      <c r="H87" s="14">
        <v>490.43</v>
      </c>
      <c r="I87" s="15">
        <v>45793</v>
      </c>
      <c r="J87" s="12" t="str">
        <f t="shared" ca="1" si="1"/>
        <v>120 +</v>
      </c>
      <c r="K87" s="14">
        <v>490.43</v>
      </c>
      <c r="L87" s="16">
        <v>45763</v>
      </c>
      <c r="M87" s="13" t="s">
        <v>38</v>
      </c>
      <c r="N87" s="13" t="s">
        <v>39</v>
      </c>
      <c r="O87" s="13" t="s">
        <v>40</v>
      </c>
      <c r="P87" s="13"/>
      <c r="Q87" s="13" t="s">
        <v>41</v>
      </c>
      <c r="R87" s="13" t="s">
        <v>42</v>
      </c>
      <c r="S87" s="17">
        <v>0</v>
      </c>
      <c r="T87" s="17">
        <v>0</v>
      </c>
      <c r="U87" s="17">
        <v>0</v>
      </c>
      <c r="V87" s="17">
        <v>0</v>
      </c>
      <c r="W87" s="17">
        <v>0</v>
      </c>
      <c r="X87" s="17">
        <v>1801.1</v>
      </c>
      <c r="Y87" s="17">
        <v>1801.1</v>
      </c>
      <c r="Z87" s="17">
        <v>0</v>
      </c>
      <c r="AA87" s="13" t="s">
        <v>165</v>
      </c>
      <c r="AB87" s="13" t="s">
        <v>44</v>
      </c>
      <c r="AC87" s="13" t="s">
        <v>45</v>
      </c>
      <c r="AD87" s="13" t="s">
        <v>46</v>
      </c>
      <c r="AE87" s="17">
        <v>1801.1</v>
      </c>
      <c r="AF87" s="17">
        <v>432.25</v>
      </c>
      <c r="AG87" s="47" t="s">
        <v>876</v>
      </c>
      <c r="AH87" s="20" t="s">
        <v>794</v>
      </c>
      <c r="AI87" s="19" t="b">
        <v>0</v>
      </c>
      <c r="AJ87" s="18" t="s">
        <v>868</v>
      </c>
      <c r="AK87" s="49" t="s">
        <v>794</v>
      </c>
    </row>
    <row r="88" spans="1:37" x14ac:dyDescent="0.35">
      <c r="A88" s="12" t="s">
        <v>33</v>
      </c>
      <c r="B88" s="12">
        <v>100108821</v>
      </c>
      <c r="C88" s="13" t="s">
        <v>162</v>
      </c>
      <c r="D88" s="13" t="s">
        <v>163</v>
      </c>
      <c r="E88" s="12">
        <v>9700034357</v>
      </c>
      <c r="F88" s="13" t="s">
        <v>172</v>
      </c>
      <c r="G88" s="12" t="s">
        <v>37</v>
      </c>
      <c r="H88" s="14">
        <v>421.09</v>
      </c>
      <c r="I88" s="15">
        <v>45827</v>
      </c>
      <c r="J88" s="12" t="str">
        <f t="shared" ca="1" si="1"/>
        <v>120 +</v>
      </c>
      <c r="K88" s="14">
        <v>421.09</v>
      </c>
      <c r="L88" s="16">
        <v>45797</v>
      </c>
      <c r="M88" s="13" t="s">
        <v>38</v>
      </c>
      <c r="N88" s="13" t="s">
        <v>39</v>
      </c>
      <c r="O88" s="13" t="s">
        <v>40</v>
      </c>
      <c r="P88" s="13"/>
      <c r="Q88" s="13" t="s">
        <v>41</v>
      </c>
      <c r="R88" s="13" t="s">
        <v>42</v>
      </c>
      <c r="S88" s="17">
        <v>0</v>
      </c>
      <c r="T88" s="17">
        <v>0</v>
      </c>
      <c r="U88" s="17">
        <v>0</v>
      </c>
      <c r="V88" s="17">
        <v>0</v>
      </c>
      <c r="W88" s="17">
        <v>0</v>
      </c>
      <c r="X88" s="17">
        <v>1546.45</v>
      </c>
      <c r="Y88" s="17">
        <v>1546.45</v>
      </c>
      <c r="Z88" s="17">
        <v>0</v>
      </c>
      <c r="AA88" s="13" t="s">
        <v>165</v>
      </c>
      <c r="AB88" s="13" t="s">
        <v>44</v>
      </c>
      <c r="AC88" s="13" t="s">
        <v>45</v>
      </c>
      <c r="AD88" s="13" t="s">
        <v>46</v>
      </c>
      <c r="AE88" s="17">
        <v>1546.45</v>
      </c>
      <c r="AF88" s="17">
        <v>376.48</v>
      </c>
      <c r="AG88" s="47" t="s">
        <v>876</v>
      </c>
      <c r="AH88" s="20" t="s">
        <v>794</v>
      </c>
      <c r="AI88" s="19" t="b">
        <v>0</v>
      </c>
      <c r="AJ88" s="18" t="s">
        <v>868</v>
      </c>
      <c r="AK88" s="49" t="s">
        <v>794</v>
      </c>
    </row>
    <row r="89" spans="1:37" x14ac:dyDescent="0.35">
      <c r="A89" s="12" t="s">
        <v>33</v>
      </c>
      <c r="B89" s="12">
        <v>100108821</v>
      </c>
      <c r="C89" s="13" t="s">
        <v>162</v>
      </c>
      <c r="D89" s="13" t="s">
        <v>163</v>
      </c>
      <c r="E89" s="12">
        <v>9700034849</v>
      </c>
      <c r="F89" s="13" t="s">
        <v>173</v>
      </c>
      <c r="G89" s="12" t="s">
        <v>37</v>
      </c>
      <c r="H89" s="14">
        <v>524.20000000000005</v>
      </c>
      <c r="I89" s="15">
        <v>45829</v>
      </c>
      <c r="J89" s="12" t="str">
        <f t="shared" ca="1" si="1"/>
        <v>120 +</v>
      </c>
      <c r="K89" s="14">
        <v>524.20000000000005</v>
      </c>
      <c r="L89" s="16">
        <v>45799</v>
      </c>
      <c r="M89" s="13" t="s">
        <v>38</v>
      </c>
      <c r="N89" s="13" t="s">
        <v>39</v>
      </c>
      <c r="O89" s="13" t="s">
        <v>40</v>
      </c>
      <c r="P89" s="13"/>
      <c r="Q89" s="13" t="s">
        <v>41</v>
      </c>
      <c r="R89" s="13" t="s">
        <v>42</v>
      </c>
      <c r="S89" s="17">
        <v>0</v>
      </c>
      <c r="T89" s="17">
        <v>0</v>
      </c>
      <c r="U89" s="17">
        <v>0</v>
      </c>
      <c r="V89" s="17">
        <v>0</v>
      </c>
      <c r="W89" s="17">
        <v>0</v>
      </c>
      <c r="X89" s="17">
        <v>1925.12</v>
      </c>
      <c r="Y89" s="17">
        <v>1925.12</v>
      </c>
      <c r="Z89" s="17">
        <v>0</v>
      </c>
      <c r="AA89" s="13" t="s">
        <v>165</v>
      </c>
      <c r="AB89" s="13" t="s">
        <v>44</v>
      </c>
      <c r="AC89" s="13" t="s">
        <v>45</v>
      </c>
      <c r="AD89" s="13" t="s">
        <v>46</v>
      </c>
      <c r="AE89" s="17">
        <v>1925.12</v>
      </c>
      <c r="AF89" s="17">
        <v>468.29</v>
      </c>
      <c r="AG89" s="47" t="s">
        <v>876</v>
      </c>
      <c r="AH89" s="20" t="s">
        <v>794</v>
      </c>
      <c r="AI89" s="19" t="b">
        <v>0</v>
      </c>
      <c r="AJ89" s="18" t="s">
        <v>868</v>
      </c>
      <c r="AK89" s="49" t="s">
        <v>794</v>
      </c>
    </row>
    <row r="90" spans="1:37" x14ac:dyDescent="0.35">
      <c r="A90" s="12" t="s">
        <v>33</v>
      </c>
      <c r="B90" s="12">
        <v>100108821</v>
      </c>
      <c r="C90" s="13" t="s">
        <v>162</v>
      </c>
      <c r="D90" s="13" t="s">
        <v>163</v>
      </c>
      <c r="E90" s="12">
        <v>9700047502</v>
      </c>
      <c r="F90" s="13" t="s">
        <v>174</v>
      </c>
      <c r="G90" s="12" t="s">
        <v>37</v>
      </c>
      <c r="H90" s="14">
        <v>518.71</v>
      </c>
      <c r="I90" s="15">
        <v>45889</v>
      </c>
      <c r="J90" s="12" t="str">
        <f t="shared" ca="1" si="1"/>
        <v>120 +</v>
      </c>
      <c r="K90" s="14">
        <v>518.71</v>
      </c>
      <c r="L90" s="16">
        <v>45859</v>
      </c>
      <c r="M90" s="13" t="s">
        <v>38</v>
      </c>
      <c r="N90" s="13" t="s">
        <v>39</v>
      </c>
      <c r="O90" s="13" t="s">
        <v>40</v>
      </c>
      <c r="P90" s="13"/>
      <c r="Q90" s="13" t="s">
        <v>41</v>
      </c>
      <c r="R90" s="13" t="s">
        <v>42</v>
      </c>
      <c r="S90" s="17">
        <v>0</v>
      </c>
      <c r="T90" s="17">
        <v>0</v>
      </c>
      <c r="U90" s="17">
        <v>0</v>
      </c>
      <c r="V90" s="17">
        <v>0</v>
      </c>
      <c r="W90" s="17">
        <v>0</v>
      </c>
      <c r="X90" s="17">
        <v>1904.96</v>
      </c>
      <c r="Y90" s="17">
        <v>1904.96</v>
      </c>
      <c r="Z90" s="17">
        <v>0</v>
      </c>
      <c r="AA90" s="13" t="s">
        <v>165</v>
      </c>
      <c r="AB90" s="13" t="s">
        <v>44</v>
      </c>
      <c r="AC90" s="13" t="s">
        <v>45</v>
      </c>
      <c r="AD90" s="13" t="s">
        <v>46</v>
      </c>
      <c r="AE90" s="17">
        <v>1904.96</v>
      </c>
      <c r="AF90" s="17">
        <v>447.09</v>
      </c>
      <c r="AG90" s="47" t="s">
        <v>876</v>
      </c>
      <c r="AH90" s="20" t="s">
        <v>794</v>
      </c>
      <c r="AI90" s="19" t="b">
        <v>0</v>
      </c>
      <c r="AJ90" s="18" t="s">
        <v>868</v>
      </c>
      <c r="AK90" s="49" t="s">
        <v>794</v>
      </c>
    </row>
    <row r="91" spans="1:37" x14ac:dyDescent="0.35">
      <c r="A91" s="12" t="s">
        <v>33</v>
      </c>
      <c r="B91" s="12">
        <v>100108821</v>
      </c>
      <c r="C91" s="13" t="s">
        <v>162</v>
      </c>
      <c r="D91" s="13" t="s">
        <v>163</v>
      </c>
      <c r="E91" s="12">
        <v>9700049926</v>
      </c>
      <c r="F91" s="13" t="s">
        <v>175</v>
      </c>
      <c r="G91" s="12" t="s">
        <v>37</v>
      </c>
      <c r="H91" s="14">
        <v>510.31</v>
      </c>
      <c r="I91" s="15">
        <v>45893</v>
      </c>
      <c r="J91" s="12" t="str">
        <f t="shared" ref="J91:J154" ca="1" si="2">IF($E91="","",IF($I91="","",IF($I91&gt;=TODAY(),"Current",IF(TODAY()-$I91&lt;=30,"0-30",IF(TODAY()-$I91&lt;=60,"31-60",IF(TODAY()-$I91&lt;=90,"61-90",IF(TODAY()-$I91&lt;=120,"91-120","120 +")))))))</f>
        <v>120 +</v>
      </c>
      <c r="K91" s="14">
        <v>510.31</v>
      </c>
      <c r="L91" s="16">
        <v>45863</v>
      </c>
      <c r="M91" s="13" t="s">
        <v>38</v>
      </c>
      <c r="N91" s="13" t="s">
        <v>39</v>
      </c>
      <c r="O91" s="13" t="s">
        <v>40</v>
      </c>
      <c r="P91" s="13"/>
      <c r="Q91" s="13" t="s">
        <v>41</v>
      </c>
      <c r="R91" s="13" t="s">
        <v>42</v>
      </c>
      <c r="S91" s="17">
        <v>0</v>
      </c>
      <c r="T91" s="17">
        <v>0</v>
      </c>
      <c r="U91" s="17">
        <v>0</v>
      </c>
      <c r="V91" s="17">
        <v>0</v>
      </c>
      <c r="W91" s="17">
        <v>0</v>
      </c>
      <c r="X91" s="17">
        <v>1874.11</v>
      </c>
      <c r="Y91" s="17">
        <v>1874.11</v>
      </c>
      <c r="Z91" s="17">
        <v>0</v>
      </c>
      <c r="AA91" s="13" t="s">
        <v>165</v>
      </c>
      <c r="AB91" s="13" t="s">
        <v>44</v>
      </c>
      <c r="AC91" s="13" t="s">
        <v>45</v>
      </c>
      <c r="AD91" s="13" t="s">
        <v>46</v>
      </c>
      <c r="AE91" s="17">
        <v>1874.11</v>
      </c>
      <c r="AF91" s="17">
        <v>435.2</v>
      </c>
      <c r="AG91" s="47" t="s">
        <v>876</v>
      </c>
      <c r="AH91" s="20" t="s">
        <v>794</v>
      </c>
      <c r="AI91" s="19" t="b">
        <v>0</v>
      </c>
      <c r="AJ91" s="18" t="s">
        <v>868</v>
      </c>
      <c r="AK91" s="49" t="s">
        <v>794</v>
      </c>
    </row>
    <row r="92" spans="1:37" x14ac:dyDescent="0.35">
      <c r="A92" s="12" t="s">
        <v>33</v>
      </c>
      <c r="B92" s="12">
        <v>100108821</v>
      </c>
      <c r="C92" s="13" t="s">
        <v>162</v>
      </c>
      <c r="D92" s="13" t="s">
        <v>163</v>
      </c>
      <c r="E92" s="12">
        <v>9700061941</v>
      </c>
      <c r="F92" s="13" t="s">
        <v>176</v>
      </c>
      <c r="G92" s="12" t="s">
        <v>37</v>
      </c>
      <c r="H92" s="14">
        <v>589.52</v>
      </c>
      <c r="I92" s="15">
        <v>45942</v>
      </c>
      <c r="J92" s="12" t="str">
        <f t="shared" ca="1" si="2"/>
        <v>120 +</v>
      </c>
      <c r="K92" s="14">
        <v>589.52</v>
      </c>
      <c r="L92" s="16">
        <v>45912</v>
      </c>
      <c r="M92" s="13" t="s">
        <v>38</v>
      </c>
      <c r="N92" s="13" t="s">
        <v>39</v>
      </c>
      <c r="O92" s="13" t="s">
        <v>40</v>
      </c>
      <c r="P92" s="13"/>
      <c r="Q92" s="13" t="s">
        <v>41</v>
      </c>
      <c r="R92" s="13" t="s">
        <v>42</v>
      </c>
      <c r="S92" s="17">
        <v>0</v>
      </c>
      <c r="T92" s="17">
        <v>0</v>
      </c>
      <c r="U92" s="17">
        <v>0</v>
      </c>
      <c r="V92" s="17">
        <v>0</v>
      </c>
      <c r="W92" s="17">
        <v>0</v>
      </c>
      <c r="X92" s="17">
        <v>2165.0100000000002</v>
      </c>
      <c r="Y92" s="17">
        <v>2165.0100000000002</v>
      </c>
      <c r="Z92" s="17">
        <v>0</v>
      </c>
      <c r="AA92" s="13" t="s">
        <v>165</v>
      </c>
      <c r="AB92" s="13" t="s">
        <v>44</v>
      </c>
      <c r="AC92" s="13" t="s">
        <v>45</v>
      </c>
      <c r="AD92" s="13" t="s">
        <v>46</v>
      </c>
      <c r="AE92" s="17">
        <v>2165.0100000000002</v>
      </c>
      <c r="AF92" s="17">
        <v>501.98</v>
      </c>
      <c r="AG92" s="47" t="s">
        <v>876</v>
      </c>
      <c r="AH92" s="20" t="s">
        <v>794</v>
      </c>
      <c r="AI92" s="19" t="b">
        <v>0</v>
      </c>
      <c r="AJ92" s="18" t="s">
        <v>868</v>
      </c>
      <c r="AK92" s="49" t="s">
        <v>794</v>
      </c>
    </row>
    <row r="93" spans="1:37" x14ac:dyDescent="0.35">
      <c r="A93" s="12" t="s">
        <v>33</v>
      </c>
      <c r="B93" s="12">
        <v>100108821</v>
      </c>
      <c r="C93" s="13" t="s">
        <v>162</v>
      </c>
      <c r="D93" s="13" t="s">
        <v>163</v>
      </c>
      <c r="E93" s="12">
        <v>9700069859</v>
      </c>
      <c r="F93" s="13" t="s">
        <v>177</v>
      </c>
      <c r="G93" s="12" t="s">
        <v>37</v>
      </c>
      <c r="H93" s="14">
        <v>1222.76</v>
      </c>
      <c r="I93" s="15">
        <v>45973</v>
      </c>
      <c r="J93" s="12" t="str">
        <f t="shared" ca="1" si="2"/>
        <v>120 +</v>
      </c>
      <c r="K93" s="14">
        <v>1222.76</v>
      </c>
      <c r="L93" s="16">
        <v>45943</v>
      </c>
      <c r="M93" s="13" t="s">
        <v>38</v>
      </c>
      <c r="N93" s="13" t="s">
        <v>39</v>
      </c>
      <c r="O93" s="13" t="s">
        <v>40</v>
      </c>
      <c r="P93" s="13"/>
      <c r="Q93" s="13" t="s">
        <v>41</v>
      </c>
      <c r="R93" s="13" t="s">
        <v>42</v>
      </c>
      <c r="S93" s="17">
        <v>0</v>
      </c>
      <c r="T93" s="17">
        <v>0</v>
      </c>
      <c r="U93" s="17">
        <v>0</v>
      </c>
      <c r="V93" s="17">
        <v>0</v>
      </c>
      <c r="W93" s="17">
        <v>0</v>
      </c>
      <c r="X93" s="17">
        <v>4490.59</v>
      </c>
      <c r="Y93" s="17">
        <v>4490.59</v>
      </c>
      <c r="Z93" s="17">
        <v>0</v>
      </c>
      <c r="AA93" s="13" t="s">
        <v>165</v>
      </c>
      <c r="AB93" s="13" t="s">
        <v>44</v>
      </c>
      <c r="AC93" s="13" t="s">
        <v>45</v>
      </c>
      <c r="AD93" s="13" t="s">
        <v>46</v>
      </c>
      <c r="AE93" s="17">
        <v>4490.59</v>
      </c>
      <c r="AF93" s="17">
        <v>1051.6600000000001</v>
      </c>
      <c r="AG93" s="47" t="s">
        <v>876</v>
      </c>
      <c r="AH93" s="20" t="s">
        <v>794</v>
      </c>
      <c r="AI93" s="19" t="b">
        <v>0</v>
      </c>
      <c r="AJ93" s="18" t="s">
        <v>868</v>
      </c>
      <c r="AK93" s="49" t="s">
        <v>794</v>
      </c>
    </row>
    <row r="94" spans="1:37" x14ac:dyDescent="0.35">
      <c r="A94" s="12" t="s">
        <v>33</v>
      </c>
      <c r="B94" s="12">
        <v>100108821</v>
      </c>
      <c r="C94" s="13" t="s">
        <v>162</v>
      </c>
      <c r="D94" s="13" t="s">
        <v>163</v>
      </c>
      <c r="E94" s="12">
        <v>9700081967</v>
      </c>
      <c r="F94" s="13" t="s">
        <v>178</v>
      </c>
      <c r="G94" s="12" t="s">
        <v>37</v>
      </c>
      <c r="H94" s="14">
        <v>610.63</v>
      </c>
      <c r="I94" s="15">
        <v>46012</v>
      </c>
      <c r="J94" s="12" t="str">
        <f t="shared" ca="1" si="2"/>
        <v>120 +</v>
      </c>
      <c r="K94" s="14">
        <v>610.63</v>
      </c>
      <c r="L94" s="16">
        <v>45982</v>
      </c>
      <c r="M94" s="13" t="s">
        <v>38</v>
      </c>
      <c r="N94" s="13" t="s">
        <v>39</v>
      </c>
      <c r="O94" s="13" t="s">
        <v>40</v>
      </c>
      <c r="P94" s="13"/>
      <c r="Q94" s="13" t="s">
        <v>41</v>
      </c>
      <c r="R94" s="13" t="s">
        <v>42</v>
      </c>
      <c r="S94" s="17">
        <v>0</v>
      </c>
      <c r="T94" s="17">
        <v>0</v>
      </c>
      <c r="U94" s="17">
        <v>0</v>
      </c>
      <c r="V94" s="17">
        <v>0</v>
      </c>
      <c r="W94" s="17">
        <v>2242.54</v>
      </c>
      <c r="X94" s="17">
        <v>0</v>
      </c>
      <c r="Y94" s="17">
        <v>2242.54</v>
      </c>
      <c r="Z94" s="17">
        <v>0</v>
      </c>
      <c r="AA94" s="13" t="s">
        <v>165</v>
      </c>
      <c r="AB94" s="13" t="s">
        <v>44</v>
      </c>
      <c r="AC94" s="13" t="s">
        <v>45</v>
      </c>
      <c r="AD94" s="13" t="s">
        <v>46</v>
      </c>
      <c r="AE94" s="17">
        <v>2242.54</v>
      </c>
      <c r="AF94" s="17">
        <v>527.17999999999995</v>
      </c>
      <c r="AG94" s="47" t="s">
        <v>876</v>
      </c>
      <c r="AH94" s="20" t="s">
        <v>794</v>
      </c>
      <c r="AI94" s="19" t="b">
        <v>0</v>
      </c>
      <c r="AJ94" s="18" t="s">
        <v>868</v>
      </c>
      <c r="AK94" s="49" t="s">
        <v>794</v>
      </c>
    </row>
    <row r="95" spans="1:37" ht="16.5" x14ac:dyDescent="0.4">
      <c r="A95" s="3"/>
      <c r="B95" s="3"/>
      <c r="C95" s="4"/>
      <c r="D95" s="4" t="s">
        <v>163</v>
      </c>
      <c r="E95" s="3"/>
      <c r="F95" s="4"/>
      <c r="G95" s="4"/>
      <c r="H95" s="43">
        <f>SUM(H83:H94)</f>
        <v>7888.89</v>
      </c>
      <c r="I95" s="5"/>
      <c r="J95" s="45" t="str">
        <f t="shared" ca="1" si="2"/>
        <v/>
      </c>
      <c r="K95" s="43">
        <f>SUM(K83:K94)</f>
        <v>7888.89</v>
      </c>
      <c r="L95" s="9"/>
      <c r="M95" s="4"/>
      <c r="N95" s="4"/>
      <c r="O95" s="4"/>
      <c r="P95" s="4"/>
      <c r="Q95" s="4"/>
      <c r="R95" s="4" t="s">
        <v>42</v>
      </c>
      <c r="S95" s="6">
        <v>5609.89</v>
      </c>
      <c r="T95" s="6">
        <v>0</v>
      </c>
      <c r="U95" s="6">
        <v>4577.4399999999996</v>
      </c>
      <c r="V95" s="6">
        <v>0</v>
      </c>
      <c r="W95" s="6">
        <v>2242.54</v>
      </c>
      <c r="X95" s="7"/>
      <c r="Y95" s="7"/>
      <c r="Z95" s="6">
        <v>0</v>
      </c>
      <c r="AA95" s="4"/>
      <c r="AB95" s="4"/>
      <c r="AC95" s="4"/>
      <c r="AD95" s="4"/>
      <c r="AE95" s="6">
        <v>28971.93</v>
      </c>
      <c r="AF95" s="6">
        <v>6833.7</v>
      </c>
      <c r="AG95" s="48"/>
      <c r="AH95" s="44" cm="1">
        <f t="array" ref="AH95">IFERROR(SUMPRODUCT(AF83:AF94*--(((AI83:AI94=TRUE)+(AI83:AI94=1))&gt;0)),0)</f>
        <v>0</v>
      </c>
      <c r="AI95" s="54">
        <f>SUMIF(AI83:AI94,TRUE,H83:H94)/H95</f>
        <v>0</v>
      </c>
      <c r="AJ95" s="6"/>
      <c r="AK95" s="50"/>
    </row>
    <row r="96" spans="1:37" x14ac:dyDescent="0.35">
      <c r="A96" s="12" t="s">
        <v>33</v>
      </c>
      <c r="B96" s="12">
        <v>100112183</v>
      </c>
      <c r="C96" s="13" t="s">
        <v>179</v>
      </c>
      <c r="D96" s="13" t="s">
        <v>180</v>
      </c>
      <c r="E96" s="12">
        <v>9700025712</v>
      </c>
      <c r="F96" s="13" t="s">
        <v>181</v>
      </c>
      <c r="G96" s="12" t="s">
        <v>37</v>
      </c>
      <c r="H96" s="14">
        <v>10797.54</v>
      </c>
      <c r="I96" s="15">
        <v>46141</v>
      </c>
      <c r="J96" s="12" t="str">
        <f t="shared" ca="1" si="2"/>
        <v>Current</v>
      </c>
      <c r="K96" s="14">
        <v>10797.54</v>
      </c>
      <c r="L96" s="16">
        <v>46111</v>
      </c>
      <c r="M96" s="13" t="s">
        <v>38</v>
      </c>
      <c r="N96" s="13" t="s">
        <v>39</v>
      </c>
      <c r="O96" s="13" t="s">
        <v>40</v>
      </c>
      <c r="P96" s="13"/>
      <c r="Q96" s="13" t="s">
        <v>41</v>
      </c>
      <c r="R96" s="13" t="s">
        <v>42</v>
      </c>
      <c r="S96" s="17">
        <v>39653.97</v>
      </c>
      <c r="T96" s="17">
        <v>0</v>
      </c>
      <c r="U96" s="17">
        <v>0</v>
      </c>
      <c r="V96" s="17">
        <v>0</v>
      </c>
      <c r="W96" s="17">
        <v>0</v>
      </c>
      <c r="X96" s="17">
        <v>0</v>
      </c>
      <c r="Y96" s="17">
        <v>0</v>
      </c>
      <c r="Z96" s="17">
        <v>0</v>
      </c>
      <c r="AA96" s="13" t="s">
        <v>182</v>
      </c>
      <c r="AB96" s="13" t="s">
        <v>44</v>
      </c>
      <c r="AC96" s="13" t="s">
        <v>45</v>
      </c>
      <c r="AD96" s="13" t="s">
        <v>46</v>
      </c>
      <c r="AE96" s="17">
        <v>39653.97</v>
      </c>
      <c r="AF96" s="17">
        <v>9330.75</v>
      </c>
      <c r="AG96" s="47" t="s">
        <v>876</v>
      </c>
      <c r="AH96" s="20" t="e">
        <v>#N/A</v>
      </c>
      <c r="AI96" s="19" t="b">
        <v>1</v>
      </c>
      <c r="AJ96" s="18" t="s">
        <v>874</v>
      </c>
      <c r="AK96" s="49" t="s">
        <v>815</v>
      </c>
    </row>
    <row r="97" spans="1:37" ht="16.5" x14ac:dyDescent="0.4">
      <c r="A97" s="3"/>
      <c r="B97" s="3"/>
      <c r="C97" s="4"/>
      <c r="D97" s="4" t="s">
        <v>180</v>
      </c>
      <c r="E97" s="3"/>
      <c r="F97" s="4"/>
      <c r="G97" s="4"/>
      <c r="H97" s="43">
        <f>SUM(H96:H96)</f>
        <v>10797.54</v>
      </c>
      <c r="I97" s="5"/>
      <c r="J97" s="45" t="str">
        <f t="shared" ca="1" si="2"/>
        <v/>
      </c>
      <c r="K97" s="43">
        <f>SUM(K96:K96)</f>
        <v>10797.54</v>
      </c>
      <c r="L97" s="9"/>
      <c r="M97" s="4"/>
      <c r="N97" s="4"/>
      <c r="O97" s="4"/>
      <c r="P97" s="4"/>
      <c r="Q97" s="4"/>
      <c r="R97" s="4" t="s">
        <v>42</v>
      </c>
      <c r="S97" s="6">
        <v>39653.97</v>
      </c>
      <c r="T97" s="6">
        <v>0</v>
      </c>
      <c r="U97" s="6">
        <v>0</v>
      </c>
      <c r="V97" s="6">
        <v>0</v>
      </c>
      <c r="W97" s="6">
        <v>0</v>
      </c>
      <c r="X97" s="7"/>
      <c r="Y97" s="7"/>
      <c r="Z97" s="6">
        <v>0</v>
      </c>
      <c r="AA97" s="4"/>
      <c r="AB97" s="4"/>
      <c r="AC97" s="4"/>
      <c r="AD97" s="4"/>
      <c r="AE97" s="6">
        <v>39653.97</v>
      </c>
      <c r="AF97" s="6">
        <v>9330.75</v>
      </c>
      <c r="AG97" s="48"/>
      <c r="AH97" s="44" cm="1">
        <f t="array" ref="AH97">IFERROR(SUMPRODUCT(AF96:AF96*--(((AI96:AI96=TRUE)+(AI96:AI96=1))&gt;0)),0)</f>
        <v>9330.75</v>
      </c>
      <c r="AI97" s="54">
        <f>SUMIF(AI96:AI96,TRUE,H96:H96)/H97</f>
        <v>1</v>
      </c>
      <c r="AJ97" s="6"/>
      <c r="AK97" s="50"/>
    </row>
    <row r="98" spans="1:37" x14ac:dyDescent="0.35">
      <c r="A98" s="12" t="s">
        <v>33</v>
      </c>
      <c r="B98" s="12">
        <v>100114302</v>
      </c>
      <c r="C98" s="13" t="s">
        <v>183</v>
      </c>
      <c r="D98" s="13" t="s">
        <v>184</v>
      </c>
      <c r="E98" s="12">
        <v>9700022630</v>
      </c>
      <c r="F98" s="13" t="s">
        <v>185</v>
      </c>
      <c r="G98" s="12" t="s">
        <v>37</v>
      </c>
      <c r="H98" s="14">
        <v>1353.49</v>
      </c>
      <c r="I98" s="15">
        <v>46128</v>
      </c>
      <c r="J98" s="12" t="str">
        <f t="shared" ca="1" si="2"/>
        <v>0-30</v>
      </c>
      <c r="K98" s="14">
        <v>1353.49</v>
      </c>
      <c r="L98" s="16">
        <v>46098</v>
      </c>
      <c r="M98" s="13" t="s">
        <v>38</v>
      </c>
      <c r="N98" s="13" t="s">
        <v>39</v>
      </c>
      <c r="O98" s="13" t="s">
        <v>40</v>
      </c>
      <c r="P98" s="13"/>
      <c r="Q98" s="13" t="s">
        <v>41</v>
      </c>
      <c r="R98" s="13" t="s">
        <v>42</v>
      </c>
      <c r="S98" s="17">
        <v>4970.6899999999996</v>
      </c>
      <c r="T98" s="17">
        <v>0</v>
      </c>
      <c r="U98" s="17">
        <v>0</v>
      </c>
      <c r="V98" s="17">
        <v>0</v>
      </c>
      <c r="W98" s="17">
        <v>0</v>
      </c>
      <c r="X98" s="17">
        <v>0</v>
      </c>
      <c r="Y98" s="17">
        <v>0</v>
      </c>
      <c r="Z98" s="17">
        <v>0</v>
      </c>
      <c r="AA98" s="13" t="s">
        <v>186</v>
      </c>
      <c r="AB98" s="13" t="s">
        <v>44</v>
      </c>
      <c r="AC98" s="13" t="s">
        <v>45</v>
      </c>
      <c r="AD98" s="13" t="s">
        <v>46</v>
      </c>
      <c r="AE98" s="17">
        <v>4970.6899999999996</v>
      </c>
      <c r="AF98" s="17">
        <v>1179.4100000000001</v>
      </c>
      <c r="AG98" s="47" t="s">
        <v>876</v>
      </c>
      <c r="AH98" s="20" t="e">
        <v>#N/A</v>
      </c>
      <c r="AI98" s="19" t="b">
        <v>1</v>
      </c>
      <c r="AJ98" s="18" t="s">
        <v>874</v>
      </c>
      <c r="AK98" s="49" t="s">
        <v>815</v>
      </c>
    </row>
    <row r="99" spans="1:37" ht="16.5" x14ac:dyDescent="0.4">
      <c r="A99" s="3"/>
      <c r="B99" s="3"/>
      <c r="C99" s="4"/>
      <c r="D99" s="4" t="s">
        <v>184</v>
      </c>
      <c r="E99" s="3"/>
      <c r="F99" s="4"/>
      <c r="G99" s="4"/>
      <c r="H99" s="43">
        <f>SUM(H98:H98)</f>
        <v>1353.49</v>
      </c>
      <c r="I99" s="5"/>
      <c r="J99" s="45" t="str">
        <f t="shared" ca="1" si="2"/>
        <v/>
      </c>
      <c r="K99" s="43">
        <f>SUM(K98:K98)</f>
        <v>1353.49</v>
      </c>
      <c r="L99" s="9"/>
      <c r="M99" s="4"/>
      <c r="N99" s="4"/>
      <c r="O99" s="4"/>
      <c r="P99" s="4"/>
      <c r="Q99" s="4"/>
      <c r="R99" s="4" t="s">
        <v>42</v>
      </c>
      <c r="S99" s="6">
        <v>4970.6899999999996</v>
      </c>
      <c r="T99" s="6">
        <v>0</v>
      </c>
      <c r="U99" s="6">
        <v>0</v>
      </c>
      <c r="V99" s="6">
        <v>0</v>
      </c>
      <c r="W99" s="6">
        <v>0</v>
      </c>
      <c r="X99" s="7"/>
      <c r="Y99" s="7"/>
      <c r="Z99" s="6">
        <v>0</v>
      </c>
      <c r="AA99" s="4"/>
      <c r="AB99" s="4"/>
      <c r="AC99" s="4"/>
      <c r="AD99" s="4"/>
      <c r="AE99" s="6">
        <v>4970.6899999999996</v>
      </c>
      <c r="AF99" s="6">
        <v>1179.4100000000001</v>
      </c>
      <c r="AG99" s="48"/>
      <c r="AH99" s="44" cm="1">
        <f t="array" ref="AH99">IFERROR(SUMPRODUCT(AF98:AF98*--(((AI98:AI98=TRUE)+(AI98:AI98=1))&gt;0)),0)</f>
        <v>1179.4100000000001</v>
      </c>
      <c r="AI99" s="54">
        <f>SUMIF(AI98:AI98,TRUE,H98:H98)/H99</f>
        <v>1</v>
      </c>
      <c r="AJ99" s="6"/>
      <c r="AK99" s="50"/>
    </row>
    <row r="100" spans="1:37" x14ac:dyDescent="0.35">
      <c r="A100" s="12" t="s">
        <v>33</v>
      </c>
      <c r="B100" s="12">
        <v>100114967</v>
      </c>
      <c r="C100" s="13" t="s">
        <v>187</v>
      </c>
      <c r="D100" s="13" t="s">
        <v>188</v>
      </c>
      <c r="E100" s="12">
        <v>9700004042</v>
      </c>
      <c r="F100" s="13" t="s">
        <v>189</v>
      </c>
      <c r="G100" s="12" t="s">
        <v>37</v>
      </c>
      <c r="H100" s="14">
        <v>1037.3900000000001</v>
      </c>
      <c r="I100" s="15">
        <v>46071</v>
      </c>
      <c r="J100" s="12" t="str">
        <f t="shared" ca="1" si="2"/>
        <v>61-90</v>
      </c>
      <c r="K100" s="14">
        <v>1037.3900000000001</v>
      </c>
      <c r="L100" s="16">
        <v>46041</v>
      </c>
      <c r="M100" s="13" t="s">
        <v>38</v>
      </c>
      <c r="N100" s="13" t="s">
        <v>39</v>
      </c>
      <c r="O100" s="13" t="s">
        <v>40</v>
      </c>
      <c r="P100" s="13"/>
      <c r="Q100" s="13" t="s">
        <v>41</v>
      </c>
      <c r="R100" s="13" t="s">
        <v>42</v>
      </c>
      <c r="S100" s="17">
        <v>0</v>
      </c>
      <c r="T100" s="17">
        <v>0</v>
      </c>
      <c r="U100" s="17">
        <v>3809.81</v>
      </c>
      <c r="V100" s="17">
        <v>0</v>
      </c>
      <c r="W100" s="17">
        <v>0</v>
      </c>
      <c r="X100" s="17">
        <v>0</v>
      </c>
      <c r="Y100" s="17">
        <v>3809.81</v>
      </c>
      <c r="Z100" s="17">
        <v>0</v>
      </c>
      <c r="AA100" s="13" t="s">
        <v>190</v>
      </c>
      <c r="AB100" s="13" t="s">
        <v>44</v>
      </c>
      <c r="AC100" s="13" t="s">
        <v>45</v>
      </c>
      <c r="AD100" s="13" t="s">
        <v>46</v>
      </c>
      <c r="AE100" s="17">
        <v>3809.81</v>
      </c>
      <c r="AF100" s="17">
        <v>892.46</v>
      </c>
      <c r="AG100" s="47" t="s">
        <v>876</v>
      </c>
      <c r="AH100" s="20" t="s">
        <v>795</v>
      </c>
      <c r="AI100" s="19" t="b">
        <v>0</v>
      </c>
      <c r="AJ100" s="18" t="s">
        <v>869</v>
      </c>
      <c r="AK100" s="49" t="s">
        <v>795</v>
      </c>
    </row>
    <row r="101" spans="1:37" x14ac:dyDescent="0.35">
      <c r="A101" s="12" t="s">
        <v>33</v>
      </c>
      <c r="B101" s="12">
        <v>100114967</v>
      </c>
      <c r="C101" s="13" t="s">
        <v>187</v>
      </c>
      <c r="D101" s="13" t="s">
        <v>188</v>
      </c>
      <c r="E101" s="12">
        <v>9700015792</v>
      </c>
      <c r="F101" s="13" t="s">
        <v>191</v>
      </c>
      <c r="G101" s="12" t="s">
        <v>37</v>
      </c>
      <c r="H101" s="14">
        <v>997.57</v>
      </c>
      <c r="I101" s="15">
        <v>46103</v>
      </c>
      <c r="J101" s="12" t="str">
        <f t="shared" ca="1" si="2"/>
        <v>31-60</v>
      </c>
      <c r="K101" s="14">
        <v>997.57</v>
      </c>
      <c r="L101" s="16">
        <v>46073</v>
      </c>
      <c r="M101" s="13" t="s">
        <v>38</v>
      </c>
      <c r="N101" s="13" t="s">
        <v>39</v>
      </c>
      <c r="O101" s="13" t="s">
        <v>40</v>
      </c>
      <c r="P101" s="13"/>
      <c r="Q101" s="13" t="s">
        <v>41</v>
      </c>
      <c r="R101" s="13" t="s">
        <v>42</v>
      </c>
      <c r="S101" s="17">
        <v>0</v>
      </c>
      <c r="T101" s="17">
        <v>3663.58</v>
      </c>
      <c r="U101" s="17">
        <v>0</v>
      </c>
      <c r="V101" s="17">
        <v>0</v>
      </c>
      <c r="W101" s="17">
        <v>0</v>
      </c>
      <c r="X101" s="17">
        <v>0</v>
      </c>
      <c r="Y101" s="17">
        <v>3663.58</v>
      </c>
      <c r="Z101" s="17">
        <v>0</v>
      </c>
      <c r="AA101" s="13" t="s">
        <v>190</v>
      </c>
      <c r="AB101" s="13" t="s">
        <v>44</v>
      </c>
      <c r="AC101" s="13" t="s">
        <v>45</v>
      </c>
      <c r="AD101" s="13" t="s">
        <v>46</v>
      </c>
      <c r="AE101" s="17">
        <v>3663.58</v>
      </c>
      <c r="AF101" s="17">
        <v>843.54</v>
      </c>
      <c r="AG101" s="47" t="s">
        <v>876</v>
      </c>
      <c r="AH101" s="20" t="s">
        <v>795</v>
      </c>
      <c r="AI101" s="19" t="b">
        <v>0</v>
      </c>
      <c r="AJ101" s="18" t="s">
        <v>869</v>
      </c>
      <c r="AK101" s="49" t="s">
        <v>795</v>
      </c>
    </row>
    <row r="102" spans="1:37" x14ac:dyDescent="0.35">
      <c r="A102" s="12" t="s">
        <v>33</v>
      </c>
      <c r="B102" s="12">
        <v>100114967</v>
      </c>
      <c r="C102" s="13" t="s">
        <v>187</v>
      </c>
      <c r="D102" s="13" t="s">
        <v>188</v>
      </c>
      <c r="E102" s="12">
        <v>9700019171</v>
      </c>
      <c r="F102" s="13" t="s">
        <v>192</v>
      </c>
      <c r="G102" s="12" t="s">
        <v>37</v>
      </c>
      <c r="H102" s="14">
        <v>1035.8900000000001</v>
      </c>
      <c r="I102" s="15">
        <v>46116</v>
      </c>
      <c r="J102" s="12" t="str">
        <f t="shared" ca="1" si="2"/>
        <v>0-30</v>
      </c>
      <c r="K102" s="14">
        <v>1035.8900000000001</v>
      </c>
      <c r="L102" s="16">
        <v>46086</v>
      </c>
      <c r="M102" s="13" t="s">
        <v>38</v>
      </c>
      <c r="N102" s="13" t="s">
        <v>39</v>
      </c>
      <c r="O102" s="13" t="s">
        <v>40</v>
      </c>
      <c r="P102" s="13"/>
      <c r="Q102" s="13" t="s">
        <v>41</v>
      </c>
      <c r="R102" s="13" t="s">
        <v>42</v>
      </c>
      <c r="S102" s="17">
        <v>3804.31</v>
      </c>
      <c r="T102" s="17">
        <v>0</v>
      </c>
      <c r="U102" s="17">
        <v>0</v>
      </c>
      <c r="V102" s="17">
        <v>0</v>
      </c>
      <c r="W102" s="17">
        <v>0</v>
      </c>
      <c r="X102" s="17">
        <v>0</v>
      </c>
      <c r="Y102" s="17">
        <v>0</v>
      </c>
      <c r="Z102" s="17">
        <v>0</v>
      </c>
      <c r="AA102" s="13" t="s">
        <v>193</v>
      </c>
      <c r="AB102" s="13" t="s">
        <v>44</v>
      </c>
      <c r="AC102" s="13" t="s">
        <v>45</v>
      </c>
      <c r="AD102" s="13" t="s">
        <v>46</v>
      </c>
      <c r="AE102" s="17">
        <v>3804.31</v>
      </c>
      <c r="AF102" s="17">
        <v>885.53</v>
      </c>
      <c r="AG102" s="47" t="s">
        <v>884</v>
      </c>
      <c r="AH102" s="20" t="e">
        <v>#N/A</v>
      </c>
      <c r="AI102" s="19" t="b">
        <v>0</v>
      </c>
      <c r="AJ102" s="18" t="s">
        <v>869</v>
      </c>
      <c r="AK102" s="49" t="s">
        <v>795</v>
      </c>
    </row>
    <row r="103" spans="1:37" x14ac:dyDescent="0.35">
      <c r="A103" s="12" t="s">
        <v>33</v>
      </c>
      <c r="B103" s="12">
        <v>100114967</v>
      </c>
      <c r="C103" s="13" t="s">
        <v>187</v>
      </c>
      <c r="D103" s="13" t="s">
        <v>188</v>
      </c>
      <c r="E103" s="12">
        <v>9700081341</v>
      </c>
      <c r="F103" s="13" t="s">
        <v>194</v>
      </c>
      <c r="G103" s="12" t="s">
        <v>37</v>
      </c>
      <c r="H103" s="14">
        <v>1041.82</v>
      </c>
      <c r="I103" s="15">
        <v>46011</v>
      </c>
      <c r="J103" s="12" t="str">
        <f t="shared" ca="1" si="2"/>
        <v>120 +</v>
      </c>
      <c r="K103" s="14">
        <v>1041.82</v>
      </c>
      <c r="L103" s="16">
        <v>45981</v>
      </c>
      <c r="M103" s="13" t="s">
        <v>38</v>
      </c>
      <c r="N103" s="13" t="s">
        <v>39</v>
      </c>
      <c r="O103" s="13" t="s">
        <v>40</v>
      </c>
      <c r="P103" s="13"/>
      <c r="Q103" s="13" t="s">
        <v>41</v>
      </c>
      <c r="R103" s="13" t="s">
        <v>42</v>
      </c>
      <c r="S103" s="17">
        <v>0</v>
      </c>
      <c r="T103" s="17">
        <v>0</v>
      </c>
      <c r="U103" s="17">
        <v>0</v>
      </c>
      <c r="V103" s="17">
        <v>0</v>
      </c>
      <c r="W103" s="17">
        <v>3826.08</v>
      </c>
      <c r="X103" s="17">
        <v>0</v>
      </c>
      <c r="Y103" s="17">
        <v>3826.08</v>
      </c>
      <c r="Z103" s="17">
        <v>0</v>
      </c>
      <c r="AA103" s="13" t="s">
        <v>190</v>
      </c>
      <c r="AB103" s="13" t="s">
        <v>44</v>
      </c>
      <c r="AC103" s="13" t="s">
        <v>45</v>
      </c>
      <c r="AD103" s="13" t="s">
        <v>46</v>
      </c>
      <c r="AE103" s="17">
        <v>3826.08</v>
      </c>
      <c r="AF103" s="17">
        <v>898.66</v>
      </c>
      <c r="AG103" s="47" t="s">
        <v>876</v>
      </c>
      <c r="AH103" s="20" t="s">
        <v>795</v>
      </c>
      <c r="AI103" s="19" t="b">
        <v>0</v>
      </c>
      <c r="AJ103" s="18" t="s">
        <v>869</v>
      </c>
      <c r="AK103" s="49" t="s">
        <v>795</v>
      </c>
    </row>
    <row r="104" spans="1:37" ht="16.5" x14ac:dyDescent="0.4">
      <c r="A104" s="3"/>
      <c r="B104" s="3"/>
      <c r="C104" s="4"/>
      <c r="D104" s="4" t="s">
        <v>188</v>
      </c>
      <c r="E104" s="3"/>
      <c r="F104" s="4"/>
      <c r="G104" s="4"/>
      <c r="H104" s="43">
        <f>SUM(H100:H103)</f>
        <v>4112.67</v>
      </c>
      <c r="I104" s="5"/>
      <c r="J104" s="45" t="str">
        <f t="shared" ca="1" si="2"/>
        <v/>
      </c>
      <c r="K104" s="43">
        <f>SUM(K100:K103)</f>
        <v>4112.67</v>
      </c>
      <c r="L104" s="9"/>
      <c r="M104" s="4"/>
      <c r="N104" s="4"/>
      <c r="O104" s="4"/>
      <c r="P104" s="4"/>
      <c r="Q104" s="4"/>
      <c r="R104" s="4" t="s">
        <v>42</v>
      </c>
      <c r="S104" s="6">
        <v>3804.31</v>
      </c>
      <c r="T104" s="6">
        <v>3663.58</v>
      </c>
      <c r="U104" s="6">
        <v>3809.81</v>
      </c>
      <c r="V104" s="6">
        <v>0</v>
      </c>
      <c r="W104" s="6">
        <v>3826.08</v>
      </c>
      <c r="X104" s="7"/>
      <c r="Y104" s="7"/>
      <c r="Z104" s="6">
        <v>0</v>
      </c>
      <c r="AA104" s="4"/>
      <c r="AB104" s="4"/>
      <c r="AC104" s="4"/>
      <c r="AD104" s="4"/>
      <c r="AE104" s="6">
        <v>15103.78</v>
      </c>
      <c r="AF104" s="6">
        <v>3520.19</v>
      </c>
      <c r="AG104" s="48"/>
      <c r="AH104" s="44" cm="1">
        <f t="array" ref="AH104">IFERROR(SUMPRODUCT(AF100:AF103*--(((AI100:AI103=TRUE)+(AI100:AI103=1))&gt;0)),0)</f>
        <v>0</v>
      </c>
      <c r="AI104" s="54">
        <f>SUMIF(AI100:AI103,TRUE,H100:H103)/H104</f>
        <v>0</v>
      </c>
      <c r="AJ104" s="6"/>
      <c r="AK104" s="50"/>
    </row>
    <row r="105" spans="1:37" x14ac:dyDescent="0.35">
      <c r="A105" s="12" t="s">
        <v>33</v>
      </c>
      <c r="B105" s="12">
        <v>100113198</v>
      </c>
      <c r="C105" s="13" t="s">
        <v>195</v>
      </c>
      <c r="D105" s="13" t="s">
        <v>196</v>
      </c>
      <c r="E105" s="12">
        <v>9700015232</v>
      </c>
      <c r="F105" s="13" t="s">
        <v>197</v>
      </c>
      <c r="G105" s="12" t="s">
        <v>37</v>
      </c>
      <c r="H105" s="14">
        <v>37193.35</v>
      </c>
      <c r="I105" s="15">
        <v>46100</v>
      </c>
      <c r="J105" s="12" t="str">
        <f t="shared" ca="1" si="2"/>
        <v>31-60</v>
      </c>
      <c r="K105" s="14">
        <v>37193.35</v>
      </c>
      <c r="L105" s="16">
        <v>46070</v>
      </c>
      <c r="M105" s="13" t="s">
        <v>38</v>
      </c>
      <c r="N105" s="13" t="s">
        <v>39</v>
      </c>
      <c r="O105" s="13" t="s">
        <v>40</v>
      </c>
      <c r="P105" s="13"/>
      <c r="Q105" s="13" t="s">
        <v>41</v>
      </c>
      <c r="R105" s="13" t="s">
        <v>42</v>
      </c>
      <c r="S105" s="17">
        <v>0</v>
      </c>
      <c r="T105" s="17">
        <v>136592.57999999999</v>
      </c>
      <c r="U105" s="17">
        <v>0</v>
      </c>
      <c r="V105" s="17">
        <v>0</v>
      </c>
      <c r="W105" s="17">
        <v>0</v>
      </c>
      <c r="X105" s="17">
        <v>0</v>
      </c>
      <c r="Y105" s="17">
        <v>136592.57999999999</v>
      </c>
      <c r="Z105" s="17">
        <v>0</v>
      </c>
      <c r="AA105" s="13" t="s">
        <v>198</v>
      </c>
      <c r="AB105" s="13" t="s">
        <v>44</v>
      </c>
      <c r="AC105" s="13" t="s">
        <v>45</v>
      </c>
      <c r="AD105" s="13" t="s">
        <v>46</v>
      </c>
      <c r="AE105" s="17">
        <v>136592.57999999999</v>
      </c>
      <c r="AF105" s="17">
        <v>31373.56</v>
      </c>
      <c r="AG105" s="47" t="s">
        <v>886</v>
      </c>
      <c r="AH105" s="20" t="s">
        <v>796</v>
      </c>
      <c r="AI105" s="19" t="b">
        <v>1</v>
      </c>
      <c r="AJ105" s="18" t="s">
        <v>874</v>
      </c>
      <c r="AK105" s="49" t="s">
        <v>815</v>
      </c>
    </row>
    <row r="106" spans="1:37" x14ac:dyDescent="0.35">
      <c r="A106" s="12" t="s">
        <v>33</v>
      </c>
      <c r="B106" s="12">
        <v>100113198</v>
      </c>
      <c r="C106" s="13" t="s">
        <v>195</v>
      </c>
      <c r="D106" s="13" t="s">
        <v>196</v>
      </c>
      <c r="E106" s="12">
        <v>9700016738</v>
      </c>
      <c r="F106" s="13" t="s">
        <v>199</v>
      </c>
      <c r="G106" s="12" t="s">
        <v>37</v>
      </c>
      <c r="H106" s="14">
        <v>81648.73</v>
      </c>
      <c r="I106" s="15">
        <v>46103</v>
      </c>
      <c r="J106" s="12" t="str">
        <f t="shared" ca="1" si="2"/>
        <v>31-60</v>
      </c>
      <c r="K106" s="14">
        <v>81648.73</v>
      </c>
      <c r="L106" s="16">
        <v>46073</v>
      </c>
      <c r="M106" s="13" t="s">
        <v>38</v>
      </c>
      <c r="N106" s="13" t="s">
        <v>39</v>
      </c>
      <c r="O106" s="13" t="s">
        <v>40</v>
      </c>
      <c r="P106" s="13"/>
      <c r="Q106" s="13" t="s">
        <v>41</v>
      </c>
      <c r="R106" s="13" t="s">
        <v>42</v>
      </c>
      <c r="S106" s="17">
        <v>0</v>
      </c>
      <c r="T106" s="17">
        <v>299854.96000000002</v>
      </c>
      <c r="U106" s="17">
        <v>0</v>
      </c>
      <c r="V106" s="17">
        <v>0</v>
      </c>
      <c r="W106" s="17">
        <v>0</v>
      </c>
      <c r="X106" s="17">
        <v>0</v>
      </c>
      <c r="Y106" s="17">
        <v>299854.96000000002</v>
      </c>
      <c r="Z106" s="17">
        <v>0</v>
      </c>
      <c r="AA106" s="13" t="s">
        <v>200</v>
      </c>
      <c r="AB106" s="13" t="s">
        <v>44</v>
      </c>
      <c r="AC106" s="13" t="s">
        <v>45</v>
      </c>
      <c r="AD106" s="13" t="s">
        <v>46</v>
      </c>
      <c r="AE106" s="17">
        <v>299854.96000000002</v>
      </c>
      <c r="AF106" s="17">
        <v>69470.539999999994</v>
      </c>
      <c r="AG106" s="47" t="s">
        <v>886</v>
      </c>
      <c r="AH106" s="20" t="s">
        <v>796</v>
      </c>
      <c r="AI106" s="19" t="b">
        <v>0</v>
      </c>
      <c r="AJ106" s="18" t="s">
        <v>870</v>
      </c>
      <c r="AK106" s="49" t="s">
        <v>943</v>
      </c>
    </row>
    <row r="107" spans="1:37" x14ac:dyDescent="0.35">
      <c r="A107" s="12" t="s">
        <v>33</v>
      </c>
      <c r="B107" s="12">
        <v>100113198</v>
      </c>
      <c r="C107" s="13" t="s">
        <v>195</v>
      </c>
      <c r="D107" s="13" t="s">
        <v>196</v>
      </c>
      <c r="E107" s="12">
        <v>9700021622</v>
      </c>
      <c r="F107" s="13" t="s">
        <v>201</v>
      </c>
      <c r="G107" s="12" t="s">
        <v>37</v>
      </c>
      <c r="H107" s="14">
        <v>33278.230000000003</v>
      </c>
      <c r="I107" s="15">
        <v>46123</v>
      </c>
      <c r="J107" s="12" t="str">
        <f t="shared" ca="1" si="2"/>
        <v>0-30</v>
      </c>
      <c r="K107" s="14">
        <v>33278.230000000003</v>
      </c>
      <c r="L107" s="16">
        <v>46093</v>
      </c>
      <c r="M107" s="13" t="s">
        <v>38</v>
      </c>
      <c r="N107" s="13" t="s">
        <v>39</v>
      </c>
      <c r="O107" s="13" t="s">
        <v>40</v>
      </c>
      <c r="P107" s="13"/>
      <c r="Q107" s="13" t="s">
        <v>41</v>
      </c>
      <c r="R107" s="13" t="s">
        <v>42</v>
      </c>
      <c r="S107" s="17">
        <v>122214.3</v>
      </c>
      <c r="T107" s="17">
        <v>0</v>
      </c>
      <c r="U107" s="17">
        <v>0</v>
      </c>
      <c r="V107" s="17">
        <v>0</v>
      </c>
      <c r="W107" s="17">
        <v>0</v>
      </c>
      <c r="X107" s="17">
        <v>0</v>
      </c>
      <c r="Y107" s="17">
        <v>0</v>
      </c>
      <c r="Z107" s="17">
        <v>0</v>
      </c>
      <c r="AA107" s="13" t="s">
        <v>198</v>
      </c>
      <c r="AB107" s="13" t="s">
        <v>44</v>
      </c>
      <c r="AC107" s="13" t="s">
        <v>45</v>
      </c>
      <c r="AD107" s="13" t="s">
        <v>46</v>
      </c>
      <c r="AE107" s="17">
        <v>122214.3</v>
      </c>
      <c r="AF107" s="17">
        <v>28735.200000000001</v>
      </c>
      <c r="AG107" s="47" t="s">
        <v>886</v>
      </c>
      <c r="AH107" s="20" t="e">
        <v>#N/A</v>
      </c>
      <c r="AI107" s="19" t="b">
        <v>0</v>
      </c>
      <c r="AJ107" s="18" t="s">
        <v>870</v>
      </c>
      <c r="AK107" s="49" t="s">
        <v>943</v>
      </c>
    </row>
    <row r="108" spans="1:37" x14ac:dyDescent="0.35">
      <c r="A108" s="12" t="s">
        <v>33</v>
      </c>
      <c r="B108" s="12">
        <v>100113198</v>
      </c>
      <c r="C108" s="13" t="s">
        <v>195</v>
      </c>
      <c r="D108" s="13" t="s">
        <v>196</v>
      </c>
      <c r="E108" s="12">
        <v>9700021623</v>
      </c>
      <c r="F108" s="13" t="s">
        <v>202</v>
      </c>
      <c r="G108" s="12" t="s">
        <v>37</v>
      </c>
      <c r="H108" s="14">
        <v>7252.95</v>
      </c>
      <c r="I108" s="15">
        <v>46123</v>
      </c>
      <c r="J108" s="12" t="str">
        <f t="shared" ca="1" si="2"/>
        <v>0-30</v>
      </c>
      <c r="K108" s="14">
        <v>7252.95</v>
      </c>
      <c r="L108" s="16">
        <v>46093</v>
      </c>
      <c r="M108" s="13" t="s">
        <v>38</v>
      </c>
      <c r="N108" s="13" t="s">
        <v>39</v>
      </c>
      <c r="O108" s="13" t="s">
        <v>40</v>
      </c>
      <c r="P108" s="13"/>
      <c r="Q108" s="13" t="s">
        <v>41</v>
      </c>
      <c r="R108" s="13" t="s">
        <v>42</v>
      </c>
      <c r="S108" s="17">
        <v>26636.46</v>
      </c>
      <c r="T108" s="17">
        <v>0</v>
      </c>
      <c r="U108" s="17">
        <v>0</v>
      </c>
      <c r="V108" s="17">
        <v>0</v>
      </c>
      <c r="W108" s="17">
        <v>0</v>
      </c>
      <c r="X108" s="17">
        <v>0</v>
      </c>
      <c r="Y108" s="17">
        <v>0</v>
      </c>
      <c r="Z108" s="17">
        <v>0</v>
      </c>
      <c r="AA108" s="13" t="s">
        <v>198</v>
      </c>
      <c r="AB108" s="13" t="s">
        <v>44</v>
      </c>
      <c r="AC108" s="13" t="s">
        <v>45</v>
      </c>
      <c r="AD108" s="13" t="s">
        <v>46</v>
      </c>
      <c r="AE108" s="17">
        <v>26636.46</v>
      </c>
      <c r="AF108" s="17">
        <v>6262.8</v>
      </c>
      <c r="AG108" s="47" t="s">
        <v>886</v>
      </c>
      <c r="AH108" s="20" t="e">
        <v>#N/A</v>
      </c>
      <c r="AI108" s="19" t="b">
        <v>0</v>
      </c>
      <c r="AJ108" s="18" t="s">
        <v>870</v>
      </c>
      <c r="AK108" s="49" t="s">
        <v>943</v>
      </c>
    </row>
    <row r="109" spans="1:37" x14ac:dyDescent="0.35">
      <c r="A109" s="12" t="s">
        <v>33</v>
      </c>
      <c r="B109" s="12">
        <v>100113198</v>
      </c>
      <c r="C109" s="13" t="s">
        <v>195</v>
      </c>
      <c r="D109" s="13" t="s">
        <v>196</v>
      </c>
      <c r="E109" s="12">
        <v>9700023065</v>
      </c>
      <c r="F109" s="13" t="s">
        <v>203</v>
      </c>
      <c r="G109" s="12" t="s">
        <v>37</v>
      </c>
      <c r="H109" s="14">
        <v>7570.79</v>
      </c>
      <c r="I109" s="15">
        <v>46129</v>
      </c>
      <c r="J109" s="12" t="str">
        <f t="shared" ca="1" si="2"/>
        <v>0-30</v>
      </c>
      <c r="K109" s="14">
        <v>7570.79</v>
      </c>
      <c r="L109" s="16">
        <v>46099</v>
      </c>
      <c r="M109" s="13" t="s">
        <v>38</v>
      </c>
      <c r="N109" s="13" t="s">
        <v>39</v>
      </c>
      <c r="O109" s="13" t="s">
        <v>40</v>
      </c>
      <c r="P109" s="13"/>
      <c r="Q109" s="13" t="s">
        <v>41</v>
      </c>
      <c r="R109" s="13" t="s">
        <v>42</v>
      </c>
      <c r="S109" s="17">
        <v>27803.73</v>
      </c>
      <c r="T109" s="17">
        <v>0</v>
      </c>
      <c r="U109" s="17">
        <v>0</v>
      </c>
      <c r="V109" s="17">
        <v>0</v>
      </c>
      <c r="W109" s="17">
        <v>0</v>
      </c>
      <c r="X109" s="17">
        <v>0</v>
      </c>
      <c r="Y109" s="17">
        <v>0</v>
      </c>
      <c r="Z109" s="17">
        <v>0</v>
      </c>
      <c r="AA109" s="13" t="s">
        <v>204</v>
      </c>
      <c r="AB109" s="13" t="s">
        <v>44</v>
      </c>
      <c r="AC109" s="13" t="s">
        <v>45</v>
      </c>
      <c r="AD109" s="13" t="s">
        <v>46</v>
      </c>
      <c r="AE109" s="17">
        <v>27803.73</v>
      </c>
      <c r="AF109" s="17">
        <v>6595.91</v>
      </c>
      <c r="AG109" s="47" t="s">
        <v>886</v>
      </c>
      <c r="AH109" s="20" t="e">
        <v>#N/A</v>
      </c>
      <c r="AI109" s="19" t="b">
        <v>0</v>
      </c>
      <c r="AJ109" s="18" t="s">
        <v>870</v>
      </c>
      <c r="AK109" s="49" t="s">
        <v>943</v>
      </c>
    </row>
    <row r="110" spans="1:37" x14ac:dyDescent="0.35">
      <c r="A110" s="12" t="s">
        <v>33</v>
      </c>
      <c r="B110" s="12">
        <v>100113198</v>
      </c>
      <c r="C110" s="13" t="s">
        <v>195</v>
      </c>
      <c r="D110" s="13" t="s">
        <v>196</v>
      </c>
      <c r="E110" s="12">
        <v>9700024358</v>
      </c>
      <c r="F110" s="13" t="s">
        <v>205</v>
      </c>
      <c r="G110" s="12" t="s">
        <v>37</v>
      </c>
      <c r="H110" s="14">
        <v>8392.2999999999993</v>
      </c>
      <c r="I110" s="15">
        <v>46134</v>
      </c>
      <c r="J110" s="12" t="str">
        <f t="shared" ca="1" si="2"/>
        <v>0-30</v>
      </c>
      <c r="K110" s="14">
        <v>8392.2999999999993</v>
      </c>
      <c r="L110" s="16">
        <v>46104</v>
      </c>
      <c r="M110" s="13" t="s">
        <v>38</v>
      </c>
      <c r="N110" s="13" t="s">
        <v>39</v>
      </c>
      <c r="O110" s="13" t="s">
        <v>40</v>
      </c>
      <c r="P110" s="13"/>
      <c r="Q110" s="13" t="s">
        <v>41</v>
      </c>
      <c r="R110" s="13" t="s">
        <v>42</v>
      </c>
      <c r="S110" s="17">
        <v>30820.720000000001</v>
      </c>
      <c r="T110" s="17">
        <v>0</v>
      </c>
      <c r="U110" s="17">
        <v>0</v>
      </c>
      <c r="V110" s="17">
        <v>0</v>
      </c>
      <c r="W110" s="17">
        <v>0</v>
      </c>
      <c r="X110" s="17">
        <v>0</v>
      </c>
      <c r="Y110" s="17">
        <v>0</v>
      </c>
      <c r="Z110" s="17">
        <v>0</v>
      </c>
      <c r="AA110" s="13" t="s">
        <v>200</v>
      </c>
      <c r="AB110" s="13" t="s">
        <v>44</v>
      </c>
      <c r="AC110" s="13" t="s">
        <v>45</v>
      </c>
      <c r="AD110" s="13" t="s">
        <v>46</v>
      </c>
      <c r="AE110" s="17">
        <v>30820.720000000001</v>
      </c>
      <c r="AF110" s="17">
        <v>7262.92</v>
      </c>
      <c r="AG110" s="47" t="s">
        <v>886</v>
      </c>
      <c r="AH110" s="20" t="e">
        <v>#N/A</v>
      </c>
      <c r="AI110" s="19" t="b">
        <v>0</v>
      </c>
      <c r="AJ110" s="18" t="s">
        <v>870</v>
      </c>
      <c r="AK110" s="49" t="s">
        <v>943</v>
      </c>
    </row>
    <row r="111" spans="1:37" ht="16.5" x14ac:dyDescent="0.4">
      <c r="A111" s="3"/>
      <c r="B111" s="3"/>
      <c r="C111" s="4"/>
      <c r="D111" s="4" t="s">
        <v>196</v>
      </c>
      <c r="E111" s="3"/>
      <c r="F111" s="4"/>
      <c r="G111" s="4"/>
      <c r="H111" s="43">
        <f>SUM(H105:H110)</f>
        <v>175336.35</v>
      </c>
      <c r="I111" s="5"/>
      <c r="J111" s="45" t="str">
        <f t="shared" ca="1" si="2"/>
        <v/>
      </c>
      <c r="K111" s="43">
        <f>SUM(K105:K110)</f>
        <v>175336.35</v>
      </c>
      <c r="L111" s="9"/>
      <c r="M111" s="4"/>
      <c r="N111" s="4"/>
      <c r="O111" s="4"/>
      <c r="P111" s="4"/>
      <c r="Q111" s="4"/>
      <c r="R111" s="4" t="s">
        <v>42</v>
      </c>
      <c r="S111" s="6">
        <v>207475.21</v>
      </c>
      <c r="T111" s="6">
        <v>436447.54</v>
      </c>
      <c r="U111" s="6">
        <v>0</v>
      </c>
      <c r="V111" s="6">
        <v>0</v>
      </c>
      <c r="W111" s="6">
        <v>0</v>
      </c>
      <c r="X111" s="7"/>
      <c r="Y111" s="7"/>
      <c r="Z111" s="6">
        <v>0</v>
      </c>
      <c r="AA111" s="4"/>
      <c r="AB111" s="4"/>
      <c r="AC111" s="4"/>
      <c r="AD111" s="4"/>
      <c r="AE111" s="6">
        <v>643922.75</v>
      </c>
      <c r="AF111" s="6">
        <v>149700.93</v>
      </c>
      <c r="AG111" s="48"/>
      <c r="AH111" s="44" cm="1">
        <f t="array" ref="AH111">IFERROR(SUMPRODUCT(AF105:AF110*--(((AI105:AI110=TRUE)+(AI105:AI110=1))&gt;0)),0)</f>
        <v>31373.56</v>
      </c>
      <c r="AI111" s="54">
        <f>SUMIF(AI105:AI110,TRUE,H105:H110)/H111</f>
        <v>0.21212572293195334</v>
      </c>
      <c r="AJ111" s="6"/>
      <c r="AK111" s="50"/>
    </row>
    <row r="112" spans="1:37" x14ac:dyDescent="0.35">
      <c r="A112" s="12" t="s">
        <v>33</v>
      </c>
      <c r="B112" s="12">
        <v>100113889</v>
      </c>
      <c r="C112" s="13" t="s">
        <v>206</v>
      </c>
      <c r="D112" s="13" t="s">
        <v>207</v>
      </c>
      <c r="E112" s="12">
        <v>2900000796</v>
      </c>
      <c r="F112" s="13" t="s">
        <v>208</v>
      </c>
      <c r="G112" s="12" t="s">
        <v>37</v>
      </c>
      <c r="H112" s="14">
        <v>-2152.4899999999998</v>
      </c>
      <c r="I112" s="15">
        <v>46092</v>
      </c>
      <c r="J112" s="12" t="str">
        <f t="shared" ca="1" si="2"/>
        <v>31-60</v>
      </c>
      <c r="K112" s="14">
        <v>-2152.4899999999998</v>
      </c>
      <c r="L112" s="16">
        <v>46092</v>
      </c>
      <c r="M112" s="13" t="s">
        <v>38</v>
      </c>
      <c r="N112" s="13" t="s">
        <v>209</v>
      </c>
      <c r="O112" s="13" t="s">
        <v>210</v>
      </c>
      <c r="P112" s="13"/>
      <c r="Q112" s="13"/>
      <c r="R112" s="13" t="s">
        <v>42</v>
      </c>
      <c r="S112" s="17">
        <v>-7905.02</v>
      </c>
      <c r="T112" s="17">
        <v>0</v>
      </c>
      <c r="U112" s="17">
        <v>0</v>
      </c>
      <c r="V112" s="17">
        <v>0</v>
      </c>
      <c r="W112" s="17">
        <v>0</v>
      </c>
      <c r="X112" s="17">
        <v>0</v>
      </c>
      <c r="Y112" s="17">
        <v>0</v>
      </c>
      <c r="Z112" s="17">
        <v>0</v>
      </c>
      <c r="AA112" s="13" t="s">
        <v>211</v>
      </c>
      <c r="AB112" s="13" t="s">
        <v>44</v>
      </c>
      <c r="AC112" s="13" t="s">
        <v>45</v>
      </c>
      <c r="AD112" s="13" t="s">
        <v>46</v>
      </c>
      <c r="AE112" s="17">
        <v>-7905.02</v>
      </c>
      <c r="AF112" s="17">
        <v>-1858.64</v>
      </c>
      <c r="AG112" s="47" t="e">
        <v>#N/A</v>
      </c>
      <c r="AH112" s="20" t="e">
        <v>#N/A</v>
      </c>
      <c r="AI112" s="19" t="b">
        <v>0</v>
      </c>
      <c r="AJ112" s="18" t="s">
        <v>871</v>
      </c>
      <c r="AK112" s="49" t="s">
        <v>910</v>
      </c>
    </row>
    <row r="113" spans="1:37" x14ac:dyDescent="0.35">
      <c r="A113" s="12" t="s">
        <v>33</v>
      </c>
      <c r="B113" s="12">
        <v>100113889</v>
      </c>
      <c r="C113" s="13" t="s">
        <v>206</v>
      </c>
      <c r="D113" s="13" t="s">
        <v>207</v>
      </c>
      <c r="E113" s="12">
        <v>9000066063</v>
      </c>
      <c r="F113" s="13" t="s">
        <v>212</v>
      </c>
      <c r="G113" s="12" t="s">
        <v>37</v>
      </c>
      <c r="H113" s="14">
        <v>-35840.31</v>
      </c>
      <c r="I113" s="15">
        <v>46010</v>
      </c>
      <c r="J113" s="12" t="str">
        <f t="shared" ca="1" si="2"/>
        <v>120 +</v>
      </c>
      <c r="K113" s="14">
        <v>-35840.31</v>
      </c>
      <c r="L113" s="16">
        <v>46010</v>
      </c>
      <c r="M113" s="13" t="s">
        <v>38</v>
      </c>
      <c r="N113" s="13" t="s">
        <v>213</v>
      </c>
      <c r="O113" s="13" t="s">
        <v>214</v>
      </c>
      <c r="P113" s="13"/>
      <c r="Q113" s="13"/>
      <c r="R113" s="13" t="s">
        <v>42</v>
      </c>
      <c r="S113" s="17">
        <v>0</v>
      </c>
      <c r="T113" s="17">
        <v>0</v>
      </c>
      <c r="U113" s="17">
        <v>0</v>
      </c>
      <c r="V113" s="17">
        <v>0</v>
      </c>
      <c r="W113" s="17">
        <v>-131623.54</v>
      </c>
      <c r="X113" s="17">
        <v>0</v>
      </c>
      <c r="Y113" s="17">
        <v>-131623.54</v>
      </c>
      <c r="Z113" s="17">
        <v>0</v>
      </c>
      <c r="AA113" s="13" t="s">
        <v>215</v>
      </c>
      <c r="AB113" s="13" t="s">
        <v>44</v>
      </c>
      <c r="AC113" s="13" t="s">
        <v>45</v>
      </c>
      <c r="AD113" s="13" t="s">
        <v>46</v>
      </c>
      <c r="AE113" s="17">
        <v>-131623.54</v>
      </c>
      <c r="AF113" s="17">
        <v>-30583.08</v>
      </c>
      <c r="AG113" s="47" t="e">
        <v>#N/A</v>
      </c>
      <c r="AH113" s="20" t="s">
        <v>797</v>
      </c>
      <c r="AI113" s="19" t="b">
        <v>0</v>
      </c>
      <c r="AJ113" s="18" t="s">
        <v>871</v>
      </c>
      <c r="AK113" s="49" t="s">
        <v>797</v>
      </c>
    </row>
    <row r="114" spans="1:37" x14ac:dyDescent="0.35">
      <c r="A114" s="12" t="s">
        <v>33</v>
      </c>
      <c r="B114" s="12">
        <v>100113889</v>
      </c>
      <c r="C114" s="13" t="s">
        <v>206</v>
      </c>
      <c r="D114" s="13" t="s">
        <v>207</v>
      </c>
      <c r="E114" s="12">
        <v>9700017531</v>
      </c>
      <c r="F114" s="13" t="s">
        <v>216</v>
      </c>
      <c r="G114" s="12" t="s">
        <v>37</v>
      </c>
      <c r="H114" s="14">
        <v>34915.910000000003</v>
      </c>
      <c r="I114" s="15">
        <v>46109</v>
      </c>
      <c r="J114" s="12" t="str">
        <f t="shared" ca="1" si="2"/>
        <v>31-60</v>
      </c>
      <c r="K114" s="14">
        <v>34915.910000000003</v>
      </c>
      <c r="L114" s="16">
        <v>46079</v>
      </c>
      <c r="M114" s="13" t="s">
        <v>38</v>
      </c>
      <c r="N114" s="13" t="s">
        <v>39</v>
      </c>
      <c r="O114" s="13" t="s">
        <v>40</v>
      </c>
      <c r="P114" s="13"/>
      <c r="Q114" s="13" t="s">
        <v>41</v>
      </c>
      <c r="R114" s="13" t="s">
        <v>42</v>
      </c>
      <c r="S114" s="17">
        <v>0</v>
      </c>
      <c r="T114" s="17">
        <v>128228.68</v>
      </c>
      <c r="U114" s="17">
        <v>0</v>
      </c>
      <c r="V114" s="17">
        <v>0</v>
      </c>
      <c r="W114" s="17">
        <v>0</v>
      </c>
      <c r="X114" s="17">
        <v>0</v>
      </c>
      <c r="Y114" s="17">
        <v>128228.68</v>
      </c>
      <c r="Z114" s="17">
        <v>0</v>
      </c>
      <c r="AA114" s="13" t="s">
        <v>217</v>
      </c>
      <c r="AB114" s="13" t="s">
        <v>44</v>
      </c>
      <c r="AC114" s="13" t="s">
        <v>45</v>
      </c>
      <c r="AD114" s="13" t="s">
        <v>46</v>
      </c>
      <c r="AE114" s="17">
        <v>128228.68</v>
      </c>
      <c r="AF114" s="17">
        <v>29672.74</v>
      </c>
      <c r="AG114" s="47" t="s">
        <v>876</v>
      </c>
      <c r="AH114" s="20" t="s">
        <v>784</v>
      </c>
      <c r="AI114" s="19" t="b">
        <v>0</v>
      </c>
      <c r="AJ114" s="18" t="s">
        <v>865</v>
      </c>
      <c r="AK114" s="49" t="s">
        <v>784</v>
      </c>
    </row>
    <row r="115" spans="1:37" x14ac:dyDescent="0.35">
      <c r="A115" s="12" t="s">
        <v>33</v>
      </c>
      <c r="B115" s="12">
        <v>100113889</v>
      </c>
      <c r="C115" s="13" t="s">
        <v>206</v>
      </c>
      <c r="D115" s="13" t="s">
        <v>207</v>
      </c>
      <c r="E115" s="12">
        <v>9700022733</v>
      </c>
      <c r="F115" s="13" t="s">
        <v>218</v>
      </c>
      <c r="G115" s="12" t="s">
        <v>37</v>
      </c>
      <c r="H115" s="14">
        <v>8319.2999999999993</v>
      </c>
      <c r="I115" s="15">
        <v>46130</v>
      </c>
      <c r="J115" s="12" t="str">
        <f t="shared" ca="1" si="2"/>
        <v>0-30</v>
      </c>
      <c r="K115" s="14">
        <v>8319.2999999999993</v>
      </c>
      <c r="L115" s="16">
        <v>46100</v>
      </c>
      <c r="M115" s="13" t="s">
        <v>38</v>
      </c>
      <c r="N115" s="13" t="s">
        <v>39</v>
      </c>
      <c r="O115" s="13" t="s">
        <v>40</v>
      </c>
      <c r="P115" s="13"/>
      <c r="Q115" s="13" t="s">
        <v>41</v>
      </c>
      <c r="R115" s="13" t="s">
        <v>42</v>
      </c>
      <c r="S115" s="17">
        <v>30552.63</v>
      </c>
      <c r="T115" s="17">
        <v>0</v>
      </c>
      <c r="U115" s="17">
        <v>0</v>
      </c>
      <c r="V115" s="17">
        <v>0</v>
      </c>
      <c r="W115" s="17">
        <v>0</v>
      </c>
      <c r="X115" s="17">
        <v>0</v>
      </c>
      <c r="Y115" s="17">
        <v>0</v>
      </c>
      <c r="Z115" s="17">
        <v>0</v>
      </c>
      <c r="AA115" s="13" t="s">
        <v>219</v>
      </c>
      <c r="AB115" s="13" t="s">
        <v>44</v>
      </c>
      <c r="AC115" s="13" t="s">
        <v>45</v>
      </c>
      <c r="AD115" s="13" t="s">
        <v>46</v>
      </c>
      <c r="AE115" s="17">
        <v>30552.63</v>
      </c>
      <c r="AF115" s="17">
        <v>7249.3</v>
      </c>
      <c r="AG115" s="47" t="s">
        <v>876</v>
      </c>
      <c r="AH115" s="20" t="e">
        <v>#N/A</v>
      </c>
      <c r="AI115" s="19" t="b">
        <v>1</v>
      </c>
      <c r="AJ115" s="18" t="s">
        <v>874</v>
      </c>
      <c r="AK115" s="49" t="s">
        <v>815</v>
      </c>
    </row>
    <row r="116" spans="1:37" x14ac:dyDescent="0.35">
      <c r="A116" s="12" t="s">
        <v>33</v>
      </c>
      <c r="B116" s="12">
        <v>100113889</v>
      </c>
      <c r="C116" s="13" t="s">
        <v>206</v>
      </c>
      <c r="D116" s="13" t="s">
        <v>207</v>
      </c>
      <c r="E116" s="12">
        <v>9700025375</v>
      </c>
      <c r="F116" s="13" t="s">
        <v>220</v>
      </c>
      <c r="G116" s="12" t="s">
        <v>37</v>
      </c>
      <c r="H116" s="14">
        <v>6899.16</v>
      </c>
      <c r="I116" s="15">
        <v>46136</v>
      </c>
      <c r="J116" s="12" t="str">
        <f t="shared" ca="1" si="2"/>
        <v>0-30</v>
      </c>
      <c r="K116" s="14">
        <v>6899.16</v>
      </c>
      <c r="L116" s="16">
        <v>46106</v>
      </c>
      <c r="M116" s="13" t="s">
        <v>38</v>
      </c>
      <c r="N116" s="13" t="s">
        <v>39</v>
      </c>
      <c r="O116" s="13" t="s">
        <v>40</v>
      </c>
      <c r="P116" s="13"/>
      <c r="Q116" s="13" t="s">
        <v>41</v>
      </c>
      <c r="R116" s="13" t="s">
        <v>42</v>
      </c>
      <c r="S116" s="17">
        <v>25337.17</v>
      </c>
      <c r="T116" s="17">
        <v>0</v>
      </c>
      <c r="U116" s="17">
        <v>0</v>
      </c>
      <c r="V116" s="17">
        <v>0</v>
      </c>
      <c r="W116" s="17">
        <v>0</v>
      </c>
      <c r="X116" s="17">
        <v>0</v>
      </c>
      <c r="Y116" s="17">
        <v>0</v>
      </c>
      <c r="Z116" s="17">
        <v>0</v>
      </c>
      <c r="AA116" s="13" t="s">
        <v>221</v>
      </c>
      <c r="AB116" s="13" t="s">
        <v>44</v>
      </c>
      <c r="AC116" s="13" t="s">
        <v>45</v>
      </c>
      <c r="AD116" s="13" t="s">
        <v>46</v>
      </c>
      <c r="AE116" s="17">
        <v>25337.17</v>
      </c>
      <c r="AF116" s="17">
        <v>5961.94</v>
      </c>
      <c r="AG116" s="47" t="s">
        <v>887</v>
      </c>
      <c r="AH116" s="20" t="e">
        <v>#N/A</v>
      </c>
      <c r="AI116" s="19" t="b">
        <v>1</v>
      </c>
      <c r="AJ116" s="18" t="s">
        <v>874</v>
      </c>
      <c r="AK116" s="49" t="s">
        <v>815</v>
      </c>
    </row>
    <row r="117" spans="1:37" ht="16.5" x14ac:dyDescent="0.4">
      <c r="A117" s="3"/>
      <c r="B117" s="3"/>
      <c r="C117" s="4"/>
      <c r="D117" s="4" t="s">
        <v>207</v>
      </c>
      <c r="E117" s="3"/>
      <c r="F117" s="4"/>
      <c r="G117" s="4"/>
      <c r="H117" s="43">
        <f>SUM(H112:H116)</f>
        <v>12141.570000000007</v>
      </c>
      <c r="I117" s="5"/>
      <c r="J117" s="45" t="str">
        <f t="shared" ca="1" si="2"/>
        <v/>
      </c>
      <c r="K117" s="43">
        <f>SUM(K112:K116)</f>
        <v>12141.570000000007</v>
      </c>
      <c r="L117" s="9"/>
      <c r="M117" s="4"/>
      <c r="N117" s="4"/>
      <c r="O117" s="4"/>
      <c r="P117" s="4"/>
      <c r="Q117" s="4"/>
      <c r="R117" s="4" t="s">
        <v>42</v>
      </c>
      <c r="S117" s="6">
        <v>47984.78</v>
      </c>
      <c r="T117" s="6">
        <v>128228.68</v>
      </c>
      <c r="U117" s="6">
        <v>0</v>
      </c>
      <c r="V117" s="6">
        <v>0</v>
      </c>
      <c r="W117" s="6">
        <v>-131623.54</v>
      </c>
      <c r="X117" s="7"/>
      <c r="Y117" s="7"/>
      <c r="Z117" s="6">
        <v>0</v>
      </c>
      <c r="AA117" s="4"/>
      <c r="AB117" s="4"/>
      <c r="AC117" s="4"/>
      <c r="AD117" s="4"/>
      <c r="AE117" s="6">
        <v>44589.919999999998</v>
      </c>
      <c r="AF117" s="6">
        <v>10442.26</v>
      </c>
      <c r="AG117" s="48"/>
      <c r="AH117" s="44" cm="1">
        <f t="array" ref="AH117">IFERROR(SUMPRODUCT(AF112:AF116*--(((AI112:AI116=TRUE)+(AI112:AI116=1))&gt;0)),0)</f>
        <v>13211.24</v>
      </c>
      <c r="AI117" s="54">
        <f>SUMIF(AI112:AI116,TRUE,H112:H116)/H117</f>
        <v>1.253417803463637</v>
      </c>
      <c r="AJ117" s="6"/>
      <c r="AK117" s="50"/>
    </row>
    <row r="118" spans="1:37" x14ac:dyDescent="0.35">
      <c r="A118" s="12" t="s">
        <v>33</v>
      </c>
      <c r="B118" s="12">
        <v>100111711</v>
      </c>
      <c r="C118" s="13" t="s">
        <v>222</v>
      </c>
      <c r="D118" s="13" t="s">
        <v>223</v>
      </c>
      <c r="E118" s="12">
        <v>9700017528</v>
      </c>
      <c r="F118" s="13" t="s">
        <v>224</v>
      </c>
      <c r="G118" s="12" t="s">
        <v>37</v>
      </c>
      <c r="H118" s="14">
        <v>551.9</v>
      </c>
      <c r="I118" s="15">
        <v>46109</v>
      </c>
      <c r="J118" s="12" t="str">
        <f t="shared" ca="1" si="2"/>
        <v>31-60</v>
      </c>
      <c r="K118" s="14">
        <v>551.9</v>
      </c>
      <c r="L118" s="16">
        <v>46079</v>
      </c>
      <c r="M118" s="13" t="s">
        <v>38</v>
      </c>
      <c r="N118" s="13" t="s">
        <v>39</v>
      </c>
      <c r="O118" s="13" t="s">
        <v>40</v>
      </c>
      <c r="P118" s="13"/>
      <c r="Q118" s="13" t="s">
        <v>41</v>
      </c>
      <c r="R118" s="13" t="s">
        <v>42</v>
      </c>
      <c r="S118" s="17">
        <v>0</v>
      </c>
      <c r="T118" s="17">
        <v>2026.85</v>
      </c>
      <c r="U118" s="17">
        <v>0</v>
      </c>
      <c r="V118" s="17">
        <v>0</v>
      </c>
      <c r="W118" s="17">
        <v>0</v>
      </c>
      <c r="X118" s="17">
        <v>0</v>
      </c>
      <c r="Y118" s="17">
        <v>2026.85</v>
      </c>
      <c r="Z118" s="17">
        <v>0</v>
      </c>
      <c r="AA118" s="13" t="s">
        <v>225</v>
      </c>
      <c r="AB118" s="13" t="s">
        <v>44</v>
      </c>
      <c r="AC118" s="13" t="s">
        <v>45</v>
      </c>
      <c r="AD118" s="13" t="s">
        <v>46</v>
      </c>
      <c r="AE118" s="17">
        <v>2026.85</v>
      </c>
      <c r="AF118" s="17">
        <v>469.02</v>
      </c>
      <c r="AG118" s="47" t="s">
        <v>876</v>
      </c>
      <c r="AH118" s="20" t="s">
        <v>798</v>
      </c>
      <c r="AI118" s="19" t="b">
        <v>1</v>
      </c>
      <c r="AJ118" s="18" t="s">
        <v>874</v>
      </c>
      <c r="AK118" s="49" t="s">
        <v>815</v>
      </c>
    </row>
    <row r="119" spans="1:37" ht="16.5" x14ac:dyDescent="0.4">
      <c r="A119" s="3"/>
      <c r="B119" s="3"/>
      <c r="C119" s="4"/>
      <c r="D119" s="4" t="s">
        <v>223</v>
      </c>
      <c r="E119" s="3"/>
      <c r="F119" s="4"/>
      <c r="G119" s="4"/>
      <c r="H119" s="43">
        <f>SUM(H118:H118)</f>
        <v>551.9</v>
      </c>
      <c r="I119" s="5"/>
      <c r="J119" s="45" t="str">
        <f t="shared" ca="1" si="2"/>
        <v/>
      </c>
      <c r="K119" s="43">
        <f>SUM(K118:K118)</f>
        <v>551.9</v>
      </c>
      <c r="L119" s="9"/>
      <c r="M119" s="4"/>
      <c r="N119" s="4"/>
      <c r="O119" s="4"/>
      <c r="P119" s="4"/>
      <c r="Q119" s="4"/>
      <c r="R119" s="4" t="s">
        <v>42</v>
      </c>
      <c r="S119" s="6">
        <v>0</v>
      </c>
      <c r="T119" s="6">
        <v>2026.85</v>
      </c>
      <c r="U119" s="6">
        <v>0</v>
      </c>
      <c r="V119" s="6">
        <v>0</v>
      </c>
      <c r="W119" s="6">
        <v>0</v>
      </c>
      <c r="X119" s="7"/>
      <c r="Y119" s="7"/>
      <c r="Z119" s="6">
        <v>0</v>
      </c>
      <c r="AA119" s="4"/>
      <c r="AB119" s="4"/>
      <c r="AC119" s="4"/>
      <c r="AD119" s="4"/>
      <c r="AE119" s="6">
        <v>2026.85</v>
      </c>
      <c r="AF119" s="6">
        <v>469.02</v>
      </c>
      <c r="AG119" s="48"/>
      <c r="AH119" s="44" cm="1">
        <f t="array" ref="AH119">IFERROR(SUMPRODUCT(AF118:AF118*--(((AI118:AI118=TRUE)+(AI118:AI118=1))&gt;0)),0)</f>
        <v>469.02</v>
      </c>
      <c r="AI119" s="54">
        <f>SUMIF(AI118:AI118,TRUE,H118:H118)/H119</f>
        <v>1</v>
      </c>
      <c r="AJ119" s="6"/>
      <c r="AK119" s="50"/>
    </row>
    <row r="120" spans="1:37" x14ac:dyDescent="0.35">
      <c r="A120" s="12" t="s">
        <v>33</v>
      </c>
      <c r="B120" s="12">
        <v>100114939</v>
      </c>
      <c r="C120" s="13" t="s">
        <v>226</v>
      </c>
      <c r="D120" s="13" t="s">
        <v>227</v>
      </c>
      <c r="E120" s="12">
        <v>9700022646</v>
      </c>
      <c r="F120" s="13" t="s">
        <v>228</v>
      </c>
      <c r="G120" s="12" t="s">
        <v>37</v>
      </c>
      <c r="H120" s="14">
        <v>5676.07</v>
      </c>
      <c r="I120" s="15">
        <v>46128</v>
      </c>
      <c r="J120" s="12" t="str">
        <f t="shared" ca="1" si="2"/>
        <v>0-30</v>
      </c>
      <c r="K120" s="14">
        <v>5676.07</v>
      </c>
      <c r="L120" s="16">
        <v>46098</v>
      </c>
      <c r="M120" s="13" t="s">
        <v>38</v>
      </c>
      <c r="N120" s="13" t="s">
        <v>39</v>
      </c>
      <c r="O120" s="13" t="s">
        <v>40</v>
      </c>
      <c r="P120" s="13"/>
      <c r="Q120" s="13" t="s">
        <v>41</v>
      </c>
      <c r="R120" s="13" t="s">
        <v>42</v>
      </c>
      <c r="S120" s="17">
        <v>20845.37</v>
      </c>
      <c r="T120" s="17">
        <v>0</v>
      </c>
      <c r="U120" s="17">
        <v>0</v>
      </c>
      <c r="V120" s="17">
        <v>0</v>
      </c>
      <c r="W120" s="17">
        <v>0</v>
      </c>
      <c r="X120" s="17">
        <v>0</v>
      </c>
      <c r="Y120" s="17">
        <v>0</v>
      </c>
      <c r="Z120" s="17">
        <v>0</v>
      </c>
      <c r="AA120" s="13" t="s">
        <v>229</v>
      </c>
      <c r="AB120" s="13" t="s">
        <v>44</v>
      </c>
      <c r="AC120" s="13" t="s">
        <v>45</v>
      </c>
      <c r="AD120" s="13" t="s">
        <v>46</v>
      </c>
      <c r="AE120" s="17">
        <v>20845.37</v>
      </c>
      <c r="AF120" s="17">
        <v>4946.04</v>
      </c>
      <c r="AG120" s="47" t="s">
        <v>876</v>
      </c>
      <c r="AH120" s="20" t="e">
        <v>#N/A</v>
      </c>
      <c r="AI120" s="19" t="b">
        <v>1</v>
      </c>
      <c r="AJ120" s="18" t="s">
        <v>874</v>
      </c>
      <c r="AK120" s="49" t="s">
        <v>815</v>
      </c>
    </row>
    <row r="121" spans="1:37" ht="16.5" x14ac:dyDescent="0.4">
      <c r="A121" s="3"/>
      <c r="B121" s="3"/>
      <c r="C121" s="4"/>
      <c r="D121" s="4" t="s">
        <v>227</v>
      </c>
      <c r="E121" s="3"/>
      <c r="F121" s="4"/>
      <c r="G121" s="4"/>
      <c r="H121" s="43">
        <f>SUM(H120:H120)</f>
        <v>5676.07</v>
      </c>
      <c r="I121" s="5"/>
      <c r="J121" s="45" t="str">
        <f t="shared" ca="1" si="2"/>
        <v/>
      </c>
      <c r="K121" s="43">
        <f>SUM(K120:K120)</f>
        <v>5676.07</v>
      </c>
      <c r="L121" s="9"/>
      <c r="M121" s="4"/>
      <c r="N121" s="4"/>
      <c r="O121" s="4"/>
      <c r="P121" s="4"/>
      <c r="Q121" s="4"/>
      <c r="R121" s="4" t="s">
        <v>42</v>
      </c>
      <c r="S121" s="6">
        <v>20845.37</v>
      </c>
      <c r="T121" s="6">
        <v>0</v>
      </c>
      <c r="U121" s="6">
        <v>0</v>
      </c>
      <c r="V121" s="6">
        <v>0</v>
      </c>
      <c r="W121" s="6">
        <v>0</v>
      </c>
      <c r="X121" s="7"/>
      <c r="Y121" s="7"/>
      <c r="Z121" s="6">
        <v>0</v>
      </c>
      <c r="AA121" s="4"/>
      <c r="AB121" s="4"/>
      <c r="AC121" s="4"/>
      <c r="AD121" s="4"/>
      <c r="AE121" s="6">
        <v>20845.37</v>
      </c>
      <c r="AF121" s="6">
        <v>4946.04</v>
      </c>
      <c r="AG121" s="48"/>
      <c r="AH121" s="44" cm="1">
        <f t="array" ref="AH121">IFERROR(SUMPRODUCT(AF120:AF120*--(((AI120:AI120=TRUE)+(AI120:AI120=1))&gt;0)),0)</f>
        <v>4946.04</v>
      </c>
      <c r="AI121" s="54">
        <f>SUMIF(AI120:AI120,TRUE,H120:H120)/H121</f>
        <v>1</v>
      </c>
      <c r="AJ121" s="6"/>
      <c r="AK121" s="50"/>
    </row>
    <row r="122" spans="1:37" x14ac:dyDescent="0.35">
      <c r="A122" s="12" t="s">
        <v>33</v>
      </c>
      <c r="B122" s="12">
        <v>100111597</v>
      </c>
      <c r="C122" s="13" t="s">
        <v>230</v>
      </c>
      <c r="D122" s="13" t="s">
        <v>231</v>
      </c>
      <c r="E122" s="12">
        <v>9700023040</v>
      </c>
      <c r="F122" s="13" t="s">
        <v>232</v>
      </c>
      <c r="G122" s="12" t="s">
        <v>37</v>
      </c>
      <c r="H122" s="14">
        <v>12567.09</v>
      </c>
      <c r="I122" s="15">
        <v>46129</v>
      </c>
      <c r="J122" s="12" t="str">
        <f t="shared" ca="1" si="2"/>
        <v>0-30</v>
      </c>
      <c r="K122" s="14">
        <v>12567.09</v>
      </c>
      <c r="L122" s="16">
        <v>46099</v>
      </c>
      <c r="M122" s="13" t="s">
        <v>38</v>
      </c>
      <c r="N122" s="13" t="s">
        <v>39</v>
      </c>
      <c r="O122" s="13" t="s">
        <v>40</v>
      </c>
      <c r="P122" s="13"/>
      <c r="Q122" s="13" t="s">
        <v>41</v>
      </c>
      <c r="R122" s="13" t="s">
        <v>42</v>
      </c>
      <c r="S122" s="17">
        <v>46152.639999999999</v>
      </c>
      <c r="T122" s="17">
        <v>0</v>
      </c>
      <c r="U122" s="17">
        <v>0</v>
      </c>
      <c r="V122" s="17">
        <v>0</v>
      </c>
      <c r="W122" s="17">
        <v>0</v>
      </c>
      <c r="X122" s="17">
        <v>0</v>
      </c>
      <c r="Y122" s="17">
        <v>0</v>
      </c>
      <c r="Z122" s="17">
        <v>0</v>
      </c>
      <c r="AA122" s="13" t="s">
        <v>233</v>
      </c>
      <c r="AB122" s="13" t="s">
        <v>44</v>
      </c>
      <c r="AC122" s="13" t="s">
        <v>45</v>
      </c>
      <c r="AD122" s="13" t="s">
        <v>46</v>
      </c>
      <c r="AE122" s="17">
        <v>46152.639999999999</v>
      </c>
      <c r="AF122" s="17">
        <v>10948.85</v>
      </c>
      <c r="AG122" s="47" t="s">
        <v>888</v>
      </c>
      <c r="AH122" s="20" t="e">
        <v>#N/A</v>
      </c>
      <c r="AI122" s="19" t="b">
        <v>1</v>
      </c>
      <c r="AJ122" s="18" t="s">
        <v>874</v>
      </c>
      <c r="AK122" s="49" t="s">
        <v>815</v>
      </c>
    </row>
    <row r="123" spans="1:37" x14ac:dyDescent="0.35">
      <c r="A123" s="12" t="s">
        <v>33</v>
      </c>
      <c r="B123" s="12">
        <v>100111597</v>
      </c>
      <c r="C123" s="13" t="s">
        <v>230</v>
      </c>
      <c r="D123" s="13" t="s">
        <v>231</v>
      </c>
      <c r="E123" s="12">
        <v>9700023800</v>
      </c>
      <c r="F123" s="13" t="s">
        <v>234</v>
      </c>
      <c r="G123" s="12" t="s">
        <v>37</v>
      </c>
      <c r="H123" s="14">
        <v>3083.12</v>
      </c>
      <c r="I123" s="15">
        <v>46134</v>
      </c>
      <c r="J123" s="12" t="str">
        <f t="shared" ca="1" si="2"/>
        <v>0-30</v>
      </c>
      <c r="K123" s="14">
        <v>3083.12</v>
      </c>
      <c r="L123" s="16">
        <v>46104</v>
      </c>
      <c r="M123" s="13" t="s">
        <v>38</v>
      </c>
      <c r="N123" s="13" t="s">
        <v>39</v>
      </c>
      <c r="O123" s="13" t="s">
        <v>40</v>
      </c>
      <c r="P123" s="13"/>
      <c r="Q123" s="13" t="s">
        <v>41</v>
      </c>
      <c r="R123" s="13" t="s">
        <v>42</v>
      </c>
      <c r="S123" s="17">
        <v>11322.76</v>
      </c>
      <c r="T123" s="17">
        <v>0</v>
      </c>
      <c r="U123" s="17">
        <v>0</v>
      </c>
      <c r="V123" s="17">
        <v>0</v>
      </c>
      <c r="W123" s="17">
        <v>0</v>
      </c>
      <c r="X123" s="17">
        <v>0</v>
      </c>
      <c r="Y123" s="17">
        <v>0</v>
      </c>
      <c r="Z123" s="17">
        <v>0</v>
      </c>
      <c r="AA123" s="13" t="s">
        <v>233</v>
      </c>
      <c r="AB123" s="13" t="s">
        <v>44</v>
      </c>
      <c r="AC123" s="13" t="s">
        <v>45</v>
      </c>
      <c r="AD123" s="13" t="s">
        <v>46</v>
      </c>
      <c r="AE123" s="17">
        <v>11322.76</v>
      </c>
      <c r="AF123" s="17">
        <v>2673.77</v>
      </c>
      <c r="AG123" s="47" t="s">
        <v>888</v>
      </c>
      <c r="AH123" s="20" t="e">
        <v>#N/A</v>
      </c>
      <c r="AI123" s="19" t="b">
        <v>1</v>
      </c>
      <c r="AJ123" s="18" t="s">
        <v>874</v>
      </c>
      <c r="AK123" s="49" t="s">
        <v>815</v>
      </c>
    </row>
    <row r="124" spans="1:37" x14ac:dyDescent="0.35">
      <c r="A124" s="12" t="s">
        <v>33</v>
      </c>
      <c r="B124" s="12">
        <v>100111597</v>
      </c>
      <c r="C124" s="13" t="s">
        <v>230</v>
      </c>
      <c r="D124" s="13" t="s">
        <v>231</v>
      </c>
      <c r="E124" s="12">
        <v>9700025788</v>
      </c>
      <c r="F124" s="13" t="s">
        <v>235</v>
      </c>
      <c r="G124" s="12" t="s">
        <v>37</v>
      </c>
      <c r="H124" s="14">
        <v>34621.589999999997</v>
      </c>
      <c r="I124" s="15">
        <v>46141</v>
      </c>
      <c r="J124" s="12" t="str">
        <f t="shared" ca="1" si="2"/>
        <v>Current</v>
      </c>
      <c r="K124" s="14">
        <v>34621.589999999997</v>
      </c>
      <c r="L124" s="16">
        <v>46111</v>
      </c>
      <c r="M124" s="13" t="s">
        <v>38</v>
      </c>
      <c r="N124" s="13" t="s">
        <v>39</v>
      </c>
      <c r="O124" s="13" t="s">
        <v>40</v>
      </c>
      <c r="P124" s="13"/>
      <c r="Q124" s="13" t="s">
        <v>41</v>
      </c>
      <c r="R124" s="13" t="s">
        <v>42</v>
      </c>
      <c r="S124" s="17">
        <v>127147.79</v>
      </c>
      <c r="T124" s="17">
        <v>0</v>
      </c>
      <c r="U124" s="17">
        <v>0</v>
      </c>
      <c r="V124" s="17">
        <v>0</v>
      </c>
      <c r="W124" s="17">
        <v>0</v>
      </c>
      <c r="X124" s="17">
        <v>0</v>
      </c>
      <c r="Y124" s="17">
        <v>0</v>
      </c>
      <c r="Z124" s="17">
        <v>0</v>
      </c>
      <c r="AA124" s="13" t="s">
        <v>236</v>
      </c>
      <c r="AB124" s="13" t="s">
        <v>44</v>
      </c>
      <c r="AC124" s="13" t="s">
        <v>45</v>
      </c>
      <c r="AD124" s="13" t="s">
        <v>46</v>
      </c>
      <c r="AE124" s="17">
        <v>127147.79</v>
      </c>
      <c r="AF124" s="17">
        <v>29918.42</v>
      </c>
      <c r="AG124" s="47" t="s">
        <v>888</v>
      </c>
      <c r="AH124" s="20" t="e">
        <v>#N/A</v>
      </c>
      <c r="AI124" s="19" t="b">
        <v>1</v>
      </c>
      <c r="AJ124" s="18" t="s">
        <v>874</v>
      </c>
      <c r="AK124" s="49" t="s">
        <v>815</v>
      </c>
    </row>
    <row r="125" spans="1:37" ht="16.5" x14ac:dyDescent="0.4">
      <c r="A125" s="3"/>
      <c r="B125" s="3"/>
      <c r="C125" s="4"/>
      <c r="D125" s="4" t="s">
        <v>231</v>
      </c>
      <c r="E125" s="3"/>
      <c r="F125" s="4"/>
      <c r="G125" s="4"/>
      <c r="H125" s="43">
        <f>SUM(H122:H124)</f>
        <v>50271.799999999996</v>
      </c>
      <c r="I125" s="5"/>
      <c r="J125" s="45" t="str">
        <f t="shared" ca="1" si="2"/>
        <v/>
      </c>
      <c r="K125" s="43">
        <f>SUM(K122:K124)</f>
        <v>50271.799999999996</v>
      </c>
      <c r="L125" s="9"/>
      <c r="M125" s="4"/>
      <c r="N125" s="4"/>
      <c r="O125" s="4"/>
      <c r="P125" s="4"/>
      <c r="Q125" s="4"/>
      <c r="R125" s="4" t="s">
        <v>42</v>
      </c>
      <c r="S125" s="6">
        <v>184623.19</v>
      </c>
      <c r="T125" s="6">
        <v>0</v>
      </c>
      <c r="U125" s="6">
        <v>0</v>
      </c>
      <c r="V125" s="6">
        <v>0</v>
      </c>
      <c r="W125" s="6">
        <v>0</v>
      </c>
      <c r="X125" s="7"/>
      <c r="Y125" s="7"/>
      <c r="Z125" s="6">
        <v>0</v>
      </c>
      <c r="AA125" s="4"/>
      <c r="AB125" s="4"/>
      <c r="AC125" s="4"/>
      <c r="AD125" s="4"/>
      <c r="AE125" s="6">
        <v>184623.19</v>
      </c>
      <c r="AF125" s="6">
        <v>43541.04</v>
      </c>
      <c r="AG125" s="48"/>
      <c r="AH125" s="44" cm="1">
        <f t="array" ref="AH125">IFERROR(SUMPRODUCT(AF122:AF124*--(((AI122:AI124=TRUE)+(AI122:AI124=1))&gt;0)),0)</f>
        <v>43541.04</v>
      </c>
      <c r="AI125" s="54">
        <f>SUMIF(AI122:AI124,TRUE,H122:H124)/H125</f>
        <v>1</v>
      </c>
      <c r="AJ125" s="6"/>
      <c r="AK125" s="50"/>
    </row>
    <row r="126" spans="1:37" x14ac:dyDescent="0.35">
      <c r="A126" s="12" t="s">
        <v>33</v>
      </c>
      <c r="B126" s="12">
        <v>100117570</v>
      </c>
      <c r="C126" s="13" t="s">
        <v>237</v>
      </c>
      <c r="D126" s="13" t="s">
        <v>238</v>
      </c>
      <c r="E126" s="12">
        <v>9700025790</v>
      </c>
      <c r="F126" s="13" t="s">
        <v>239</v>
      </c>
      <c r="G126" s="12" t="s">
        <v>37</v>
      </c>
      <c r="H126" s="14">
        <v>-454.78</v>
      </c>
      <c r="I126" s="15">
        <v>46137</v>
      </c>
      <c r="J126" s="12" t="str">
        <f t="shared" ca="1" si="2"/>
        <v>0-30</v>
      </c>
      <c r="K126" s="14">
        <v>-454.78</v>
      </c>
      <c r="L126" s="16">
        <v>46107</v>
      </c>
      <c r="M126" s="13" t="s">
        <v>38</v>
      </c>
      <c r="N126" s="13" t="s">
        <v>39</v>
      </c>
      <c r="O126" s="13" t="s">
        <v>40</v>
      </c>
      <c r="P126" s="13" t="s">
        <v>62</v>
      </c>
      <c r="Q126" s="13" t="s">
        <v>41</v>
      </c>
      <c r="R126" s="13" t="s">
        <v>42</v>
      </c>
      <c r="S126" s="17">
        <v>-1670.18</v>
      </c>
      <c r="T126" s="17">
        <v>0</v>
      </c>
      <c r="U126" s="17">
        <v>0</v>
      </c>
      <c r="V126" s="17">
        <v>0</v>
      </c>
      <c r="W126" s="17">
        <v>0</v>
      </c>
      <c r="X126" s="17">
        <v>0</v>
      </c>
      <c r="Y126" s="17">
        <v>0</v>
      </c>
      <c r="Z126" s="17">
        <v>0</v>
      </c>
      <c r="AA126" s="13"/>
      <c r="AB126" s="13" t="s">
        <v>44</v>
      </c>
      <c r="AC126" s="13" t="s">
        <v>45</v>
      </c>
      <c r="AD126" s="13" t="s">
        <v>46</v>
      </c>
      <c r="AE126" s="17">
        <v>-1670.18</v>
      </c>
      <c r="AF126" s="17">
        <v>-393</v>
      </c>
      <c r="AG126" s="47" t="e">
        <v>#N/A</v>
      </c>
      <c r="AH126" s="20" t="e">
        <v>#N/A</v>
      </c>
      <c r="AI126" s="19" t="b">
        <v>0</v>
      </c>
      <c r="AJ126" s="18" t="s">
        <v>870</v>
      </c>
      <c r="AK126" s="49" t="s">
        <v>799</v>
      </c>
    </row>
    <row r="127" spans="1:37" x14ac:dyDescent="0.35">
      <c r="A127" s="12" t="s">
        <v>33</v>
      </c>
      <c r="B127" s="12">
        <v>100117570</v>
      </c>
      <c r="C127" s="13" t="s">
        <v>237</v>
      </c>
      <c r="D127" s="13" t="s">
        <v>238</v>
      </c>
      <c r="E127" s="12">
        <v>9700072253</v>
      </c>
      <c r="F127" s="13" t="s">
        <v>240</v>
      </c>
      <c r="G127" s="12" t="s">
        <v>37</v>
      </c>
      <c r="H127" s="14">
        <v>1117.4100000000001</v>
      </c>
      <c r="I127" s="15">
        <v>45980</v>
      </c>
      <c r="J127" s="12" t="str">
        <f t="shared" ca="1" si="2"/>
        <v>120 +</v>
      </c>
      <c r="K127" s="14">
        <v>1117.4100000000001</v>
      </c>
      <c r="L127" s="16">
        <v>45950</v>
      </c>
      <c r="M127" s="13" t="s">
        <v>38</v>
      </c>
      <c r="N127" s="13" t="s">
        <v>39</v>
      </c>
      <c r="O127" s="13" t="s">
        <v>40</v>
      </c>
      <c r="P127" s="13"/>
      <c r="Q127" s="13" t="s">
        <v>41</v>
      </c>
      <c r="R127" s="13" t="s">
        <v>42</v>
      </c>
      <c r="S127" s="17">
        <v>0</v>
      </c>
      <c r="T127" s="17">
        <v>0</v>
      </c>
      <c r="U127" s="17">
        <v>0</v>
      </c>
      <c r="V127" s="17">
        <v>0</v>
      </c>
      <c r="W127" s="17">
        <v>0</v>
      </c>
      <c r="X127" s="17">
        <v>4103.6899999999996</v>
      </c>
      <c r="Y127" s="17">
        <v>4103.6899999999996</v>
      </c>
      <c r="Z127" s="17">
        <v>0</v>
      </c>
      <c r="AA127" s="13" t="s">
        <v>241</v>
      </c>
      <c r="AB127" s="13" t="s">
        <v>44</v>
      </c>
      <c r="AC127" s="13" t="s">
        <v>45</v>
      </c>
      <c r="AD127" s="13" t="s">
        <v>46</v>
      </c>
      <c r="AE127" s="17">
        <v>4103.6899999999996</v>
      </c>
      <c r="AF127" s="17">
        <v>961.46</v>
      </c>
      <c r="AG127" s="47" t="s">
        <v>876</v>
      </c>
      <c r="AH127" s="20" t="s">
        <v>799</v>
      </c>
      <c r="AI127" s="19" t="b">
        <v>0</v>
      </c>
      <c r="AJ127" s="18" t="s">
        <v>870</v>
      </c>
      <c r="AK127" s="49" t="s">
        <v>799</v>
      </c>
    </row>
    <row r="128" spans="1:37" x14ac:dyDescent="0.35">
      <c r="A128" s="12" t="s">
        <v>33</v>
      </c>
      <c r="B128" s="12">
        <v>100117570</v>
      </c>
      <c r="C128" s="13" t="s">
        <v>237</v>
      </c>
      <c r="D128" s="13" t="s">
        <v>238</v>
      </c>
      <c r="E128" s="12">
        <v>9700072254</v>
      </c>
      <c r="F128" s="13" t="s">
        <v>242</v>
      </c>
      <c r="G128" s="12" t="s">
        <v>37</v>
      </c>
      <c r="H128" s="14">
        <v>12485.08</v>
      </c>
      <c r="I128" s="15">
        <v>45980</v>
      </c>
      <c r="J128" s="12" t="str">
        <f t="shared" ca="1" si="2"/>
        <v>120 +</v>
      </c>
      <c r="K128" s="14">
        <v>12485.08</v>
      </c>
      <c r="L128" s="16">
        <v>45950</v>
      </c>
      <c r="M128" s="13" t="s">
        <v>38</v>
      </c>
      <c r="N128" s="13" t="s">
        <v>39</v>
      </c>
      <c r="O128" s="13" t="s">
        <v>40</v>
      </c>
      <c r="P128" s="13"/>
      <c r="Q128" s="13" t="s">
        <v>41</v>
      </c>
      <c r="R128" s="13" t="s">
        <v>42</v>
      </c>
      <c r="S128" s="17">
        <v>0</v>
      </c>
      <c r="T128" s="17">
        <v>0</v>
      </c>
      <c r="U128" s="17">
        <v>0</v>
      </c>
      <c r="V128" s="17">
        <v>0</v>
      </c>
      <c r="W128" s="17">
        <v>0</v>
      </c>
      <c r="X128" s="17">
        <v>45851.46</v>
      </c>
      <c r="Y128" s="17">
        <v>45851.46</v>
      </c>
      <c r="Z128" s="17">
        <v>0</v>
      </c>
      <c r="AA128" s="13" t="s">
        <v>243</v>
      </c>
      <c r="AB128" s="13" t="s">
        <v>44</v>
      </c>
      <c r="AC128" s="13" t="s">
        <v>45</v>
      </c>
      <c r="AD128" s="13" t="s">
        <v>46</v>
      </c>
      <c r="AE128" s="17">
        <v>45851.46</v>
      </c>
      <c r="AF128" s="17">
        <v>10742.63</v>
      </c>
      <c r="AG128" s="47" t="s">
        <v>882</v>
      </c>
      <c r="AH128" s="20" t="s">
        <v>799</v>
      </c>
      <c r="AI128" s="19" t="b">
        <v>0</v>
      </c>
      <c r="AJ128" s="18" t="s">
        <v>870</v>
      </c>
      <c r="AK128" s="49" t="s">
        <v>799</v>
      </c>
    </row>
    <row r="129" spans="1:37" x14ac:dyDescent="0.35">
      <c r="A129" s="12" t="s">
        <v>33</v>
      </c>
      <c r="B129" s="12">
        <v>100117570</v>
      </c>
      <c r="C129" s="13" t="s">
        <v>237</v>
      </c>
      <c r="D129" s="13" t="s">
        <v>238</v>
      </c>
      <c r="E129" s="12">
        <v>9700076481</v>
      </c>
      <c r="F129" s="13" t="s">
        <v>244</v>
      </c>
      <c r="G129" s="12" t="s">
        <v>37</v>
      </c>
      <c r="H129" s="14">
        <v>56.18</v>
      </c>
      <c r="I129" s="15">
        <v>45989</v>
      </c>
      <c r="J129" s="12" t="str">
        <f t="shared" ca="1" si="2"/>
        <v>120 +</v>
      </c>
      <c r="K129" s="14">
        <v>56.18</v>
      </c>
      <c r="L129" s="16">
        <v>45959</v>
      </c>
      <c r="M129" s="13" t="s">
        <v>38</v>
      </c>
      <c r="N129" s="13" t="s">
        <v>39</v>
      </c>
      <c r="O129" s="13" t="s">
        <v>40</v>
      </c>
      <c r="P129" s="13"/>
      <c r="Q129" s="13" t="s">
        <v>41</v>
      </c>
      <c r="R129" s="13" t="s">
        <v>42</v>
      </c>
      <c r="S129" s="17">
        <v>0</v>
      </c>
      <c r="T129" s="17">
        <v>0</v>
      </c>
      <c r="U129" s="17">
        <v>0</v>
      </c>
      <c r="V129" s="17">
        <v>0</v>
      </c>
      <c r="W129" s="17">
        <v>0</v>
      </c>
      <c r="X129" s="17">
        <v>206.32</v>
      </c>
      <c r="Y129" s="17">
        <v>206.32</v>
      </c>
      <c r="Z129" s="17">
        <v>0</v>
      </c>
      <c r="AA129" s="13" t="s">
        <v>241</v>
      </c>
      <c r="AB129" s="13" t="s">
        <v>44</v>
      </c>
      <c r="AC129" s="13" t="s">
        <v>45</v>
      </c>
      <c r="AD129" s="13" t="s">
        <v>46</v>
      </c>
      <c r="AE129" s="17">
        <v>206.32</v>
      </c>
      <c r="AF129" s="17">
        <v>48.38</v>
      </c>
      <c r="AG129" s="47" t="e">
        <v>#N/A</v>
      </c>
      <c r="AH129" s="20" t="s">
        <v>799</v>
      </c>
      <c r="AI129" s="19" t="b">
        <v>0</v>
      </c>
      <c r="AJ129" s="18" t="s">
        <v>870</v>
      </c>
      <c r="AK129" s="49" t="s">
        <v>799</v>
      </c>
    </row>
    <row r="130" spans="1:37" x14ac:dyDescent="0.35">
      <c r="A130" s="12" t="s">
        <v>33</v>
      </c>
      <c r="B130" s="12">
        <v>100117570</v>
      </c>
      <c r="C130" s="13" t="s">
        <v>237</v>
      </c>
      <c r="D130" s="13" t="s">
        <v>238</v>
      </c>
      <c r="E130" s="12">
        <v>9700076482</v>
      </c>
      <c r="F130" s="13" t="s">
        <v>245</v>
      </c>
      <c r="G130" s="12" t="s">
        <v>37</v>
      </c>
      <c r="H130" s="14">
        <v>355.49</v>
      </c>
      <c r="I130" s="15">
        <v>45989</v>
      </c>
      <c r="J130" s="12" t="str">
        <f t="shared" ca="1" si="2"/>
        <v>120 +</v>
      </c>
      <c r="K130" s="14">
        <v>355.49</v>
      </c>
      <c r="L130" s="16">
        <v>45959</v>
      </c>
      <c r="M130" s="13" t="s">
        <v>38</v>
      </c>
      <c r="N130" s="13" t="s">
        <v>39</v>
      </c>
      <c r="O130" s="13" t="s">
        <v>40</v>
      </c>
      <c r="P130" s="13"/>
      <c r="Q130" s="13" t="s">
        <v>41</v>
      </c>
      <c r="R130" s="13" t="s">
        <v>42</v>
      </c>
      <c r="S130" s="17">
        <v>0</v>
      </c>
      <c r="T130" s="17">
        <v>0</v>
      </c>
      <c r="U130" s="17">
        <v>0</v>
      </c>
      <c r="V130" s="17">
        <v>0</v>
      </c>
      <c r="W130" s="17">
        <v>0</v>
      </c>
      <c r="X130" s="17">
        <v>1305.54</v>
      </c>
      <c r="Y130" s="17">
        <v>1305.54</v>
      </c>
      <c r="Z130" s="17">
        <v>0</v>
      </c>
      <c r="AA130" s="13" t="s">
        <v>241</v>
      </c>
      <c r="AB130" s="13" t="s">
        <v>44</v>
      </c>
      <c r="AC130" s="13" t="s">
        <v>45</v>
      </c>
      <c r="AD130" s="13" t="s">
        <v>46</v>
      </c>
      <c r="AE130" s="17">
        <v>1305.54</v>
      </c>
      <c r="AF130" s="17">
        <v>306.14</v>
      </c>
      <c r="AG130" s="47" t="s">
        <v>876</v>
      </c>
      <c r="AH130" s="20" t="s">
        <v>799</v>
      </c>
      <c r="AI130" s="19" t="b">
        <v>0</v>
      </c>
      <c r="AJ130" s="18" t="s">
        <v>870</v>
      </c>
      <c r="AK130" s="49" t="s">
        <v>799</v>
      </c>
    </row>
    <row r="131" spans="1:37" ht="16.5" x14ac:dyDescent="0.4">
      <c r="A131" s="3"/>
      <c r="B131" s="3"/>
      <c r="C131" s="4"/>
      <c r="D131" s="4" t="s">
        <v>238</v>
      </c>
      <c r="E131" s="3"/>
      <c r="F131" s="4"/>
      <c r="G131" s="4"/>
      <c r="H131" s="43">
        <f>SUM(H126:H130)</f>
        <v>13559.38</v>
      </c>
      <c r="I131" s="5"/>
      <c r="J131" s="45" t="str">
        <f t="shared" ca="1" si="2"/>
        <v/>
      </c>
      <c r="K131" s="43">
        <f>SUM(K126:K130)</f>
        <v>13559.38</v>
      </c>
      <c r="L131" s="9"/>
      <c r="M131" s="4"/>
      <c r="N131" s="4"/>
      <c r="O131" s="4"/>
      <c r="P131" s="4"/>
      <c r="Q131" s="4"/>
      <c r="R131" s="4" t="s">
        <v>42</v>
      </c>
      <c r="S131" s="6">
        <v>-1670.18</v>
      </c>
      <c r="T131" s="6">
        <v>0</v>
      </c>
      <c r="U131" s="6">
        <v>0</v>
      </c>
      <c r="V131" s="6">
        <v>0</v>
      </c>
      <c r="W131" s="6">
        <v>0</v>
      </c>
      <c r="X131" s="7"/>
      <c r="Y131" s="7"/>
      <c r="Z131" s="6">
        <v>0</v>
      </c>
      <c r="AA131" s="4"/>
      <c r="AB131" s="4"/>
      <c r="AC131" s="4"/>
      <c r="AD131" s="4"/>
      <c r="AE131" s="6">
        <v>49796.83</v>
      </c>
      <c r="AF131" s="6">
        <v>11665.61</v>
      </c>
      <c r="AG131" s="48"/>
      <c r="AH131" s="44" cm="1">
        <f t="array" ref="AH131">IFERROR(SUMPRODUCT(AF126:AF130*--(((AI126:AI130=TRUE)+(AI126:AI130=1))&gt;0)),0)</f>
        <v>0</v>
      </c>
      <c r="AI131" s="54">
        <f>SUMIF(AI126:AI130,TRUE,H126:H130)/H131</f>
        <v>0</v>
      </c>
      <c r="AJ131" s="6"/>
      <c r="AK131" s="50"/>
    </row>
    <row r="132" spans="1:37" x14ac:dyDescent="0.35">
      <c r="A132" s="12" t="s">
        <v>33</v>
      </c>
      <c r="B132" s="12">
        <v>100108810</v>
      </c>
      <c r="C132" s="13" t="s">
        <v>246</v>
      </c>
      <c r="D132" s="13" t="s">
        <v>247</v>
      </c>
      <c r="E132" s="12">
        <v>9700002096</v>
      </c>
      <c r="F132" s="13" t="s">
        <v>248</v>
      </c>
      <c r="G132" s="12" t="s">
        <v>37</v>
      </c>
      <c r="H132" s="14">
        <v>466.75</v>
      </c>
      <c r="I132" s="15">
        <v>46066</v>
      </c>
      <c r="J132" s="12" t="str">
        <f t="shared" ca="1" si="2"/>
        <v>61-90</v>
      </c>
      <c r="K132" s="14">
        <v>466.75</v>
      </c>
      <c r="L132" s="16">
        <v>46036</v>
      </c>
      <c r="M132" s="13" t="s">
        <v>38</v>
      </c>
      <c r="N132" s="13" t="s">
        <v>39</v>
      </c>
      <c r="O132" s="13" t="s">
        <v>40</v>
      </c>
      <c r="P132" s="13"/>
      <c r="Q132" s="13" t="s">
        <v>41</v>
      </c>
      <c r="R132" s="13" t="s">
        <v>42</v>
      </c>
      <c r="S132" s="17">
        <v>0</v>
      </c>
      <c r="T132" s="17">
        <v>0</v>
      </c>
      <c r="U132" s="17">
        <v>1714.14</v>
      </c>
      <c r="V132" s="17">
        <v>0</v>
      </c>
      <c r="W132" s="17">
        <v>0</v>
      </c>
      <c r="X132" s="17">
        <v>0</v>
      </c>
      <c r="Y132" s="17">
        <v>1714.14</v>
      </c>
      <c r="Z132" s="17">
        <v>0</v>
      </c>
      <c r="AA132" s="13" t="s">
        <v>249</v>
      </c>
      <c r="AB132" s="13" t="s">
        <v>44</v>
      </c>
      <c r="AC132" s="13" t="s">
        <v>45</v>
      </c>
      <c r="AD132" s="13" t="s">
        <v>46</v>
      </c>
      <c r="AE132" s="17">
        <v>1714.14</v>
      </c>
      <c r="AF132" s="17">
        <v>400.92</v>
      </c>
      <c r="AG132" s="47" t="s">
        <v>876</v>
      </c>
      <c r="AH132" s="20" t="s">
        <v>800</v>
      </c>
      <c r="AI132" s="19" t="b">
        <v>0</v>
      </c>
      <c r="AJ132" s="18" t="s">
        <v>873</v>
      </c>
      <c r="AK132" s="49" t="s">
        <v>800</v>
      </c>
    </row>
    <row r="133" spans="1:37" x14ac:dyDescent="0.35">
      <c r="A133" s="12" t="s">
        <v>33</v>
      </c>
      <c r="B133" s="12">
        <v>100108810</v>
      </c>
      <c r="C133" s="13" t="s">
        <v>246</v>
      </c>
      <c r="D133" s="13" t="s">
        <v>247</v>
      </c>
      <c r="E133" s="12">
        <v>9700002778</v>
      </c>
      <c r="F133" s="13" t="s">
        <v>250</v>
      </c>
      <c r="G133" s="12" t="s">
        <v>37</v>
      </c>
      <c r="H133" s="14">
        <v>715.66</v>
      </c>
      <c r="I133" s="15">
        <v>46068</v>
      </c>
      <c r="J133" s="12" t="str">
        <f t="shared" ca="1" si="2"/>
        <v>61-90</v>
      </c>
      <c r="K133" s="14">
        <v>715.66</v>
      </c>
      <c r="L133" s="16">
        <v>46038</v>
      </c>
      <c r="M133" s="13" t="s">
        <v>38</v>
      </c>
      <c r="N133" s="13" t="s">
        <v>39</v>
      </c>
      <c r="O133" s="13" t="s">
        <v>40</v>
      </c>
      <c r="P133" s="13"/>
      <c r="Q133" s="13" t="s">
        <v>41</v>
      </c>
      <c r="R133" s="13" t="s">
        <v>42</v>
      </c>
      <c r="S133" s="17">
        <v>0</v>
      </c>
      <c r="T133" s="17">
        <v>0</v>
      </c>
      <c r="U133" s="17">
        <v>2628.26</v>
      </c>
      <c r="V133" s="17">
        <v>0</v>
      </c>
      <c r="W133" s="17">
        <v>0</v>
      </c>
      <c r="X133" s="17">
        <v>0</v>
      </c>
      <c r="Y133" s="17">
        <v>2628.26</v>
      </c>
      <c r="Z133" s="17">
        <v>0</v>
      </c>
      <c r="AA133" s="13" t="s">
        <v>251</v>
      </c>
      <c r="AB133" s="13" t="s">
        <v>44</v>
      </c>
      <c r="AC133" s="13" t="s">
        <v>45</v>
      </c>
      <c r="AD133" s="13" t="s">
        <v>46</v>
      </c>
      <c r="AE133" s="17">
        <v>2628.26</v>
      </c>
      <c r="AF133" s="17">
        <v>614.09</v>
      </c>
      <c r="AG133" s="47" t="s">
        <v>876</v>
      </c>
      <c r="AH133" s="20" t="s">
        <v>800</v>
      </c>
      <c r="AI133" s="19" t="b">
        <v>0</v>
      </c>
      <c r="AJ133" s="18" t="s">
        <v>873</v>
      </c>
      <c r="AK133" s="49" t="s">
        <v>800</v>
      </c>
    </row>
    <row r="134" spans="1:37" x14ac:dyDescent="0.35">
      <c r="A134" s="12" t="s">
        <v>33</v>
      </c>
      <c r="B134" s="12">
        <v>100108810</v>
      </c>
      <c r="C134" s="13" t="s">
        <v>246</v>
      </c>
      <c r="D134" s="13" t="s">
        <v>247</v>
      </c>
      <c r="E134" s="12">
        <v>9700003845</v>
      </c>
      <c r="F134" s="13" t="s">
        <v>252</v>
      </c>
      <c r="G134" s="12" t="s">
        <v>37</v>
      </c>
      <c r="H134" s="14">
        <v>447.91</v>
      </c>
      <c r="I134" s="15">
        <v>46071</v>
      </c>
      <c r="J134" s="12" t="str">
        <f t="shared" ca="1" si="2"/>
        <v>61-90</v>
      </c>
      <c r="K134" s="14">
        <v>447.91</v>
      </c>
      <c r="L134" s="16">
        <v>46041</v>
      </c>
      <c r="M134" s="13" t="s">
        <v>38</v>
      </c>
      <c r="N134" s="13" t="s">
        <v>39</v>
      </c>
      <c r="O134" s="13" t="s">
        <v>40</v>
      </c>
      <c r="P134" s="13"/>
      <c r="Q134" s="13" t="s">
        <v>41</v>
      </c>
      <c r="R134" s="13" t="s">
        <v>42</v>
      </c>
      <c r="S134" s="17">
        <v>0</v>
      </c>
      <c r="T134" s="17">
        <v>0</v>
      </c>
      <c r="U134" s="17">
        <v>1644.95</v>
      </c>
      <c r="V134" s="17">
        <v>0</v>
      </c>
      <c r="W134" s="17">
        <v>0</v>
      </c>
      <c r="X134" s="17">
        <v>0</v>
      </c>
      <c r="Y134" s="17">
        <v>1644.95</v>
      </c>
      <c r="Z134" s="17">
        <v>0</v>
      </c>
      <c r="AA134" s="13" t="s">
        <v>249</v>
      </c>
      <c r="AB134" s="13" t="s">
        <v>44</v>
      </c>
      <c r="AC134" s="13" t="s">
        <v>45</v>
      </c>
      <c r="AD134" s="13" t="s">
        <v>46</v>
      </c>
      <c r="AE134" s="17">
        <v>1644.95</v>
      </c>
      <c r="AF134" s="17">
        <v>384.44</v>
      </c>
      <c r="AG134" s="47" t="s">
        <v>876</v>
      </c>
      <c r="AH134" s="20" t="s">
        <v>800</v>
      </c>
      <c r="AI134" s="19" t="b">
        <v>0</v>
      </c>
      <c r="AJ134" s="18" t="s">
        <v>873</v>
      </c>
      <c r="AK134" s="49" t="s">
        <v>800</v>
      </c>
    </row>
    <row r="135" spans="1:37" x14ac:dyDescent="0.35">
      <c r="A135" s="12" t="s">
        <v>33</v>
      </c>
      <c r="B135" s="12">
        <v>100108810</v>
      </c>
      <c r="C135" s="13" t="s">
        <v>246</v>
      </c>
      <c r="D135" s="13" t="s">
        <v>247</v>
      </c>
      <c r="E135" s="12">
        <v>9700005192</v>
      </c>
      <c r="F135" s="13" t="s">
        <v>253</v>
      </c>
      <c r="G135" s="12" t="s">
        <v>37</v>
      </c>
      <c r="H135" s="14">
        <v>736.29</v>
      </c>
      <c r="I135" s="15">
        <v>46075</v>
      </c>
      <c r="J135" s="12" t="str">
        <f t="shared" ca="1" si="2"/>
        <v>61-90</v>
      </c>
      <c r="K135" s="14">
        <v>736.29</v>
      </c>
      <c r="L135" s="16">
        <v>46045</v>
      </c>
      <c r="M135" s="13" t="s">
        <v>38</v>
      </c>
      <c r="N135" s="13" t="s">
        <v>39</v>
      </c>
      <c r="O135" s="13" t="s">
        <v>40</v>
      </c>
      <c r="P135" s="13"/>
      <c r="Q135" s="13" t="s">
        <v>41</v>
      </c>
      <c r="R135" s="13" t="s">
        <v>42</v>
      </c>
      <c r="S135" s="17">
        <v>0</v>
      </c>
      <c r="T135" s="17">
        <v>0</v>
      </c>
      <c r="U135" s="17">
        <v>2704.03</v>
      </c>
      <c r="V135" s="17">
        <v>0</v>
      </c>
      <c r="W135" s="17">
        <v>0</v>
      </c>
      <c r="X135" s="17">
        <v>0</v>
      </c>
      <c r="Y135" s="17">
        <v>2704.03</v>
      </c>
      <c r="Z135" s="17">
        <v>0</v>
      </c>
      <c r="AA135" s="13" t="s">
        <v>251</v>
      </c>
      <c r="AB135" s="13" t="s">
        <v>44</v>
      </c>
      <c r="AC135" s="13" t="s">
        <v>45</v>
      </c>
      <c r="AD135" s="13" t="s">
        <v>46</v>
      </c>
      <c r="AE135" s="17">
        <v>2704.03</v>
      </c>
      <c r="AF135" s="17">
        <v>633.04</v>
      </c>
      <c r="AG135" s="47" t="s">
        <v>876</v>
      </c>
      <c r="AH135" s="20" t="s">
        <v>800</v>
      </c>
      <c r="AI135" s="19" t="b">
        <v>0</v>
      </c>
      <c r="AJ135" s="18" t="s">
        <v>873</v>
      </c>
      <c r="AK135" s="49" t="s">
        <v>800</v>
      </c>
    </row>
    <row r="136" spans="1:37" x14ac:dyDescent="0.35">
      <c r="A136" s="12" t="s">
        <v>33</v>
      </c>
      <c r="B136" s="12">
        <v>100108810</v>
      </c>
      <c r="C136" s="13" t="s">
        <v>246</v>
      </c>
      <c r="D136" s="13" t="s">
        <v>247</v>
      </c>
      <c r="E136" s="12">
        <v>9700018693</v>
      </c>
      <c r="F136" s="13" t="s">
        <v>254</v>
      </c>
      <c r="G136" s="12" t="s">
        <v>37</v>
      </c>
      <c r="H136" s="14">
        <v>617.37</v>
      </c>
      <c r="I136" s="15">
        <v>46115</v>
      </c>
      <c r="J136" s="12" t="str">
        <f t="shared" ca="1" si="2"/>
        <v>0-30</v>
      </c>
      <c r="K136" s="14">
        <v>617.37</v>
      </c>
      <c r="L136" s="16">
        <v>46085</v>
      </c>
      <c r="M136" s="13" t="s">
        <v>38</v>
      </c>
      <c r="N136" s="13" t="s">
        <v>39</v>
      </c>
      <c r="O136" s="13" t="s">
        <v>40</v>
      </c>
      <c r="P136" s="13"/>
      <c r="Q136" s="13" t="s">
        <v>41</v>
      </c>
      <c r="R136" s="13" t="s">
        <v>42</v>
      </c>
      <c r="S136" s="17">
        <v>2267.29</v>
      </c>
      <c r="T136" s="17">
        <v>0</v>
      </c>
      <c r="U136" s="17">
        <v>0</v>
      </c>
      <c r="V136" s="17">
        <v>0</v>
      </c>
      <c r="W136" s="17">
        <v>0</v>
      </c>
      <c r="X136" s="17">
        <v>0</v>
      </c>
      <c r="Y136" s="17">
        <v>0</v>
      </c>
      <c r="Z136" s="17">
        <v>0</v>
      </c>
      <c r="AA136" s="13" t="s">
        <v>255</v>
      </c>
      <c r="AB136" s="13" t="s">
        <v>44</v>
      </c>
      <c r="AC136" s="13" t="s">
        <v>45</v>
      </c>
      <c r="AD136" s="13" t="s">
        <v>46</v>
      </c>
      <c r="AE136" s="17">
        <v>2267.29</v>
      </c>
      <c r="AF136" s="17">
        <v>522.97</v>
      </c>
      <c r="AG136" s="47" t="s">
        <v>876</v>
      </c>
      <c r="AH136" s="20" t="e">
        <v>#N/A</v>
      </c>
      <c r="AI136" s="19" t="b">
        <v>0</v>
      </c>
      <c r="AJ136" s="18" t="s">
        <v>873</v>
      </c>
      <c r="AK136" s="49" t="s">
        <v>800</v>
      </c>
    </row>
    <row r="137" spans="1:37" x14ac:dyDescent="0.35">
      <c r="A137" s="12" t="s">
        <v>33</v>
      </c>
      <c r="B137" s="12">
        <v>100108810</v>
      </c>
      <c r="C137" s="13" t="s">
        <v>246</v>
      </c>
      <c r="D137" s="13" t="s">
        <v>247</v>
      </c>
      <c r="E137" s="12">
        <v>9700019170</v>
      </c>
      <c r="F137" s="13" t="s">
        <v>256</v>
      </c>
      <c r="G137" s="12" t="s">
        <v>37</v>
      </c>
      <c r="H137" s="14">
        <v>481.17</v>
      </c>
      <c r="I137" s="15">
        <v>46115</v>
      </c>
      <c r="J137" s="12" t="str">
        <f t="shared" ca="1" si="2"/>
        <v>0-30</v>
      </c>
      <c r="K137" s="14">
        <v>481.17</v>
      </c>
      <c r="L137" s="16">
        <v>46085</v>
      </c>
      <c r="M137" s="13" t="s">
        <v>38</v>
      </c>
      <c r="N137" s="13" t="s">
        <v>39</v>
      </c>
      <c r="O137" s="13" t="s">
        <v>40</v>
      </c>
      <c r="P137" s="13"/>
      <c r="Q137" s="13" t="s">
        <v>41</v>
      </c>
      <c r="R137" s="13" t="s">
        <v>42</v>
      </c>
      <c r="S137" s="17">
        <v>1767.1</v>
      </c>
      <c r="T137" s="17">
        <v>0</v>
      </c>
      <c r="U137" s="17">
        <v>0</v>
      </c>
      <c r="V137" s="17">
        <v>0</v>
      </c>
      <c r="W137" s="17">
        <v>0</v>
      </c>
      <c r="X137" s="17">
        <v>0</v>
      </c>
      <c r="Y137" s="17">
        <v>0</v>
      </c>
      <c r="Z137" s="17">
        <v>0</v>
      </c>
      <c r="AA137" s="13" t="s">
        <v>249</v>
      </c>
      <c r="AB137" s="13" t="s">
        <v>44</v>
      </c>
      <c r="AC137" s="13" t="s">
        <v>45</v>
      </c>
      <c r="AD137" s="13" t="s">
        <v>46</v>
      </c>
      <c r="AE137" s="17">
        <v>1767.1</v>
      </c>
      <c r="AF137" s="17">
        <v>411.33</v>
      </c>
      <c r="AG137" s="47" t="s">
        <v>876</v>
      </c>
      <c r="AH137" s="20" t="e">
        <v>#N/A</v>
      </c>
      <c r="AI137" s="19" t="b">
        <v>0</v>
      </c>
      <c r="AJ137" s="18" t="s">
        <v>873</v>
      </c>
      <c r="AK137" s="49" t="s">
        <v>800</v>
      </c>
    </row>
    <row r="138" spans="1:37" x14ac:dyDescent="0.35">
      <c r="A138" s="12" t="s">
        <v>33</v>
      </c>
      <c r="B138" s="12">
        <v>100108810</v>
      </c>
      <c r="C138" s="13" t="s">
        <v>246</v>
      </c>
      <c r="D138" s="13" t="s">
        <v>247</v>
      </c>
      <c r="E138" s="12">
        <v>9700025997</v>
      </c>
      <c r="F138" s="13" t="s">
        <v>257</v>
      </c>
      <c r="G138" s="12" t="s">
        <v>37</v>
      </c>
      <c r="H138" s="14">
        <v>479.84</v>
      </c>
      <c r="I138" s="15">
        <v>46141</v>
      </c>
      <c r="J138" s="12" t="str">
        <f t="shared" ca="1" si="2"/>
        <v>Current</v>
      </c>
      <c r="K138" s="14">
        <v>479.84</v>
      </c>
      <c r="L138" s="16">
        <v>46111</v>
      </c>
      <c r="M138" s="13" t="s">
        <v>38</v>
      </c>
      <c r="N138" s="13" t="s">
        <v>39</v>
      </c>
      <c r="O138" s="13" t="s">
        <v>40</v>
      </c>
      <c r="P138" s="13"/>
      <c r="Q138" s="13" t="s">
        <v>41</v>
      </c>
      <c r="R138" s="13" t="s">
        <v>42</v>
      </c>
      <c r="S138" s="17">
        <v>1762.21</v>
      </c>
      <c r="T138" s="17">
        <v>0</v>
      </c>
      <c r="U138" s="17">
        <v>0</v>
      </c>
      <c r="V138" s="17">
        <v>0</v>
      </c>
      <c r="W138" s="17">
        <v>0</v>
      </c>
      <c r="X138" s="17">
        <v>0</v>
      </c>
      <c r="Y138" s="17">
        <v>0</v>
      </c>
      <c r="Z138" s="17">
        <v>0</v>
      </c>
      <c r="AA138" s="13" t="s">
        <v>249</v>
      </c>
      <c r="AB138" s="13" t="s">
        <v>44</v>
      </c>
      <c r="AC138" s="13" t="s">
        <v>45</v>
      </c>
      <c r="AD138" s="13" t="s">
        <v>46</v>
      </c>
      <c r="AE138" s="17">
        <v>1762.21</v>
      </c>
      <c r="AF138" s="17">
        <v>413.94</v>
      </c>
      <c r="AG138" s="47" t="s">
        <v>876</v>
      </c>
      <c r="AH138" s="20" t="e">
        <v>#N/A</v>
      </c>
      <c r="AI138" s="19" t="b">
        <v>0</v>
      </c>
      <c r="AJ138" s="18" t="s">
        <v>873</v>
      </c>
      <c r="AK138" s="49" t="s">
        <v>800</v>
      </c>
    </row>
    <row r="139" spans="1:37" x14ac:dyDescent="0.35">
      <c r="A139" s="12" t="s">
        <v>33</v>
      </c>
      <c r="B139" s="12">
        <v>100108810</v>
      </c>
      <c r="C139" s="13" t="s">
        <v>246</v>
      </c>
      <c r="D139" s="13" t="s">
        <v>247</v>
      </c>
      <c r="E139" s="12">
        <v>9700025998</v>
      </c>
      <c r="F139" s="13" t="s">
        <v>258</v>
      </c>
      <c r="G139" s="12" t="s">
        <v>37</v>
      </c>
      <c r="H139" s="14">
        <v>488.24</v>
      </c>
      <c r="I139" s="15">
        <v>46141</v>
      </c>
      <c r="J139" s="12" t="str">
        <f t="shared" ca="1" si="2"/>
        <v>Current</v>
      </c>
      <c r="K139" s="14">
        <v>488.24</v>
      </c>
      <c r="L139" s="16">
        <v>46111</v>
      </c>
      <c r="M139" s="13" t="s">
        <v>38</v>
      </c>
      <c r="N139" s="13" t="s">
        <v>39</v>
      </c>
      <c r="O139" s="13" t="s">
        <v>40</v>
      </c>
      <c r="P139" s="13"/>
      <c r="Q139" s="13" t="s">
        <v>41</v>
      </c>
      <c r="R139" s="13" t="s">
        <v>42</v>
      </c>
      <c r="S139" s="17">
        <v>1793.06</v>
      </c>
      <c r="T139" s="17">
        <v>0</v>
      </c>
      <c r="U139" s="17">
        <v>0</v>
      </c>
      <c r="V139" s="17">
        <v>0</v>
      </c>
      <c r="W139" s="17">
        <v>0</v>
      </c>
      <c r="X139" s="17">
        <v>0</v>
      </c>
      <c r="Y139" s="17">
        <v>0</v>
      </c>
      <c r="Z139" s="17">
        <v>0</v>
      </c>
      <c r="AA139" s="13" t="s">
        <v>255</v>
      </c>
      <c r="AB139" s="13" t="s">
        <v>44</v>
      </c>
      <c r="AC139" s="13" t="s">
        <v>45</v>
      </c>
      <c r="AD139" s="13" t="s">
        <v>46</v>
      </c>
      <c r="AE139" s="17">
        <v>1793.06</v>
      </c>
      <c r="AF139" s="17">
        <v>421.19</v>
      </c>
      <c r="AG139" s="47" t="s">
        <v>876</v>
      </c>
      <c r="AH139" s="20" t="e">
        <v>#N/A</v>
      </c>
      <c r="AI139" s="19" t="b">
        <v>0</v>
      </c>
      <c r="AJ139" s="18" t="s">
        <v>873</v>
      </c>
      <c r="AK139" s="49" t="s">
        <v>800</v>
      </c>
    </row>
    <row r="140" spans="1:37" x14ac:dyDescent="0.35">
      <c r="A140" s="12" t="s">
        <v>33</v>
      </c>
      <c r="B140" s="12">
        <v>100108810</v>
      </c>
      <c r="C140" s="13" t="s">
        <v>246</v>
      </c>
      <c r="D140" s="13" t="s">
        <v>247</v>
      </c>
      <c r="E140" s="12">
        <v>9700081965</v>
      </c>
      <c r="F140" s="13" t="s">
        <v>259</v>
      </c>
      <c r="G140" s="12" t="s">
        <v>37</v>
      </c>
      <c r="H140" s="14">
        <v>802.77</v>
      </c>
      <c r="I140" s="15">
        <v>46012</v>
      </c>
      <c r="J140" s="12" t="str">
        <f t="shared" ca="1" si="2"/>
        <v>120 +</v>
      </c>
      <c r="K140" s="14">
        <v>802.77</v>
      </c>
      <c r="L140" s="16">
        <v>45982</v>
      </c>
      <c r="M140" s="13" t="s">
        <v>38</v>
      </c>
      <c r="N140" s="13" t="s">
        <v>39</v>
      </c>
      <c r="O140" s="13" t="s">
        <v>40</v>
      </c>
      <c r="P140" s="13"/>
      <c r="Q140" s="13" t="s">
        <v>41</v>
      </c>
      <c r="R140" s="13" t="s">
        <v>42</v>
      </c>
      <c r="S140" s="17">
        <v>0</v>
      </c>
      <c r="T140" s="17">
        <v>0</v>
      </c>
      <c r="U140" s="17">
        <v>0</v>
      </c>
      <c r="V140" s="17">
        <v>0</v>
      </c>
      <c r="W140" s="17">
        <v>2948.17</v>
      </c>
      <c r="X140" s="17">
        <v>0</v>
      </c>
      <c r="Y140" s="17">
        <v>2948.17</v>
      </c>
      <c r="Z140" s="17">
        <v>0</v>
      </c>
      <c r="AA140" s="13" t="s">
        <v>251</v>
      </c>
      <c r="AB140" s="13" t="s">
        <v>44</v>
      </c>
      <c r="AC140" s="13" t="s">
        <v>45</v>
      </c>
      <c r="AD140" s="13" t="s">
        <v>46</v>
      </c>
      <c r="AE140" s="17">
        <v>2948.17</v>
      </c>
      <c r="AF140" s="17">
        <v>693.06</v>
      </c>
      <c r="AG140" s="47" t="s">
        <v>876</v>
      </c>
      <c r="AH140" s="20" t="s">
        <v>800</v>
      </c>
      <c r="AI140" s="19" t="b">
        <v>0</v>
      </c>
      <c r="AJ140" s="18" t="s">
        <v>873</v>
      </c>
      <c r="AK140" s="49" t="s">
        <v>800</v>
      </c>
    </row>
    <row r="141" spans="1:37" x14ac:dyDescent="0.35">
      <c r="A141" s="12" t="s">
        <v>33</v>
      </c>
      <c r="B141" s="12">
        <v>100108810</v>
      </c>
      <c r="C141" s="13" t="s">
        <v>246</v>
      </c>
      <c r="D141" s="13" t="s">
        <v>247</v>
      </c>
      <c r="E141" s="12">
        <v>9700084455</v>
      </c>
      <c r="F141" s="13" t="s">
        <v>260</v>
      </c>
      <c r="G141" s="12" t="s">
        <v>37</v>
      </c>
      <c r="H141" s="14">
        <v>471.1</v>
      </c>
      <c r="I141" s="15">
        <v>46017</v>
      </c>
      <c r="J141" s="12" t="str">
        <f t="shared" ca="1" si="2"/>
        <v>120 +</v>
      </c>
      <c r="K141" s="14">
        <v>471.1</v>
      </c>
      <c r="L141" s="16">
        <v>45987</v>
      </c>
      <c r="M141" s="13" t="s">
        <v>38</v>
      </c>
      <c r="N141" s="13" t="s">
        <v>39</v>
      </c>
      <c r="O141" s="13" t="s">
        <v>40</v>
      </c>
      <c r="P141" s="13"/>
      <c r="Q141" s="13" t="s">
        <v>41</v>
      </c>
      <c r="R141" s="13" t="s">
        <v>42</v>
      </c>
      <c r="S141" s="17">
        <v>0</v>
      </c>
      <c r="T141" s="17">
        <v>0</v>
      </c>
      <c r="U141" s="17">
        <v>0</v>
      </c>
      <c r="V141" s="17">
        <v>0</v>
      </c>
      <c r="W141" s="17">
        <v>1730.11</v>
      </c>
      <c r="X141" s="17">
        <v>0</v>
      </c>
      <c r="Y141" s="17">
        <v>1730.11</v>
      </c>
      <c r="Z141" s="17">
        <v>0</v>
      </c>
      <c r="AA141" s="13" t="s">
        <v>249</v>
      </c>
      <c r="AB141" s="13" t="s">
        <v>44</v>
      </c>
      <c r="AC141" s="13" t="s">
        <v>45</v>
      </c>
      <c r="AD141" s="13" t="s">
        <v>46</v>
      </c>
      <c r="AE141" s="17">
        <v>1730.11</v>
      </c>
      <c r="AF141" s="17">
        <v>407.84</v>
      </c>
      <c r="AG141" s="47" t="s">
        <v>876</v>
      </c>
      <c r="AH141" s="20" t="s">
        <v>800</v>
      </c>
      <c r="AI141" s="19" t="b">
        <v>0</v>
      </c>
      <c r="AJ141" s="18" t="s">
        <v>873</v>
      </c>
      <c r="AK141" s="49" t="s">
        <v>800</v>
      </c>
    </row>
    <row r="142" spans="1:37" ht="16.5" x14ac:dyDescent="0.4">
      <c r="A142" s="3"/>
      <c r="B142" s="3"/>
      <c r="C142" s="4"/>
      <c r="D142" s="4" t="s">
        <v>247</v>
      </c>
      <c r="E142" s="3"/>
      <c r="F142" s="4"/>
      <c r="G142" s="4"/>
      <c r="H142" s="43">
        <f>SUM(H132:H141)</f>
        <v>5707.1</v>
      </c>
      <c r="I142" s="5"/>
      <c r="J142" s="45" t="str">
        <f t="shared" ca="1" si="2"/>
        <v/>
      </c>
      <c r="K142" s="43">
        <f>SUM(K132:K141)</f>
        <v>5707.1</v>
      </c>
      <c r="L142" s="9"/>
      <c r="M142" s="4"/>
      <c r="N142" s="4"/>
      <c r="O142" s="4"/>
      <c r="P142" s="4"/>
      <c r="Q142" s="4"/>
      <c r="R142" s="4" t="s">
        <v>42</v>
      </c>
      <c r="S142" s="6">
        <v>7589.66</v>
      </c>
      <c r="T142" s="6">
        <v>0</v>
      </c>
      <c r="U142" s="6">
        <v>8691.3799999999992</v>
      </c>
      <c r="V142" s="6">
        <v>0</v>
      </c>
      <c r="W142" s="6">
        <v>4678.28</v>
      </c>
      <c r="X142" s="7"/>
      <c r="Y142" s="7"/>
      <c r="Z142" s="6">
        <v>0</v>
      </c>
      <c r="AA142" s="4"/>
      <c r="AB142" s="4"/>
      <c r="AC142" s="4"/>
      <c r="AD142" s="4"/>
      <c r="AE142" s="6">
        <v>20959.32</v>
      </c>
      <c r="AF142" s="6">
        <v>4902.82</v>
      </c>
      <c r="AG142" s="48"/>
      <c r="AH142" s="44" cm="1">
        <f t="array" ref="AH142">IFERROR(SUMPRODUCT(AF132:AF141*--(((AI132:AI141=TRUE)+(AI132:AI141=1))&gt;0)),0)</f>
        <v>0</v>
      </c>
      <c r="AI142" s="54">
        <f>SUMIF(AI132:AI141,TRUE,H132:H141)/H142</f>
        <v>0</v>
      </c>
      <c r="AJ142" s="6"/>
      <c r="AK142" s="50"/>
    </row>
    <row r="143" spans="1:37" x14ac:dyDescent="0.35">
      <c r="A143" s="12" t="s">
        <v>33</v>
      </c>
      <c r="B143" s="12">
        <v>100112031</v>
      </c>
      <c r="C143" s="13" t="s">
        <v>261</v>
      </c>
      <c r="D143" s="13" t="s">
        <v>262</v>
      </c>
      <c r="E143" s="12">
        <v>9700024348</v>
      </c>
      <c r="F143" s="13" t="s">
        <v>263</v>
      </c>
      <c r="G143" s="12" t="s">
        <v>37</v>
      </c>
      <c r="H143" s="14">
        <v>2187.36</v>
      </c>
      <c r="I143" s="15">
        <v>46134</v>
      </c>
      <c r="J143" s="12" t="str">
        <f t="shared" ca="1" si="2"/>
        <v>0-30</v>
      </c>
      <c r="K143" s="14">
        <v>2187.36</v>
      </c>
      <c r="L143" s="16">
        <v>46104</v>
      </c>
      <c r="M143" s="13" t="s">
        <v>38</v>
      </c>
      <c r="N143" s="13" t="s">
        <v>39</v>
      </c>
      <c r="O143" s="13" t="s">
        <v>40</v>
      </c>
      <c r="P143" s="13"/>
      <c r="Q143" s="13" t="s">
        <v>41</v>
      </c>
      <c r="R143" s="13" t="s">
        <v>42</v>
      </c>
      <c r="S143" s="17">
        <v>8033.08</v>
      </c>
      <c r="T143" s="17">
        <v>0</v>
      </c>
      <c r="U143" s="17">
        <v>0</v>
      </c>
      <c r="V143" s="17">
        <v>0</v>
      </c>
      <c r="W143" s="17">
        <v>0</v>
      </c>
      <c r="X143" s="17">
        <v>0</v>
      </c>
      <c r="Y143" s="17">
        <v>0</v>
      </c>
      <c r="Z143" s="17">
        <v>0</v>
      </c>
      <c r="AA143" s="13" t="s">
        <v>264</v>
      </c>
      <c r="AB143" s="13" t="s">
        <v>44</v>
      </c>
      <c r="AC143" s="13" t="s">
        <v>45</v>
      </c>
      <c r="AD143" s="13" t="s">
        <v>46</v>
      </c>
      <c r="AE143" s="17">
        <v>8033.08</v>
      </c>
      <c r="AF143" s="17">
        <v>1893</v>
      </c>
      <c r="AG143" s="47" t="s">
        <v>876</v>
      </c>
      <c r="AH143" s="20" t="e">
        <v>#N/A</v>
      </c>
      <c r="AI143" s="19" t="b">
        <v>1</v>
      </c>
      <c r="AJ143" s="18" t="s">
        <v>874</v>
      </c>
      <c r="AK143" s="49" t="s">
        <v>815</v>
      </c>
    </row>
    <row r="144" spans="1:37" x14ac:dyDescent="0.35">
      <c r="A144" s="12" t="s">
        <v>33</v>
      </c>
      <c r="B144" s="12">
        <v>100112031</v>
      </c>
      <c r="C144" s="13" t="s">
        <v>261</v>
      </c>
      <c r="D144" s="13" t="s">
        <v>262</v>
      </c>
      <c r="E144" s="12">
        <v>9700025710</v>
      </c>
      <c r="F144" s="13" t="s">
        <v>265</v>
      </c>
      <c r="G144" s="12" t="s">
        <v>37</v>
      </c>
      <c r="H144" s="14">
        <v>1479.47</v>
      </c>
      <c r="I144" s="15">
        <v>46136</v>
      </c>
      <c r="J144" s="12" t="str">
        <f t="shared" ca="1" si="2"/>
        <v>0-30</v>
      </c>
      <c r="K144" s="14">
        <v>1479.47</v>
      </c>
      <c r="L144" s="16">
        <v>46106</v>
      </c>
      <c r="M144" s="13" t="s">
        <v>38</v>
      </c>
      <c r="N144" s="13" t="s">
        <v>39</v>
      </c>
      <c r="O144" s="13" t="s">
        <v>40</v>
      </c>
      <c r="P144" s="13"/>
      <c r="Q144" s="13" t="s">
        <v>41</v>
      </c>
      <c r="R144" s="13" t="s">
        <v>42</v>
      </c>
      <c r="S144" s="17">
        <v>5433.35</v>
      </c>
      <c r="T144" s="17">
        <v>0</v>
      </c>
      <c r="U144" s="17">
        <v>0</v>
      </c>
      <c r="V144" s="17">
        <v>0</v>
      </c>
      <c r="W144" s="17">
        <v>0</v>
      </c>
      <c r="X144" s="17">
        <v>0</v>
      </c>
      <c r="Y144" s="17">
        <v>0</v>
      </c>
      <c r="Z144" s="17">
        <v>0</v>
      </c>
      <c r="AA144" s="13" t="s">
        <v>264</v>
      </c>
      <c r="AB144" s="13" t="s">
        <v>44</v>
      </c>
      <c r="AC144" s="13" t="s">
        <v>45</v>
      </c>
      <c r="AD144" s="13" t="s">
        <v>46</v>
      </c>
      <c r="AE144" s="17">
        <v>5433.35</v>
      </c>
      <c r="AF144" s="17">
        <v>1278.49</v>
      </c>
      <c r="AG144" s="47" t="s">
        <v>876</v>
      </c>
      <c r="AH144" s="20" t="e">
        <v>#N/A</v>
      </c>
      <c r="AI144" s="19" t="b">
        <v>0</v>
      </c>
      <c r="AJ144" s="18" t="s">
        <v>865</v>
      </c>
      <c r="AK144" s="49" t="s">
        <v>784</v>
      </c>
    </row>
    <row r="145" spans="1:37" ht="16.5" x14ac:dyDescent="0.4">
      <c r="A145" s="3"/>
      <c r="B145" s="3"/>
      <c r="C145" s="4"/>
      <c r="D145" s="4" t="s">
        <v>262</v>
      </c>
      <c r="E145" s="3"/>
      <c r="F145" s="4"/>
      <c r="G145" s="4"/>
      <c r="H145" s="43">
        <f>SUM(H143:H144)</f>
        <v>3666.83</v>
      </c>
      <c r="I145" s="5"/>
      <c r="J145" s="45" t="str">
        <f t="shared" ca="1" si="2"/>
        <v/>
      </c>
      <c r="K145" s="43">
        <f>SUM(K143:K144)</f>
        <v>3666.83</v>
      </c>
      <c r="L145" s="9"/>
      <c r="M145" s="4"/>
      <c r="N145" s="4"/>
      <c r="O145" s="4"/>
      <c r="P145" s="4"/>
      <c r="Q145" s="4"/>
      <c r="R145" s="4" t="s">
        <v>42</v>
      </c>
      <c r="S145" s="6">
        <v>13466.43</v>
      </c>
      <c r="T145" s="6">
        <v>0</v>
      </c>
      <c r="U145" s="6">
        <v>0</v>
      </c>
      <c r="V145" s="6">
        <v>0</v>
      </c>
      <c r="W145" s="6">
        <v>0</v>
      </c>
      <c r="X145" s="7"/>
      <c r="Y145" s="7"/>
      <c r="Z145" s="6">
        <v>0</v>
      </c>
      <c r="AA145" s="4"/>
      <c r="AB145" s="4"/>
      <c r="AC145" s="4"/>
      <c r="AD145" s="4"/>
      <c r="AE145" s="6">
        <v>13466.43</v>
      </c>
      <c r="AF145" s="6">
        <v>3171.49</v>
      </c>
      <c r="AG145" s="48"/>
      <c r="AH145" s="44" cm="1">
        <f t="array" ref="AH145">IFERROR(SUMPRODUCT(AF143:AF144*--(((AI143:AI144=TRUE)+(AI143:AI144=1))&gt;0)),0)</f>
        <v>1893</v>
      </c>
      <c r="AI145" s="54">
        <f>SUMIF(AI143:AI144,TRUE,H143:H144)/H145</f>
        <v>0.59652615474401605</v>
      </c>
      <c r="AJ145" s="6"/>
      <c r="AK145" s="50"/>
    </row>
    <row r="146" spans="1:37" x14ac:dyDescent="0.35">
      <c r="A146" s="12" t="s">
        <v>33</v>
      </c>
      <c r="B146" s="12">
        <v>100111868</v>
      </c>
      <c r="C146" s="13" t="s">
        <v>266</v>
      </c>
      <c r="D146" s="13" t="s">
        <v>267</v>
      </c>
      <c r="E146" s="12">
        <v>9000011004</v>
      </c>
      <c r="F146" s="13" t="s">
        <v>268</v>
      </c>
      <c r="G146" s="12"/>
      <c r="H146" s="14"/>
      <c r="I146" s="15">
        <v>45744</v>
      </c>
      <c r="J146" s="12" t="str">
        <f t="shared" ca="1" si="2"/>
        <v>120 +</v>
      </c>
      <c r="K146" s="14" t="e">
        <v>#N/A</v>
      </c>
      <c r="L146" s="16">
        <v>45789</v>
      </c>
      <c r="M146" s="13" t="s">
        <v>38</v>
      </c>
      <c r="N146" s="13" t="s">
        <v>213</v>
      </c>
      <c r="O146" s="13" t="s">
        <v>214</v>
      </c>
      <c r="P146" s="13" t="s">
        <v>269</v>
      </c>
      <c r="Q146" s="13" t="s">
        <v>41</v>
      </c>
      <c r="R146" s="13" t="s">
        <v>42</v>
      </c>
      <c r="S146" s="17">
        <v>0</v>
      </c>
      <c r="T146" s="17">
        <v>0</v>
      </c>
      <c r="U146" s="17">
        <v>0</v>
      </c>
      <c r="V146" s="17">
        <v>0</v>
      </c>
      <c r="W146" s="17">
        <v>0</v>
      </c>
      <c r="X146" s="17">
        <v>-86423.360000000001</v>
      </c>
      <c r="Y146" s="17">
        <v>-86423.360000000001</v>
      </c>
      <c r="Z146" s="17">
        <v>0</v>
      </c>
      <c r="AA146" s="13" t="s">
        <v>270</v>
      </c>
      <c r="AB146" s="13" t="s">
        <v>44</v>
      </c>
      <c r="AC146" s="13" t="s">
        <v>45</v>
      </c>
      <c r="AD146" s="13" t="s">
        <v>46</v>
      </c>
      <c r="AE146" s="17">
        <v>-86423.360000000001</v>
      </c>
      <c r="AF146" s="17">
        <v>-21189.06</v>
      </c>
      <c r="AG146" s="47" t="e">
        <v>#N/A</v>
      </c>
      <c r="AH146" s="20" t="s">
        <v>801</v>
      </c>
      <c r="AI146" s="19" t="b">
        <v>1</v>
      </c>
      <c r="AJ146" s="18" t="s">
        <v>874</v>
      </c>
      <c r="AK146" s="49" t="s">
        <v>801</v>
      </c>
    </row>
    <row r="147" spans="1:37" x14ac:dyDescent="0.35">
      <c r="A147" s="12" t="s">
        <v>33</v>
      </c>
      <c r="B147" s="12">
        <v>100111868</v>
      </c>
      <c r="C147" s="13" t="s">
        <v>266</v>
      </c>
      <c r="D147" s="13" t="s">
        <v>267</v>
      </c>
      <c r="E147" s="12">
        <v>9000022109</v>
      </c>
      <c r="F147" s="13" t="s">
        <v>271</v>
      </c>
      <c r="G147" s="12"/>
      <c r="H147" s="14"/>
      <c r="I147" s="15">
        <v>45828</v>
      </c>
      <c r="J147" s="12" t="str">
        <f t="shared" ca="1" si="2"/>
        <v>120 +</v>
      </c>
      <c r="K147" s="14" t="e">
        <v>#N/A</v>
      </c>
      <c r="L147" s="16">
        <v>45861</v>
      </c>
      <c r="M147" s="13" t="s">
        <v>38</v>
      </c>
      <c r="N147" s="13" t="s">
        <v>213</v>
      </c>
      <c r="O147" s="13" t="s">
        <v>214</v>
      </c>
      <c r="P147" s="13" t="s">
        <v>272</v>
      </c>
      <c r="Q147" s="13" t="s">
        <v>41</v>
      </c>
      <c r="R147" s="13" t="s">
        <v>42</v>
      </c>
      <c r="S147" s="17">
        <v>0</v>
      </c>
      <c r="T147" s="17">
        <v>0</v>
      </c>
      <c r="U147" s="17">
        <v>0</v>
      </c>
      <c r="V147" s="17">
        <v>0</v>
      </c>
      <c r="W147" s="17">
        <v>0</v>
      </c>
      <c r="X147" s="17">
        <v>-21498.04</v>
      </c>
      <c r="Y147" s="17">
        <v>-21498.04</v>
      </c>
      <c r="Z147" s="17">
        <v>0</v>
      </c>
      <c r="AA147" s="13" t="s">
        <v>273</v>
      </c>
      <c r="AB147" s="13" t="s">
        <v>44</v>
      </c>
      <c r="AC147" s="13" t="s">
        <v>45</v>
      </c>
      <c r="AD147" s="13" t="s">
        <v>46</v>
      </c>
      <c r="AE147" s="17">
        <v>-21498.04</v>
      </c>
      <c r="AF147" s="17">
        <v>-5003.67</v>
      </c>
      <c r="AG147" s="47" t="e">
        <v>#N/A</v>
      </c>
      <c r="AH147" s="20" t="s">
        <v>801</v>
      </c>
      <c r="AI147" s="19" t="b">
        <v>1</v>
      </c>
      <c r="AJ147" s="18" t="s">
        <v>874</v>
      </c>
      <c r="AK147" s="49" t="s">
        <v>801</v>
      </c>
    </row>
    <row r="148" spans="1:37" x14ac:dyDescent="0.35">
      <c r="A148" s="12" t="s">
        <v>33</v>
      </c>
      <c r="B148" s="12">
        <v>100111868</v>
      </c>
      <c r="C148" s="13" t="s">
        <v>266</v>
      </c>
      <c r="D148" s="13" t="s">
        <v>267</v>
      </c>
      <c r="E148" s="12">
        <v>9700014974</v>
      </c>
      <c r="F148" s="13" t="s">
        <v>274</v>
      </c>
      <c r="G148" s="12" t="s">
        <v>37</v>
      </c>
      <c r="H148" s="14">
        <v>737.08</v>
      </c>
      <c r="I148" s="15">
        <v>45744</v>
      </c>
      <c r="J148" s="12" t="str">
        <f t="shared" ca="1" si="2"/>
        <v>120 +</v>
      </c>
      <c r="K148" s="14">
        <v>24269.65</v>
      </c>
      <c r="L148" s="16">
        <v>45714</v>
      </c>
      <c r="M148" s="13" t="s">
        <v>38</v>
      </c>
      <c r="N148" s="13" t="s">
        <v>39</v>
      </c>
      <c r="O148" s="13" t="s">
        <v>40</v>
      </c>
      <c r="P148" s="13"/>
      <c r="Q148" s="13" t="s">
        <v>41</v>
      </c>
      <c r="R148" s="13" t="s">
        <v>42</v>
      </c>
      <c r="S148" s="17">
        <v>0</v>
      </c>
      <c r="T148" s="17">
        <v>0</v>
      </c>
      <c r="U148" s="17">
        <v>0</v>
      </c>
      <c r="V148" s="17">
        <v>0</v>
      </c>
      <c r="W148" s="17">
        <v>0</v>
      </c>
      <c r="X148" s="17">
        <v>89130.29</v>
      </c>
      <c r="Y148" s="17">
        <v>89130.29</v>
      </c>
      <c r="Z148" s="17">
        <v>0</v>
      </c>
      <c r="AA148" s="13" t="s">
        <v>275</v>
      </c>
      <c r="AB148" s="13" t="s">
        <v>44</v>
      </c>
      <c r="AC148" s="13" t="s">
        <v>45</v>
      </c>
      <c r="AD148" s="13" t="s">
        <v>46</v>
      </c>
      <c r="AE148" s="17">
        <v>89130.29</v>
      </c>
      <c r="AF148" s="17">
        <v>23191.26</v>
      </c>
      <c r="AG148" s="47" t="s">
        <v>883</v>
      </c>
      <c r="AH148" s="20" t="s">
        <v>802</v>
      </c>
      <c r="AI148" s="19" t="b">
        <v>1</v>
      </c>
      <c r="AJ148" s="18" t="s">
        <v>874</v>
      </c>
      <c r="AK148" s="49" t="s">
        <v>802</v>
      </c>
    </row>
    <row r="149" spans="1:37" x14ac:dyDescent="0.35">
      <c r="A149" s="12" t="s">
        <v>33</v>
      </c>
      <c r="B149" s="12">
        <v>100111868</v>
      </c>
      <c r="C149" s="13" t="s">
        <v>266</v>
      </c>
      <c r="D149" s="13" t="s">
        <v>267</v>
      </c>
      <c r="E149" s="12">
        <v>9700017529</v>
      </c>
      <c r="F149" s="13" t="s">
        <v>276</v>
      </c>
      <c r="G149" s="12" t="s">
        <v>37</v>
      </c>
      <c r="H149" s="14">
        <v>5694.21</v>
      </c>
      <c r="I149" s="15">
        <v>46109</v>
      </c>
      <c r="J149" s="12" t="str">
        <f t="shared" ca="1" si="2"/>
        <v>31-60</v>
      </c>
      <c r="K149" s="14">
        <v>5694.21</v>
      </c>
      <c r="L149" s="16">
        <v>46079</v>
      </c>
      <c r="M149" s="13" t="s">
        <v>38</v>
      </c>
      <c r="N149" s="13" t="s">
        <v>39</v>
      </c>
      <c r="O149" s="13" t="s">
        <v>40</v>
      </c>
      <c r="P149" s="13"/>
      <c r="Q149" s="13" t="s">
        <v>41</v>
      </c>
      <c r="R149" s="13" t="s">
        <v>42</v>
      </c>
      <c r="S149" s="17">
        <v>0</v>
      </c>
      <c r="T149" s="17">
        <v>20911.990000000002</v>
      </c>
      <c r="U149" s="17">
        <v>0</v>
      </c>
      <c r="V149" s="17">
        <v>0</v>
      </c>
      <c r="W149" s="17">
        <v>0</v>
      </c>
      <c r="X149" s="17">
        <v>0</v>
      </c>
      <c r="Y149" s="17">
        <v>20911.990000000002</v>
      </c>
      <c r="Z149" s="17">
        <v>0</v>
      </c>
      <c r="AA149" s="13" t="s">
        <v>277</v>
      </c>
      <c r="AB149" s="13" t="s">
        <v>44</v>
      </c>
      <c r="AC149" s="13" t="s">
        <v>45</v>
      </c>
      <c r="AD149" s="13" t="s">
        <v>46</v>
      </c>
      <c r="AE149" s="17">
        <v>20911.990000000002</v>
      </c>
      <c r="AF149" s="17">
        <v>4839.13</v>
      </c>
      <c r="AG149" s="47" t="s">
        <v>876</v>
      </c>
      <c r="AH149" s="20" t="s">
        <v>784</v>
      </c>
      <c r="AI149" s="19" t="b">
        <v>1</v>
      </c>
      <c r="AJ149" s="18" t="s">
        <v>874</v>
      </c>
      <c r="AK149" s="49" t="s">
        <v>815</v>
      </c>
    </row>
    <row r="150" spans="1:37" x14ac:dyDescent="0.35">
      <c r="A150" s="12" t="s">
        <v>33</v>
      </c>
      <c r="B150" s="12">
        <v>100111868</v>
      </c>
      <c r="C150" s="13" t="s">
        <v>266</v>
      </c>
      <c r="D150" s="13" t="s">
        <v>267</v>
      </c>
      <c r="E150" s="12">
        <v>9700034911</v>
      </c>
      <c r="F150" s="13" t="s">
        <v>278</v>
      </c>
      <c r="G150" s="12" t="s">
        <v>37</v>
      </c>
      <c r="H150" s="14">
        <v>498.18</v>
      </c>
      <c r="I150" s="15">
        <v>45828</v>
      </c>
      <c r="J150" s="12" t="str">
        <f t="shared" ca="1" si="2"/>
        <v>120 +</v>
      </c>
      <c r="K150" s="14">
        <v>6351.97</v>
      </c>
      <c r="L150" s="16">
        <v>45798</v>
      </c>
      <c r="M150" s="13" t="s">
        <v>38</v>
      </c>
      <c r="N150" s="13" t="s">
        <v>39</v>
      </c>
      <c r="O150" s="13" t="s">
        <v>40</v>
      </c>
      <c r="P150" s="13"/>
      <c r="Q150" s="13" t="s">
        <v>41</v>
      </c>
      <c r="R150" s="13" t="s">
        <v>42</v>
      </c>
      <c r="S150" s="17">
        <v>0</v>
      </c>
      <c r="T150" s="17">
        <v>0</v>
      </c>
      <c r="U150" s="17">
        <v>0</v>
      </c>
      <c r="V150" s="17">
        <v>0</v>
      </c>
      <c r="W150" s="17">
        <v>0</v>
      </c>
      <c r="X150" s="17">
        <v>23327.61</v>
      </c>
      <c r="Y150" s="17">
        <v>23327.61</v>
      </c>
      <c r="Z150" s="17">
        <v>0</v>
      </c>
      <c r="AA150" s="13" t="s">
        <v>279</v>
      </c>
      <c r="AB150" s="13" t="s">
        <v>44</v>
      </c>
      <c r="AC150" s="13" t="s">
        <v>45</v>
      </c>
      <c r="AD150" s="13" t="s">
        <v>46</v>
      </c>
      <c r="AE150" s="17">
        <v>23327.61</v>
      </c>
      <c r="AF150" s="17">
        <v>5674.44</v>
      </c>
      <c r="AG150" s="47" t="s">
        <v>876</v>
      </c>
      <c r="AH150" s="20" t="s">
        <v>802</v>
      </c>
      <c r="AI150" s="19" t="b">
        <v>1</v>
      </c>
      <c r="AJ150" s="18" t="s">
        <v>874</v>
      </c>
      <c r="AK150" s="49" t="s">
        <v>802</v>
      </c>
    </row>
    <row r="151" spans="1:37" ht="16.5" x14ac:dyDescent="0.4">
      <c r="A151" s="3"/>
      <c r="B151" s="3"/>
      <c r="C151" s="4"/>
      <c r="D151" s="4" t="s">
        <v>267</v>
      </c>
      <c r="E151" s="3"/>
      <c r="F151" s="4"/>
      <c r="G151" s="4"/>
      <c r="H151" s="43">
        <f>SUM(H146:H150)</f>
        <v>6929.47</v>
      </c>
      <c r="I151" s="5"/>
      <c r="J151" s="45" t="str">
        <f t="shared" ca="1" si="2"/>
        <v/>
      </c>
      <c r="K151" s="43" t="e">
        <f>SUM(K146:K150)</f>
        <v>#N/A</v>
      </c>
      <c r="L151" s="9"/>
      <c r="M151" s="4"/>
      <c r="N151" s="4"/>
      <c r="O151" s="4"/>
      <c r="P151" s="4"/>
      <c r="Q151" s="4"/>
      <c r="R151" s="4" t="s">
        <v>42</v>
      </c>
      <c r="S151" s="6">
        <v>0</v>
      </c>
      <c r="T151" s="6">
        <v>20911.990000000002</v>
      </c>
      <c r="U151" s="6">
        <v>0</v>
      </c>
      <c r="V151" s="6">
        <v>0</v>
      </c>
      <c r="W151" s="6">
        <v>0</v>
      </c>
      <c r="X151" s="7"/>
      <c r="Y151" s="7"/>
      <c r="Z151" s="6">
        <v>0</v>
      </c>
      <c r="AA151" s="4"/>
      <c r="AB151" s="4"/>
      <c r="AC151" s="4"/>
      <c r="AD151" s="4"/>
      <c r="AE151" s="6">
        <v>25448.49</v>
      </c>
      <c r="AF151" s="6">
        <v>7512.1</v>
      </c>
      <c r="AG151" s="48"/>
      <c r="AH151" s="44" cm="1">
        <f t="array" ref="AH151">IFERROR(SUMPRODUCT(AF146:AF150*--(((AI146:AI150=TRUE)+(AI146:AI150=1))&gt;0)),0)</f>
        <v>7512.0999999999949</v>
      </c>
      <c r="AI151" s="54">
        <f>SUMIF(AI146:AI150,TRUE,H146:H150)/H151</f>
        <v>1</v>
      </c>
      <c r="AJ151" s="6"/>
      <c r="AK151" s="50"/>
    </row>
    <row r="152" spans="1:37" x14ac:dyDescent="0.35">
      <c r="A152" s="12" t="s">
        <v>33</v>
      </c>
      <c r="B152" s="12">
        <v>100112490</v>
      </c>
      <c r="C152" s="13" t="s">
        <v>280</v>
      </c>
      <c r="D152" s="13" t="s">
        <v>281</v>
      </c>
      <c r="E152" s="12">
        <v>9700025982</v>
      </c>
      <c r="F152" s="13" t="s">
        <v>282</v>
      </c>
      <c r="G152" s="12" t="s">
        <v>37</v>
      </c>
      <c r="H152" s="14">
        <v>1159.19</v>
      </c>
      <c r="I152" s="15">
        <v>46138</v>
      </c>
      <c r="J152" s="12" t="str">
        <f t="shared" ca="1" si="2"/>
        <v>0-30</v>
      </c>
      <c r="K152" s="14">
        <v>1159.19</v>
      </c>
      <c r="L152" s="16">
        <v>46108</v>
      </c>
      <c r="M152" s="13" t="s">
        <v>38</v>
      </c>
      <c r="N152" s="13" t="s">
        <v>39</v>
      </c>
      <c r="O152" s="13" t="s">
        <v>40</v>
      </c>
      <c r="P152" s="13"/>
      <c r="Q152" s="13" t="s">
        <v>41</v>
      </c>
      <c r="R152" s="13" t="s">
        <v>42</v>
      </c>
      <c r="S152" s="17">
        <v>4257.13</v>
      </c>
      <c r="T152" s="17">
        <v>0</v>
      </c>
      <c r="U152" s="17">
        <v>0</v>
      </c>
      <c r="V152" s="17">
        <v>0</v>
      </c>
      <c r="W152" s="17">
        <v>0</v>
      </c>
      <c r="X152" s="17">
        <v>0</v>
      </c>
      <c r="Y152" s="17">
        <v>0</v>
      </c>
      <c r="Z152" s="17">
        <v>0</v>
      </c>
      <c r="AA152" s="13" t="s">
        <v>283</v>
      </c>
      <c r="AB152" s="13" t="s">
        <v>44</v>
      </c>
      <c r="AC152" s="13" t="s">
        <v>45</v>
      </c>
      <c r="AD152" s="13" t="s">
        <v>46</v>
      </c>
      <c r="AE152" s="17">
        <v>4257.13</v>
      </c>
      <c r="AF152" s="17">
        <v>999.99</v>
      </c>
      <c r="AG152" s="47" t="s">
        <v>876</v>
      </c>
      <c r="AH152" s="20" t="e">
        <v>#N/A</v>
      </c>
      <c r="AI152" s="19" t="b">
        <v>0</v>
      </c>
      <c r="AJ152" s="18" t="s">
        <v>865</v>
      </c>
      <c r="AK152" s="49" t="s">
        <v>784</v>
      </c>
    </row>
    <row r="153" spans="1:37" ht="16.5" x14ac:dyDescent="0.4">
      <c r="A153" s="3"/>
      <c r="B153" s="3"/>
      <c r="C153" s="4"/>
      <c r="D153" s="4" t="s">
        <v>281</v>
      </c>
      <c r="E153" s="3"/>
      <c r="F153" s="4"/>
      <c r="G153" s="4"/>
      <c r="H153" s="43">
        <f>SUM(H152:H152)</f>
        <v>1159.19</v>
      </c>
      <c r="I153" s="5"/>
      <c r="J153" s="45" t="str">
        <f t="shared" ca="1" si="2"/>
        <v/>
      </c>
      <c r="K153" s="43">
        <f>SUM(K152:K152)</f>
        <v>1159.19</v>
      </c>
      <c r="L153" s="9"/>
      <c r="M153" s="4"/>
      <c r="N153" s="4"/>
      <c r="O153" s="4"/>
      <c r="P153" s="4"/>
      <c r="Q153" s="4"/>
      <c r="R153" s="4" t="s">
        <v>42</v>
      </c>
      <c r="S153" s="6">
        <v>4257.13</v>
      </c>
      <c r="T153" s="6">
        <v>0</v>
      </c>
      <c r="U153" s="6">
        <v>0</v>
      </c>
      <c r="V153" s="6">
        <v>0</v>
      </c>
      <c r="W153" s="6">
        <v>0</v>
      </c>
      <c r="X153" s="7"/>
      <c r="Y153" s="7"/>
      <c r="Z153" s="6">
        <v>0</v>
      </c>
      <c r="AA153" s="4"/>
      <c r="AB153" s="4"/>
      <c r="AC153" s="4"/>
      <c r="AD153" s="4"/>
      <c r="AE153" s="6">
        <v>4257.13</v>
      </c>
      <c r="AF153" s="6">
        <v>999.99</v>
      </c>
      <c r="AG153" s="48"/>
      <c r="AH153" s="44" cm="1">
        <f t="array" ref="AH153">IFERROR(SUMPRODUCT(AF152:AF152*--(((AI152:AI152=TRUE)+(AI152:AI152=1))&gt;0)),0)</f>
        <v>0</v>
      </c>
      <c r="AI153" s="54">
        <f>SUMIF(AI152:AI152,TRUE,H152:H152)/H153</f>
        <v>0</v>
      </c>
      <c r="AJ153" s="6"/>
      <c r="AK153" s="50"/>
    </row>
    <row r="154" spans="1:37" x14ac:dyDescent="0.35">
      <c r="A154" s="12" t="s">
        <v>33</v>
      </c>
      <c r="B154" s="12">
        <v>100106219</v>
      </c>
      <c r="C154" s="13" t="s">
        <v>284</v>
      </c>
      <c r="D154" s="13" t="s">
        <v>285</v>
      </c>
      <c r="E154" s="12">
        <v>9700003986</v>
      </c>
      <c r="F154" s="13" t="s">
        <v>286</v>
      </c>
      <c r="G154" s="12" t="s">
        <v>37</v>
      </c>
      <c r="H154" s="14">
        <v>3380.81</v>
      </c>
      <c r="I154" s="15">
        <v>46071</v>
      </c>
      <c r="J154" s="12" t="str">
        <f t="shared" ca="1" si="2"/>
        <v>61-90</v>
      </c>
      <c r="K154" s="14">
        <v>3380.81</v>
      </c>
      <c r="L154" s="16">
        <v>46041</v>
      </c>
      <c r="M154" s="13" t="s">
        <v>38</v>
      </c>
      <c r="N154" s="13" t="s">
        <v>39</v>
      </c>
      <c r="O154" s="13" t="s">
        <v>40</v>
      </c>
      <c r="P154" s="13"/>
      <c r="Q154" s="13" t="s">
        <v>41</v>
      </c>
      <c r="R154" s="13" t="s">
        <v>42</v>
      </c>
      <c r="S154" s="17">
        <v>0</v>
      </c>
      <c r="T154" s="17">
        <v>0</v>
      </c>
      <c r="U154" s="17">
        <v>12416.02</v>
      </c>
      <c r="V154" s="17">
        <v>0</v>
      </c>
      <c r="W154" s="17">
        <v>0</v>
      </c>
      <c r="X154" s="17">
        <v>0</v>
      </c>
      <c r="Y154" s="17">
        <v>12416.02</v>
      </c>
      <c r="Z154" s="17">
        <v>0</v>
      </c>
      <c r="AA154" s="13" t="s">
        <v>287</v>
      </c>
      <c r="AB154" s="13" t="s">
        <v>44</v>
      </c>
      <c r="AC154" s="13" t="s">
        <v>45</v>
      </c>
      <c r="AD154" s="13" t="s">
        <v>46</v>
      </c>
      <c r="AE154" s="17">
        <v>12416.02</v>
      </c>
      <c r="AF154" s="17">
        <v>2908.47</v>
      </c>
      <c r="AG154" s="47" t="s">
        <v>876</v>
      </c>
      <c r="AH154" s="20" t="s">
        <v>803</v>
      </c>
      <c r="AI154" s="19" t="b">
        <v>0</v>
      </c>
      <c r="AJ154" s="18" t="s">
        <v>868</v>
      </c>
      <c r="AK154" s="49" t="s">
        <v>803</v>
      </c>
    </row>
    <row r="155" spans="1:37" x14ac:dyDescent="0.35">
      <c r="A155" s="12" t="s">
        <v>33</v>
      </c>
      <c r="B155" s="12">
        <v>100106219</v>
      </c>
      <c r="C155" s="13" t="s">
        <v>284</v>
      </c>
      <c r="D155" s="13" t="s">
        <v>285</v>
      </c>
      <c r="E155" s="12">
        <v>9700005189</v>
      </c>
      <c r="F155" s="13" t="s">
        <v>288</v>
      </c>
      <c r="G155" s="12" t="s">
        <v>37</v>
      </c>
      <c r="H155" s="14">
        <v>3436.49</v>
      </c>
      <c r="I155" s="15">
        <v>46073</v>
      </c>
      <c r="J155" s="12" t="str">
        <f t="shared" ref="J155:J218" ca="1" si="3">IF($E155="","",IF($I155="","",IF($I155&gt;=TODAY(),"Current",IF(TODAY()-$I155&lt;=30,"0-30",IF(TODAY()-$I155&lt;=60,"31-60",IF(TODAY()-$I155&lt;=90,"61-90",IF(TODAY()-$I155&lt;=120,"91-120","120 +")))))))</f>
        <v>61-90</v>
      </c>
      <c r="K155" s="14">
        <v>3436.49</v>
      </c>
      <c r="L155" s="16">
        <v>46043</v>
      </c>
      <c r="M155" s="13" t="s">
        <v>38</v>
      </c>
      <c r="N155" s="13" t="s">
        <v>39</v>
      </c>
      <c r="O155" s="13" t="s">
        <v>40</v>
      </c>
      <c r="P155" s="13"/>
      <c r="Q155" s="13" t="s">
        <v>41</v>
      </c>
      <c r="R155" s="13" t="s">
        <v>42</v>
      </c>
      <c r="S155" s="17">
        <v>0</v>
      </c>
      <c r="T155" s="17">
        <v>0</v>
      </c>
      <c r="U155" s="17">
        <v>12620.51</v>
      </c>
      <c r="V155" s="17">
        <v>0</v>
      </c>
      <c r="W155" s="17">
        <v>0</v>
      </c>
      <c r="X155" s="17">
        <v>0</v>
      </c>
      <c r="Y155" s="17">
        <v>12620.51</v>
      </c>
      <c r="Z155" s="17">
        <v>0</v>
      </c>
      <c r="AA155" s="13" t="s">
        <v>287</v>
      </c>
      <c r="AB155" s="13" t="s">
        <v>44</v>
      </c>
      <c r="AC155" s="13" t="s">
        <v>45</v>
      </c>
      <c r="AD155" s="13" t="s">
        <v>46</v>
      </c>
      <c r="AE155" s="17">
        <v>12620.51</v>
      </c>
      <c r="AF155" s="17">
        <v>2954.6</v>
      </c>
      <c r="AG155" s="47" t="s">
        <v>876</v>
      </c>
      <c r="AH155" s="20" t="s">
        <v>803</v>
      </c>
      <c r="AI155" s="19" t="b">
        <v>0</v>
      </c>
      <c r="AJ155" s="18" t="s">
        <v>868</v>
      </c>
      <c r="AK155" s="49" t="s">
        <v>803</v>
      </c>
    </row>
    <row r="156" spans="1:37" x14ac:dyDescent="0.35">
      <c r="A156" s="12" t="s">
        <v>33</v>
      </c>
      <c r="B156" s="12">
        <v>100106219</v>
      </c>
      <c r="C156" s="13" t="s">
        <v>284</v>
      </c>
      <c r="D156" s="13" t="s">
        <v>285</v>
      </c>
      <c r="E156" s="12">
        <v>9700012288</v>
      </c>
      <c r="F156" s="13" t="s">
        <v>289</v>
      </c>
      <c r="G156" s="12" t="s">
        <v>37</v>
      </c>
      <c r="H156" s="14">
        <v>538.71</v>
      </c>
      <c r="I156" s="15">
        <v>45736</v>
      </c>
      <c r="J156" s="12" t="str">
        <f t="shared" ca="1" si="3"/>
        <v>120 +</v>
      </c>
      <c r="K156" s="14">
        <v>538.71</v>
      </c>
      <c r="L156" s="16">
        <v>45706</v>
      </c>
      <c r="M156" s="13" t="s">
        <v>38</v>
      </c>
      <c r="N156" s="13" t="s">
        <v>39</v>
      </c>
      <c r="O156" s="13" t="s">
        <v>40</v>
      </c>
      <c r="P156" s="13"/>
      <c r="Q156" s="13" t="s">
        <v>41</v>
      </c>
      <c r="R156" s="13" t="s">
        <v>42</v>
      </c>
      <c r="S156" s="17">
        <v>0</v>
      </c>
      <c r="T156" s="17">
        <v>0</v>
      </c>
      <c r="U156" s="17">
        <v>0</v>
      </c>
      <c r="V156" s="17">
        <v>0</v>
      </c>
      <c r="W156" s="17">
        <v>0</v>
      </c>
      <c r="X156" s="17">
        <v>1978.41</v>
      </c>
      <c r="Y156" s="17">
        <v>1978.41</v>
      </c>
      <c r="Z156" s="17">
        <v>0</v>
      </c>
      <c r="AA156" s="13" t="s">
        <v>290</v>
      </c>
      <c r="AB156" s="13" t="s">
        <v>44</v>
      </c>
      <c r="AC156" s="13" t="s">
        <v>45</v>
      </c>
      <c r="AD156" s="13" t="s">
        <v>46</v>
      </c>
      <c r="AE156" s="17">
        <v>1978.41</v>
      </c>
      <c r="AF156" s="17">
        <v>514.13</v>
      </c>
      <c r="AG156" s="47" t="s">
        <v>882</v>
      </c>
      <c r="AH156" s="20" t="s">
        <v>803</v>
      </c>
      <c r="AI156" s="19" t="b">
        <v>0</v>
      </c>
      <c r="AJ156" s="18" t="s">
        <v>868</v>
      </c>
      <c r="AK156" s="49" t="s">
        <v>803</v>
      </c>
    </row>
    <row r="157" spans="1:37" x14ac:dyDescent="0.35">
      <c r="A157" s="12" t="s">
        <v>33</v>
      </c>
      <c r="B157" s="12">
        <v>100106219</v>
      </c>
      <c r="C157" s="13" t="s">
        <v>284</v>
      </c>
      <c r="D157" s="13" t="s">
        <v>285</v>
      </c>
      <c r="E157" s="12">
        <v>9700012289</v>
      </c>
      <c r="F157" s="13" t="s">
        <v>291</v>
      </c>
      <c r="G157" s="12" t="s">
        <v>37</v>
      </c>
      <c r="H157" s="14">
        <v>85.71</v>
      </c>
      <c r="I157" s="15">
        <v>45736</v>
      </c>
      <c r="J157" s="12" t="str">
        <f t="shared" ca="1" si="3"/>
        <v>120 +</v>
      </c>
      <c r="K157" s="14">
        <v>85.71</v>
      </c>
      <c r="L157" s="16">
        <v>45706</v>
      </c>
      <c r="M157" s="13" t="s">
        <v>38</v>
      </c>
      <c r="N157" s="13" t="s">
        <v>39</v>
      </c>
      <c r="O157" s="13" t="s">
        <v>40</v>
      </c>
      <c r="P157" s="13"/>
      <c r="Q157" s="13" t="s">
        <v>41</v>
      </c>
      <c r="R157" s="13" t="s">
        <v>42</v>
      </c>
      <c r="S157" s="17">
        <v>0</v>
      </c>
      <c r="T157" s="17">
        <v>0</v>
      </c>
      <c r="U157" s="17">
        <v>0</v>
      </c>
      <c r="V157" s="17">
        <v>0</v>
      </c>
      <c r="W157" s="17">
        <v>0</v>
      </c>
      <c r="X157" s="17">
        <v>314.77</v>
      </c>
      <c r="Y157" s="17">
        <v>314.77</v>
      </c>
      <c r="Z157" s="17">
        <v>0</v>
      </c>
      <c r="AA157" s="13" t="s">
        <v>292</v>
      </c>
      <c r="AB157" s="13" t="s">
        <v>44</v>
      </c>
      <c r="AC157" s="13" t="s">
        <v>45</v>
      </c>
      <c r="AD157" s="13" t="s">
        <v>46</v>
      </c>
      <c r="AE157" s="17">
        <v>314.77</v>
      </c>
      <c r="AF157" s="17">
        <v>81.8</v>
      </c>
      <c r="AG157" s="47" t="s">
        <v>882</v>
      </c>
      <c r="AH157" s="20" t="s">
        <v>803</v>
      </c>
      <c r="AI157" s="19" t="b">
        <v>0</v>
      </c>
      <c r="AJ157" s="18" t="s">
        <v>868</v>
      </c>
      <c r="AK157" s="49" t="s">
        <v>803</v>
      </c>
    </row>
    <row r="158" spans="1:37" x14ac:dyDescent="0.35">
      <c r="A158" s="12" t="s">
        <v>33</v>
      </c>
      <c r="B158" s="12">
        <v>100106219</v>
      </c>
      <c r="C158" s="13" t="s">
        <v>284</v>
      </c>
      <c r="D158" s="13" t="s">
        <v>285</v>
      </c>
      <c r="E158" s="12">
        <v>9700012290</v>
      </c>
      <c r="F158" s="13" t="s">
        <v>293</v>
      </c>
      <c r="G158" s="12" t="s">
        <v>37</v>
      </c>
      <c r="H158" s="14">
        <v>353.86</v>
      </c>
      <c r="I158" s="15">
        <v>45736</v>
      </c>
      <c r="J158" s="12" t="str">
        <f t="shared" ca="1" si="3"/>
        <v>120 +</v>
      </c>
      <c r="K158" s="14">
        <v>353.86</v>
      </c>
      <c r="L158" s="16">
        <v>45706</v>
      </c>
      <c r="M158" s="13" t="s">
        <v>38</v>
      </c>
      <c r="N158" s="13" t="s">
        <v>39</v>
      </c>
      <c r="O158" s="13" t="s">
        <v>40</v>
      </c>
      <c r="P158" s="13"/>
      <c r="Q158" s="13" t="s">
        <v>41</v>
      </c>
      <c r="R158" s="13" t="s">
        <v>42</v>
      </c>
      <c r="S158" s="17">
        <v>0</v>
      </c>
      <c r="T158" s="17">
        <v>0</v>
      </c>
      <c r="U158" s="17">
        <v>0</v>
      </c>
      <c r="V158" s="17">
        <v>0</v>
      </c>
      <c r="W158" s="17">
        <v>0</v>
      </c>
      <c r="X158" s="17">
        <v>1299.55</v>
      </c>
      <c r="Y158" s="17">
        <v>1299.55</v>
      </c>
      <c r="Z158" s="17">
        <v>0</v>
      </c>
      <c r="AA158" s="13" t="s">
        <v>294</v>
      </c>
      <c r="AB158" s="13" t="s">
        <v>44</v>
      </c>
      <c r="AC158" s="13" t="s">
        <v>45</v>
      </c>
      <c r="AD158" s="13" t="s">
        <v>46</v>
      </c>
      <c r="AE158" s="17">
        <v>1299.55</v>
      </c>
      <c r="AF158" s="17">
        <v>337.72</v>
      </c>
      <c r="AG158" s="47" t="s">
        <v>882</v>
      </c>
      <c r="AH158" s="20" t="s">
        <v>803</v>
      </c>
      <c r="AI158" s="19" t="b">
        <v>0</v>
      </c>
      <c r="AJ158" s="18" t="s">
        <v>868</v>
      </c>
      <c r="AK158" s="49" t="s">
        <v>803</v>
      </c>
    </row>
    <row r="159" spans="1:37" x14ac:dyDescent="0.35">
      <c r="A159" s="12" t="s">
        <v>33</v>
      </c>
      <c r="B159" s="12">
        <v>100106219</v>
      </c>
      <c r="C159" s="13" t="s">
        <v>284</v>
      </c>
      <c r="D159" s="13" t="s">
        <v>285</v>
      </c>
      <c r="E159" s="12">
        <v>9700017524</v>
      </c>
      <c r="F159" s="13" t="s">
        <v>295</v>
      </c>
      <c r="G159" s="12" t="s">
        <v>37</v>
      </c>
      <c r="H159" s="14">
        <v>2748.27</v>
      </c>
      <c r="I159" s="15">
        <v>46109</v>
      </c>
      <c r="J159" s="12" t="str">
        <f t="shared" ca="1" si="3"/>
        <v>31-60</v>
      </c>
      <c r="K159" s="14">
        <v>2748.27</v>
      </c>
      <c r="L159" s="16">
        <v>46079</v>
      </c>
      <c r="M159" s="13" t="s">
        <v>38</v>
      </c>
      <c r="N159" s="13" t="s">
        <v>39</v>
      </c>
      <c r="O159" s="13" t="s">
        <v>40</v>
      </c>
      <c r="P159" s="13"/>
      <c r="Q159" s="13" t="s">
        <v>41</v>
      </c>
      <c r="R159" s="13" t="s">
        <v>42</v>
      </c>
      <c r="S159" s="17">
        <v>0</v>
      </c>
      <c r="T159" s="17">
        <v>10093.02</v>
      </c>
      <c r="U159" s="17">
        <v>0</v>
      </c>
      <c r="V159" s="17">
        <v>0</v>
      </c>
      <c r="W159" s="17">
        <v>0</v>
      </c>
      <c r="X159" s="17">
        <v>0</v>
      </c>
      <c r="Y159" s="17">
        <v>10093.02</v>
      </c>
      <c r="Z159" s="17">
        <v>0</v>
      </c>
      <c r="AA159" s="13" t="s">
        <v>296</v>
      </c>
      <c r="AB159" s="13" t="s">
        <v>44</v>
      </c>
      <c r="AC159" s="13" t="s">
        <v>45</v>
      </c>
      <c r="AD159" s="13" t="s">
        <v>46</v>
      </c>
      <c r="AE159" s="17">
        <v>10093.02</v>
      </c>
      <c r="AF159" s="17">
        <v>2335.5700000000002</v>
      </c>
      <c r="AG159" s="47" t="s">
        <v>876</v>
      </c>
      <c r="AH159" s="20" t="s">
        <v>803</v>
      </c>
      <c r="AI159" s="19" t="b">
        <v>0</v>
      </c>
      <c r="AJ159" s="18" t="s">
        <v>868</v>
      </c>
      <c r="AK159" s="49" t="s">
        <v>803</v>
      </c>
    </row>
    <row r="160" spans="1:37" x14ac:dyDescent="0.35">
      <c r="A160" s="12" t="s">
        <v>33</v>
      </c>
      <c r="B160" s="12">
        <v>100106219</v>
      </c>
      <c r="C160" s="13" t="s">
        <v>284</v>
      </c>
      <c r="D160" s="13" t="s">
        <v>285</v>
      </c>
      <c r="E160" s="12">
        <v>9700031822</v>
      </c>
      <c r="F160" s="13" t="s">
        <v>297</v>
      </c>
      <c r="G160" s="12" t="s">
        <v>37</v>
      </c>
      <c r="H160" s="14">
        <v>347.15</v>
      </c>
      <c r="I160" s="15">
        <v>45820</v>
      </c>
      <c r="J160" s="12" t="str">
        <f t="shared" ca="1" si="3"/>
        <v>120 +</v>
      </c>
      <c r="K160" s="14">
        <v>347.15</v>
      </c>
      <c r="L160" s="16">
        <v>45790</v>
      </c>
      <c r="M160" s="13" t="s">
        <v>38</v>
      </c>
      <c r="N160" s="13" t="s">
        <v>39</v>
      </c>
      <c r="O160" s="13" t="s">
        <v>40</v>
      </c>
      <c r="P160" s="13"/>
      <c r="Q160" s="13" t="s">
        <v>41</v>
      </c>
      <c r="R160" s="13" t="s">
        <v>42</v>
      </c>
      <c r="S160" s="17">
        <v>0</v>
      </c>
      <c r="T160" s="17">
        <v>0</v>
      </c>
      <c r="U160" s="17">
        <v>0</v>
      </c>
      <c r="V160" s="17">
        <v>0</v>
      </c>
      <c r="W160" s="17">
        <v>0</v>
      </c>
      <c r="X160" s="17">
        <v>1274.9100000000001</v>
      </c>
      <c r="Y160" s="17">
        <v>1274.9100000000001</v>
      </c>
      <c r="Z160" s="17">
        <v>0</v>
      </c>
      <c r="AA160" s="13" t="s">
        <v>287</v>
      </c>
      <c r="AB160" s="13" t="s">
        <v>44</v>
      </c>
      <c r="AC160" s="13" t="s">
        <v>45</v>
      </c>
      <c r="AD160" s="13" t="s">
        <v>46</v>
      </c>
      <c r="AE160" s="17">
        <v>1274.9100000000001</v>
      </c>
      <c r="AF160" s="17">
        <v>307.29000000000002</v>
      </c>
      <c r="AG160" s="47" t="s">
        <v>876</v>
      </c>
      <c r="AH160" s="20" t="s">
        <v>803</v>
      </c>
      <c r="AI160" s="19" t="b">
        <v>0</v>
      </c>
      <c r="AJ160" s="18" t="s">
        <v>868</v>
      </c>
      <c r="AK160" s="49" t="s">
        <v>803</v>
      </c>
    </row>
    <row r="161" spans="1:37" x14ac:dyDescent="0.35">
      <c r="A161" s="12" t="s">
        <v>33</v>
      </c>
      <c r="B161" s="12">
        <v>100106219</v>
      </c>
      <c r="C161" s="13" t="s">
        <v>284</v>
      </c>
      <c r="D161" s="13" t="s">
        <v>285</v>
      </c>
      <c r="E161" s="12">
        <v>9700034309</v>
      </c>
      <c r="F161" s="13" t="s">
        <v>298</v>
      </c>
      <c r="G161" s="12" t="s">
        <v>37</v>
      </c>
      <c r="H161" s="14">
        <v>141.46</v>
      </c>
      <c r="I161" s="15">
        <v>45827</v>
      </c>
      <c r="J161" s="12" t="str">
        <f t="shared" ca="1" si="3"/>
        <v>120 +</v>
      </c>
      <c r="K161" s="14">
        <v>141.46</v>
      </c>
      <c r="L161" s="16">
        <v>45797</v>
      </c>
      <c r="M161" s="13" t="s">
        <v>38</v>
      </c>
      <c r="N161" s="13" t="s">
        <v>39</v>
      </c>
      <c r="O161" s="13" t="s">
        <v>40</v>
      </c>
      <c r="P161" s="13"/>
      <c r="Q161" s="13" t="s">
        <v>41</v>
      </c>
      <c r="R161" s="13" t="s">
        <v>42</v>
      </c>
      <c r="S161" s="17">
        <v>0</v>
      </c>
      <c r="T161" s="17">
        <v>0</v>
      </c>
      <c r="U161" s="17">
        <v>0</v>
      </c>
      <c r="V161" s="17">
        <v>0</v>
      </c>
      <c r="W161" s="17">
        <v>0</v>
      </c>
      <c r="X161" s="17">
        <v>519.51</v>
      </c>
      <c r="Y161" s="17">
        <v>519.51</v>
      </c>
      <c r="Z161" s="17">
        <v>0</v>
      </c>
      <c r="AA161" s="13" t="s">
        <v>287</v>
      </c>
      <c r="AB161" s="13" t="s">
        <v>44</v>
      </c>
      <c r="AC161" s="13" t="s">
        <v>45</v>
      </c>
      <c r="AD161" s="13" t="s">
        <v>46</v>
      </c>
      <c r="AE161" s="17">
        <v>519.51</v>
      </c>
      <c r="AF161" s="17">
        <v>126.47</v>
      </c>
      <c r="AG161" s="47" t="s">
        <v>876</v>
      </c>
      <c r="AH161" s="20" t="s">
        <v>803</v>
      </c>
      <c r="AI161" s="19" t="b">
        <v>0</v>
      </c>
      <c r="AJ161" s="18" t="s">
        <v>868</v>
      </c>
      <c r="AK161" s="49" t="s">
        <v>803</v>
      </c>
    </row>
    <row r="162" spans="1:37" x14ac:dyDescent="0.35">
      <c r="A162" s="12" t="s">
        <v>33</v>
      </c>
      <c r="B162" s="12">
        <v>100106219</v>
      </c>
      <c r="C162" s="13" t="s">
        <v>284</v>
      </c>
      <c r="D162" s="13" t="s">
        <v>285</v>
      </c>
      <c r="E162" s="12">
        <v>9700034840</v>
      </c>
      <c r="F162" s="13" t="s">
        <v>299</v>
      </c>
      <c r="G162" s="12" t="s">
        <v>37</v>
      </c>
      <c r="H162" s="14">
        <v>2392.3000000000002</v>
      </c>
      <c r="I162" s="15">
        <v>45828</v>
      </c>
      <c r="J162" s="12" t="str">
        <f t="shared" ca="1" si="3"/>
        <v>120 +</v>
      </c>
      <c r="K162" s="14">
        <v>2392.3000000000002</v>
      </c>
      <c r="L162" s="16">
        <v>45798</v>
      </c>
      <c r="M162" s="13" t="s">
        <v>38</v>
      </c>
      <c r="N162" s="13" t="s">
        <v>39</v>
      </c>
      <c r="O162" s="13" t="s">
        <v>40</v>
      </c>
      <c r="P162" s="13"/>
      <c r="Q162" s="13" t="s">
        <v>41</v>
      </c>
      <c r="R162" s="13" t="s">
        <v>42</v>
      </c>
      <c r="S162" s="17">
        <v>0</v>
      </c>
      <c r="T162" s="17">
        <v>0</v>
      </c>
      <c r="U162" s="17">
        <v>0</v>
      </c>
      <c r="V162" s="17">
        <v>0</v>
      </c>
      <c r="W162" s="17">
        <v>0</v>
      </c>
      <c r="X162" s="17">
        <v>8785.7199999999993</v>
      </c>
      <c r="Y162" s="17">
        <v>8785.7199999999993</v>
      </c>
      <c r="Z162" s="17">
        <v>0</v>
      </c>
      <c r="AA162" s="13" t="s">
        <v>287</v>
      </c>
      <c r="AB162" s="13" t="s">
        <v>44</v>
      </c>
      <c r="AC162" s="13" t="s">
        <v>45</v>
      </c>
      <c r="AD162" s="13" t="s">
        <v>46</v>
      </c>
      <c r="AE162" s="17">
        <v>8785.7199999999993</v>
      </c>
      <c r="AF162" s="17">
        <v>2137.13</v>
      </c>
      <c r="AG162" s="47" t="s">
        <v>876</v>
      </c>
      <c r="AH162" s="20" t="s">
        <v>803</v>
      </c>
      <c r="AI162" s="19" t="b">
        <v>0</v>
      </c>
      <c r="AJ162" s="18" t="s">
        <v>868</v>
      </c>
      <c r="AK162" s="49" t="s">
        <v>803</v>
      </c>
    </row>
    <row r="163" spans="1:37" x14ac:dyDescent="0.35">
      <c r="A163" s="12" t="s">
        <v>33</v>
      </c>
      <c r="B163" s="12">
        <v>100106219</v>
      </c>
      <c r="C163" s="13" t="s">
        <v>284</v>
      </c>
      <c r="D163" s="13" t="s">
        <v>285</v>
      </c>
      <c r="E163" s="12">
        <v>9700041211</v>
      </c>
      <c r="F163" s="13" t="s">
        <v>300</v>
      </c>
      <c r="G163" s="12" t="s">
        <v>37</v>
      </c>
      <c r="H163" s="14">
        <v>2407.81</v>
      </c>
      <c r="I163" s="15">
        <v>45857</v>
      </c>
      <c r="J163" s="12" t="str">
        <f t="shared" ca="1" si="3"/>
        <v>120 +</v>
      </c>
      <c r="K163" s="14">
        <v>2407.81</v>
      </c>
      <c r="L163" s="16">
        <v>45827</v>
      </c>
      <c r="M163" s="13" t="s">
        <v>38</v>
      </c>
      <c r="N163" s="13" t="s">
        <v>39</v>
      </c>
      <c r="O163" s="13" t="s">
        <v>40</v>
      </c>
      <c r="P163" s="13"/>
      <c r="Q163" s="13" t="s">
        <v>41</v>
      </c>
      <c r="R163" s="13" t="s">
        <v>42</v>
      </c>
      <c r="S163" s="17">
        <v>0</v>
      </c>
      <c r="T163" s="17">
        <v>0</v>
      </c>
      <c r="U163" s="17">
        <v>0</v>
      </c>
      <c r="V163" s="17">
        <v>0</v>
      </c>
      <c r="W163" s="17">
        <v>0</v>
      </c>
      <c r="X163" s="17">
        <v>8842.68</v>
      </c>
      <c r="Y163" s="17">
        <v>8842.68</v>
      </c>
      <c r="Z163" s="17">
        <v>0</v>
      </c>
      <c r="AA163" s="13" t="s">
        <v>287</v>
      </c>
      <c r="AB163" s="13" t="s">
        <v>44</v>
      </c>
      <c r="AC163" s="13" t="s">
        <v>45</v>
      </c>
      <c r="AD163" s="13" t="s">
        <v>46</v>
      </c>
      <c r="AE163" s="17">
        <v>8842.68</v>
      </c>
      <c r="AF163" s="17">
        <v>2080.36</v>
      </c>
      <c r="AG163" s="47" t="s">
        <v>876</v>
      </c>
      <c r="AH163" s="20" t="s">
        <v>803</v>
      </c>
      <c r="AI163" s="19" t="b">
        <v>0</v>
      </c>
      <c r="AJ163" s="18" t="s">
        <v>868</v>
      </c>
      <c r="AK163" s="49" t="s">
        <v>803</v>
      </c>
    </row>
    <row r="164" spans="1:37" x14ac:dyDescent="0.35">
      <c r="A164" s="12" t="s">
        <v>33</v>
      </c>
      <c r="B164" s="12">
        <v>100106219</v>
      </c>
      <c r="C164" s="13" t="s">
        <v>284</v>
      </c>
      <c r="D164" s="13" t="s">
        <v>285</v>
      </c>
      <c r="E164" s="12">
        <v>9700047391</v>
      </c>
      <c r="F164" s="13" t="s">
        <v>301</v>
      </c>
      <c r="G164" s="12" t="s">
        <v>37</v>
      </c>
      <c r="H164" s="14">
        <v>2283.63</v>
      </c>
      <c r="I164" s="15">
        <v>45884</v>
      </c>
      <c r="J164" s="12" t="str">
        <f t="shared" ca="1" si="3"/>
        <v>120 +</v>
      </c>
      <c r="K164" s="14">
        <v>2283.63</v>
      </c>
      <c r="L164" s="16">
        <v>45854</v>
      </c>
      <c r="M164" s="13" t="s">
        <v>38</v>
      </c>
      <c r="N164" s="13" t="s">
        <v>39</v>
      </c>
      <c r="O164" s="13" t="s">
        <v>40</v>
      </c>
      <c r="P164" s="13"/>
      <c r="Q164" s="13" t="s">
        <v>41</v>
      </c>
      <c r="R164" s="13" t="s">
        <v>42</v>
      </c>
      <c r="S164" s="17">
        <v>0</v>
      </c>
      <c r="T164" s="17">
        <v>0</v>
      </c>
      <c r="U164" s="17">
        <v>0</v>
      </c>
      <c r="V164" s="17">
        <v>0</v>
      </c>
      <c r="W164" s="17">
        <v>0</v>
      </c>
      <c r="X164" s="17">
        <v>8386.6299999999992</v>
      </c>
      <c r="Y164" s="17">
        <v>8386.6299999999992</v>
      </c>
      <c r="Z164" s="17">
        <v>0</v>
      </c>
      <c r="AA164" s="13" t="s">
        <v>287</v>
      </c>
      <c r="AB164" s="13" t="s">
        <v>44</v>
      </c>
      <c r="AC164" s="13" t="s">
        <v>45</v>
      </c>
      <c r="AD164" s="13" t="s">
        <v>46</v>
      </c>
      <c r="AE164" s="17">
        <v>8386.6299999999992</v>
      </c>
      <c r="AF164" s="17">
        <v>1954.66</v>
      </c>
      <c r="AG164" s="47" t="s">
        <v>876</v>
      </c>
      <c r="AH164" s="20" t="s">
        <v>803</v>
      </c>
      <c r="AI164" s="19" t="b">
        <v>0</v>
      </c>
      <c r="AJ164" s="18" t="s">
        <v>868</v>
      </c>
      <c r="AK164" s="49" t="s">
        <v>803</v>
      </c>
    </row>
    <row r="165" spans="1:37" x14ac:dyDescent="0.35">
      <c r="A165" s="12" t="s">
        <v>33</v>
      </c>
      <c r="B165" s="12">
        <v>100106219</v>
      </c>
      <c r="C165" s="13" t="s">
        <v>284</v>
      </c>
      <c r="D165" s="13" t="s">
        <v>285</v>
      </c>
      <c r="E165" s="12">
        <v>9700061991</v>
      </c>
      <c r="F165" s="13" t="s">
        <v>302</v>
      </c>
      <c r="G165" s="12" t="s">
        <v>37</v>
      </c>
      <c r="H165" s="14">
        <v>3228.62</v>
      </c>
      <c r="I165" s="15">
        <v>45940</v>
      </c>
      <c r="J165" s="12" t="str">
        <f t="shared" ca="1" si="3"/>
        <v>120 +</v>
      </c>
      <c r="K165" s="14">
        <v>3228.62</v>
      </c>
      <c r="L165" s="16">
        <v>45910</v>
      </c>
      <c r="M165" s="13" t="s">
        <v>38</v>
      </c>
      <c r="N165" s="13" t="s">
        <v>39</v>
      </c>
      <c r="O165" s="13" t="s">
        <v>40</v>
      </c>
      <c r="P165" s="13"/>
      <c r="Q165" s="13" t="s">
        <v>41</v>
      </c>
      <c r="R165" s="13" t="s">
        <v>42</v>
      </c>
      <c r="S165" s="17">
        <v>0</v>
      </c>
      <c r="T165" s="17">
        <v>0</v>
      </c>
      <c r="U165" s="17">
        <v>0</v>
      </c>
      <c r="V165" s="17">
        <v>0</v>
      </c>
      <c r="W165" s="17">
        <v>0</v>
      </c>
      <c r="X165" s="17">
        <v>11857.11</v>
      </c>
      <c r="Y165" s="17">
        <v>11857.11</v>
      </c>
      <c r="Z165" s="17">
        <v>0</v>
      </c>
      <c r="AA165" s="13" t="s">
        <v>287</v>
      </c>
      <c r="AB165" s="13" t="s">
        <v>44</v>
      </c>
      <c r="AC165" s="13" t="s">
        <v>45</v>
      </c>
      <c r="AD165" s="13" t="s">
        <v>46</v>
      </c>
      <c r="AE165" s="17">
        <v>11857.11</v>
      </c>
      <c r="AF165" s="17">
        <v>2749.17</v>
      </c>
      <c r="AG165" s="47" t="s">
        <v>876</v>
      </c>
      <c r="AH165" s="20" t="s">
        <v>803</v>
      </c>
      <c r="AI165" s="19" t="b">
        <v>0</v>
      </c>
      <c r="AJ165" s="18" t="s">
        <v>868</v>
      </c>
      <c r="AK165" s="49" t="s">
        <v>803</v>
      </c>
    </row>
    <row r="166" spans="1:37" x14ac:dyDescent="0.35">
      <c r="A166" s="12" t="s">
        <v>33</v>
      </c>
      <c r="B166" s="12">
        <v>100106219</v>
      </c>
      <c r="C166" s="13" t="s">
        <v>284</v>
      </c>
      <c r="D166" s="13" t="s">
        <v>285</v>
      </c>
      <c r="E166" s="12">
        <v>9700069856</v>
      </c>
      <c r="F166" s="13" t="s">
        <v>303</v>
      </c>
      <c r="G166" s="12" t="s">
        <v>37</v>
      </c>
      <c r="H166" s="14">
        <v>7020.88</v>
      </c>
      <c r="I166" s="15">
        <v>45973</v>
      </c>
      <c r="J166" s="12" t="str">
        <f t="shared" ca="1" si="3"/>
        <v>120 +</v>
      </c>
      <c r="K166" s="14">
        <v>7020.88</v>
      </c>
      <c r="L166" s="16">
        <v>45943</v>
      </c>
      <c r="M166" s="13" t="s">
        <v>38</v>
      </c>
      <c r="N166" s="13" t="s">
        <v>39</v>
      </c>
      <c r="O166" s="13" t="s">
        <v>40</v>
      </c>
      <c r="P166" s="13"/>
      <c r="Q166" s="13" t="s">
        <v>41</v>
      </c>
      <c r="R166" s="13" t="s">
        <v>42</v>
      </c>
      <c r="S166" s="17">
        <v>0</v>
      </c>
      <c r="T166" s="17">
        <v>0</v>
      </c>
      <c r="U166" s="17">
        <v>0</v>
      </c>
      <c r="V166" s="17">
        <v>0</v>
      </c>
      <c r="W166" s="17">
        <v>0</v>
      </c>
      <c r="X166" s="17">
        <v>25784.18</v>
      </c>
      <c r="Y166" s="17">
        <v>25784.18</v>
      </c>
      <c r="Z166" s="17">
        <v>0</v>
      </c>
      <c r="AA166" s="13" t="s">
        <v>287</v>
      </c>
      <c r="AB166" s="13" t="s">
        <v>44</v>
      </c>
      <c r="AC166" s="13" t="s">
        <v>45</v>
      </c>
      <c r="AD166" s="13" t="s">
        <v>46</v>
      </c>
      <c r="AE166" s="17">
        <v>25784.18</v>
      </c>
      <c r="AF166" s="17">
        <v>6038.43</v>
      </c>
      <c r="AG166" s="47" t="s">
        <v>876</v>
      </c>
      <c r="AH166" s="20" t="s">
        <v>803</v>
      </c>
      <c r="AI166" s="19" t="b">
        <v>0</v>
      </c>
      <c r="AJ166" s="18" t="s">
        <v>868</v>
      </c>
      <c r="AK166" s="49" t="s">
        <v>803</v>
      </c>
    </row>
    <row r="167" spans="1:37" x14ac:dyDescent="0.35">
      <c r="A167" s="12" t="s">
        <v>33</v>
      </c>
      <c r="B167" s="12">
        <v>100106219</v>
      </c>
      <c r="C167" s="13" t="s">
        <v>284</v>
      </c>
      <c r="D167" s="13" t="s">
        <v>285</v>
      </c>
      <c r="E167" s="12">
        <v>9700081700</v>
      </c>
      <c r="F167" s="13" t="s">
        <v>304</v>
      </c>
      <c r="G167" s="12" t="s">
        <v>37</v>
      </c>
      <c r="H167" s="14">
        <v>3518.65</v>
      </c>
      <c r="I167" s="15">
        <v>46012</v>
      </c>
      <c r="J167" s="12" t="str">
        <f t="shared" ca="1" si="3"/>
        <v>120 +</v>
      </c>
      <c r="K167" s="14">
        <v>3518.65</v>
      </c>
      <c r="L167" s="16">
        <v>45982</v>
      </c>
      <c r="M167" s="13" t="s">
        <v>38</v>
      </c>
      <c r="N167" s="13" t="s">
        <v>39</v>
      </c>
      <c r="O167" s="13" t="s">
        <v>40</v>
      </c>
      <c r="P167" s="13"/>
      <c r="Q167" s="13" t="s">
        <v>41</v>
      </c>
      <c r="R167" s="13" t="s">
        <v>42</v>
      </c>
      <c r="S167" s="17">
        <v>0</v>
      </c>
      <c r="T167" s="17">
        <v>0</v>
      </c>
      <c r="U167" s="17">
        <v>0</v>
      </c>
      <c r="V167" s="17">
        <v>0</v>
      </c>
      <c r="W167" s="17">
        <v>12922.24</v>
      </c>
      <c r="X167" s="17">
        <v>0</v>
      </c>
      <c r="Y167" s="17">
        <v>12922.24</v>
      </c>
      <c r="Z167" s="17">
        <v>0</v>
      </c>
      <c r="AA167" s="13" t="s">
        <v>287</v>
      </c>
      <c r="AB167" s="13" t="s">
        <v>44</v>
      </c>
      <c r="AC167" s="13" t="s">
        <v>45</v>
      </c>
      <c r="AD167" s="13" t="s">
        <v>46</v>
      </c>
      <c r="AE167" s="17">
        <v>12922.24</v>
      </c>
      <c r="AF167" s="17">
        <v>3035.94</v>
      </c>
      <c r="AG167" s="47" t="s">
        <v>876</v>
      </c>
      <c r="AH167" s="20" t="s">
        <v>803</v>
      </c>
      <c r="AI167" s="19" t="b">
        <v>0</v>
      </c>
      <c r="AJ167" s="18" t="s">
        <v>868</v>
      </c>
      <c r="AK167" s="49" t="s">
        <v>803</v>
      </c>
    </row>
    <row r="168" spans="1:37" ht="16.5" x14ac:dyDescent="0.4">
      <c r="A168" s="3"/>
      <c r="B168" s="3"/>
      <c r="C168" s="4"/>
      <c r="D168" s="4" t="s">
        <v>285</v>
      </c>
      <c r="E168" s="3"/>
      <c r="F168" s="4"/>
      <c r="G168" s="4"/>
      <c r="H168" s="43">
        <f>SUM(H154:H167)</f>
        <v>31884.35</v>
      </c>
      <c r="I168" s="5"/>
      <c r="J168" s="45" t="str">
        <f t="shared" ca="1" si="3"/>
        <v/>
      </c>
      <c r="K168" s="43">
        <f>SUM(K154:K167)</f>
        <v>31884.35</v>
      </c>
      <c r="L168" s="9"/>
      <c r="M168" s="4"/>
      <c r="N168" s="4"/>
      <c r="O168" s="4"/>
      <c r="P168" s="4"/>
      <c r="Q168" s="4"/>
      <c r="R168" s="4" t="s">
        <v>42</v>
      </c>
      <c r="S168" s="6">
        <v>0</v>
      </c>
      <c r="T168" s="6">
        <v>10093.02</v>
      </c>
      <c r="U168" s="6">
        <v>25036.53</v>
      </c>
      <c r="V168" s="6">
        <v>0</v>
      </c>
      <c r="W168" s="6">
        <v>12922.24</v>
      </c>
      <c r="X168" s="7"/>
      <c r="Y168" s="7"/>
      <c r="Z168" s="6">
        <v>0</v>
      </c>
      <c r="AA168" s="4"/>
      <c r="AB168" s="4"/>
      <c r="AC168" s="4"/>
      <c r="AD168" s="4"/>
      <c r="AE168" s="6">
        <v>117095.26</v>
      </c>
      <c r="AF168" s="6">
        <v>27561.74</v>
      </c>
      <c r="AG168" s="48"/>
      <c r="AH168" s="44" cm="1">
        <f t="array" ref="AH168">IFERROR(SUMPRODUCT(AF154:AF167*--(((AI154:AI167=TRUE)+(AI154:AI167=1))&gt;0)),0)</f>
        <v>0</v>
      </c>
      <c r="AI168" s="54">
        <f>SUMIF(AI154:AI167,TRUE,H154:H167)/H168</f>
        <v>0</v>
      </c>
      <c r="AJ168" s="6"/>
      <c r="AK168" s="50"/>
    </row>
    <row r="169" spans="1:37" x14ac:dyDescent="0.35">
      <c r="A169" s="12" t="s">
        <v>33</v>
      </c>
      <c r="B169" s="12">
        <v>100108939</v>
      </c>
      <c r="C169" s="13" t="s">
        <v>305</v>
      </c>
      <c r="D169" s="13" t="s">
        <v>306</v>
      </c>
      <c r="E169" s="12">
        <v>9700025778</v>
      </c>
      <c r="F169" s="13" t="s">
        <v>307</v>
      </c>
      <c r="G169" s="12" t="s">
        <v>37</v>
      </c>
      <c r="H169" s="14">
        <v>1154.42</v>
      </c>
      <c r="I169" s="15">
        <v>46141</v>
      </c>
      <c r="J169" s="12" t="str">
        <f t="shared" ca="1" si="3"/>
        <v>Current</v>
      </c>
      <c r="K169" s="14">
        <v>1154.42</v>
      </c>
      <c r="L169" s="16">
        <v>46111</v>
      </c>
      <c r="M169" s="13" t="s">
        <v>38</v>
      </c>
      <c r="N169" s="13" t="s">
        <v>39</v>
      </c>
      <c r="O169" s="13" t="s">
        <v>40</v>
      </c>
      <c r="P169" s="13"/>
      <c r="Q169" s="13" t="s">
        <v>41</v>
      </c>
      <c r="R169" s="13" t="s">
        <v>42</v>
      </c>
      <c r="S169" s="17">
        <v>4239.6099999999997</v>
      </c>
      <c r="T169" s="17">
        <v>0</v>
      </c>
      <c r="U169" s="17">
        <v>0</v>
      </c>
      <c r="V169" s="17">
        <v>0</v>
      </c>
      <c r="W169" s="17">
        <v>0</v>
      </c>
      <c r="X169" s="17">
        <v>0</v>
      </c>
      <c r="Y169" s="17">
        <v>0</v>
      </c>
      <c r="Z169" s="17">
        <v>0</v>
      </c>
      <c r="AA169" s="13" t="s">
        <v>308</v>
      </c>
      <c r="AB169" s="13" t="s">
        <v>44</v>
      </c>
      <c r="AC169" s="13" t="s">
        <v>45</v>
      </c>
      <c r="AD169" s="13" t="s">
        <v>46</v>
      </c>
      <c r="AE169" s="17">
        <v>4239.6099999999997</v>
      </c>
      <c r="AF169" s="17">
        <v>997.6</v>
      </c>
      <c r="AG169" s="47" t="s">
        <v>876</v>
      </c>
      <c r="AH169" s="20" t="e">
        <v>#N/A</v>
      </c>
      <c r="AI169" s="19" t="b">
        <v>1</v>
      </c>
      <c r="AJ169" s="18" t="s">
        <v>874</v>
      </c>
      <c r="AK169" s="49" t="s">
        <v>815</v>
      </c>
    </row>
    <row r="170" spans="1:37" ht="16.5" x14ac:dyDescent="0.4">
      <c r="A170" s="3"/>
      <c r="B170" s="3"/>
      <c r="C170" s="4"/>
      <c r="D170" s="4" t="s">
        <v>306</v>
      </c>
      <c r="E170" s="3"/>
      <c r="F170" s="4"/>
      <c r="G170" s="4"/>
      <c r="H170" s="43">
        <f>SUM(H169:H169)</f>
        <v>1154.42</v>
      </c>
      <c r="I170" s="5"/>
      <c r="J170" s="45" t="str">
        <f t="shared" ca="1" si="3"/>
        <v/>
      </c>
      <c r="K170" s="43">
        <f>SUM(K169:K169)</f>
        <v>1154.42</v>
      </c>
      <c r="L170" s="9"/>
      <c r="M170" s="4"/>
      <c r="N170" s="4"/>
      <c r="O170" s="4"/>
      <c r="P170" s="4"/>
      <c r="Q170" s="4"/>
      <c r="R170" s="4" t="s">
        <v>42</v>
      </c>
      <c r="S170" s="6">
        <v>4239.6099999999997</v>
      </c>
      <c r="T170" s="6">
        <v>0</v>
      </c>
      <c r="U170" s="6">
        <v>0</v>
      </c>
      <c r="V170" s="6">
        <v>0</v>
      </c>
      <c r="W170" s="6">
        <v>0</v>
      </c>
      <c r="X170" s="7"/>
      <c r="Y170" s="7"/>
      <c r="Z170" s="6">
        <v>0</v>
      </c>
      <c r="AA170" s="4"/>
      <c r="AB170" s="4"/>
      <c r="AC170" s="4"/>
      <c r="AD170" s="4"/>
      <c r="AE170" s="6">
        <v>4239.6099999999997</v>
      </c>
      <c r="AF170" s="6">
        <v>997.6</v>
      </c>
      <c r="AG170" s="48"/>
      <c r="AH170" s="44" cm="1">
        <f t="array" ref="AH170">IFERROR(SUMPRODUCT(AF169:AF169*--(((AI169:AI169=TRUE)+(AI169:AI169=1))&gt;0)),0)</f>
        <v>997.6</v>
      </c>
      <c r="AI170" s="54">
        <f>SUMIF(AI169:AI169,TRUE,H169:H169)/H170</f>
        <v>1</v>
      </c>
      <c r="AJ170" s="6"/>
      <c r="AK170" s="50"/>
    </row>
    <row r="171" spans="1:37" x14ac:dyDescent="0.35">
      <c r="A171" s="12" t="s">
        <v>33</v>
      </c>
      <c r="B171" s="12">
        <v>100108737</v>
      </c>
      <c r="C171" s="13" t="s">
        <v>309</v>
      </c>
      <c r="D171" s="13" t="s">
        <v>310</v>
      </c>
      <c r="E171" s="12">
        <v>9700025746</v>
      </c>
      <c r="F171" s="13" t="s">
        <v>311</v>
      </c>
      <c r="G171" s="12" t="s">
        <v>37</v>
      </c>
      <c r="H171" s="14">
        <v>4910.21</v>
      </c>
      <c r="I171" s="15">
        <v>46141</v>
      </c>
      <c r="J171" s="12" t="str">
        <f t="shared" ca="1" si="3"/>
        <v>Current</v>
      </c>
      <c r="K171" s="14">
        <v>4910.21</v>
      </c>
      <c r="L171" s="16">
        <v>46111</v>
      </c>
      <c r="M171" s="13" t="s">
        <v>38</v>
      </c>
      <c r="N171" s="13" t="s">
        <v>39</v>
      </c>
      <c r="O171" s="13" t="s">
        <v>40</v>
      </c>
      <c r="P171" s="13"/>
      <c r="Q171" s="13" t="s">
        <v>41</v>
      </c>
      <c r="R171" s="13" t="s">
        <v>42</v>
      </c>
      <c r="S171" s="17">
        <v>18032.75</v>
      </c>
      <c r="T171" s="17">
        <v>0</v>
      </c>
      <c r="U171" s="17">
        <v>0</v>
      </c>
      <c r="V171" s="17">
        <v>0</v>
      </c>
      <c r="W171" s="17">
        <v>0</v>
      </c>
      <c r="X171" s="17">
        <v>0</v>
      </c>
      <c r="Y171" s="17">
        <v>0</v>
      </c>
      <c r="Z171" s="17">
        <v>0</v>
      </c>
      <c r="AA171" s="13" t="s">
        <v>312</v>
      </c>
      <c r="AB171" s="13" t="s">
        <v>44</v>
      </c>
      <c r="AC171" s="13" t="s">
        <v>45</v>
      </c>
      <c r="AD171" s="13" t="s">
        <v>46</v>
      </c>
      <c r="AE171" s="17">
        <v>18032.75</v>
      </c>
      <c r="AF171" s="17">
        <v>4243.18</v>
      </c>
      <c r="AG171" s="47" t="s">
        <v>876</v>
      </c>
      <c r="AH171" s="20" t="e">
        <v>#N/A</v>
      </c>
      <c r="AI171" s="19" t="b">
        <v>1</v>
      </c>
      <c r="AJ171" s="18" t="s">
        <v>874</v>
      </c>
      <c r="AK171" s="49" t="s">
        <v>815</v>
      </c>
    </row>
    <row r="172" spans="1:37" ht="16.5" x14ac:dyDescent="0.4">
      <c r="A172" s="3"/>
      <c r="B172" s="3"/>
      <c r="C172" s="4"/>
      <c r="D172" s="4" t="s">
        <v>310</v>
      </c>
      <c r="E172" s="3"/>
      <c r="F172" s="4"/>
      <c r="G172" s="4"/>
      <c r="H172" s="43">
        <f>SUM(H171:H171)</f>
        <v>4910.21</v>
      </c>
      <c r="I172" s="5"/>
      <c r="J172" s="45" t="str">
        <f t="shared" ca="1" si="3"/>
        <v/>
      </c>
      <c r="K172" s="43">
        <f>SUM(K171:K171)</f>
        <v>4910.21</v>
      </c>
      <c r="L172" s="9"/>
      <c r="M172" s="4"/>
      <c r="N172" s="4"/>
      <c r="O172" s="4"/>
      <c r="P172" s="4"/>
      <c r="Q172" s="4"/>
      <c r="R172" s="4" t="s">
        <v>42</v>
      </c>
      <c r="S172" s="6">
        <v>18032.75</v>
      </c>
      <c r="T172" s="6">
        <v>0</v>
      </c>
      <c r="U172" s="6">
        <v>0</v>
      </c>
      <c r="V172" s="6">
        <v>0</v>
      </c>
      <c r="W172" s="6">
        <v>0</v>
      </c>
      <c r="X172" s="7"/>
      <c r="Y172" s="7"/>
      <c r="Z172" s="6">
        <v>0</v>
      </c>
      <c r="AA172" s="4"/>
      <c r="AB172" s="4"/>
      <c r="AC172" s="4"/>
      <c r="AD172" s="4"/>
      <c r="AE172" s="6">
        <v>18032.75</v>
      </c>
      <c r="AF172" s="6">
        <v>4243.18</v>
      </c>
      <c r="AG172" s="48"/>
      <c r="AH172" s="44" cm="1">
        <f t="array" ref="AH172">IFERROR(SUMPRODUCT(AF171:AF171*--(((AI171:AI171=TRUE)+(AI171:AI171=1))&gt;0)),0)</f>
        <v>4243.18</v>
      </c>
      <c r="AI172" s="54">
        <f>SUMIF(AI171:AI171,TRUE,H171:H171)/H172</f>
        <v>1</v>
      </c>
      <c r="AJ172" s="6"/>
      <c r="AK172" s="50"/>
    </row>
    <row r="173" spans="1:37" x14ac:dyDescent="0.35">
      <c r="A173" s="12" t="s">
        <v>33</v>
      </c>
      <c r="B173" s="12">
        <v>100114999</v>
      </c>
      <c r="C173" s="13" t="s">
        <v>313</v>
      </c>
      <c r="D173" s="13" t="s">
        <v>314</v>
      </c>
      <c r="E173" s="12">
        <v>9700026166</v>
      </c>
      <c r="F173" s="13" t="s">
        <v>315</v>
      </c>
      <c r="G173" s="12" t="s">
        <v>37</v>
      </c>
      <c r="H173" s="14">
        <v>611.34</v>
      </c>
      <c r="I173" s="15">
        <v>46141</v>
      </c>
      <c r="J173" s="12" t="str">
        <f t="shared" ca="1" si="3"/>
        <v>Current</v>
      </c>
      <c r="K173" s="14">
        <v>611.34</v>
      </c>
      <c r="L173" s="16">
        <v>46111</v>
      </c>
      <c r="M173" s="13" t="s">
        <v>38</v>
      </c>
      <c r="N173" s="13" t="s">
        <v>39</v>
      </c>
      <c r="O173" s="13" t="s">
        <v>40</v>
      </c>
      <c r="P173" s="13"/>
      <c r="Q173" s="13" t="s">
        <v>41</v>
      </c>
      <c r="R173" s="13" t="s">
        <v>42</v>
      </c>
      <c r="S173" s="17">
        <v>2245.15</v>
      </c>
      <c r="T173" s="17">
        <v>0</v>
      </c>
      <c r="U173" s="17">
        <v>0</v>
      </c>
      <c r="V173" s="17">
        <v>0</v>
      </c>
      <c r="W173" s="17">
        <v>0</v>
      </c>
      <c r="X173" s="17">
        <v>0</v>
      </c>
      <c r="Y173" s="17">
        <v>0</v>
      </c>
      <c r="Z173" s="17">
        <v>0</v>
      </c>
      <c r="AA173" s="13" t="s">
        <v>316</v>
      </c>
      <c r="AB173" s="13" t="s">
        <v>44</v>
      </c>
      <c r="AC173" s="13" t="s">
        <v>45</v>
      </c>
      <c r="AD173" s="13" t="s">
        <v>46</v>
      </c>
      <c r="AE173" s="17">
        <v>2245.15</v>
      </c>
      <c r="AF173" s="17">
        <v>527.38</v>
      </c>
      <c r="AG173" s="47" t="s">
        <v>876</v>
      </c>
      <c r="AH173" s="20" t="e">
        <v>#N/A</v>
      </c>
      <c r="AI173" s="19" t="b">
        <v>1</v>
      </c>
      <c r="AJ173" s="18" t="s">
        <v>874</v>
      </c>
      <c r="AK173" s="49" t="s">
        <v>815</v>
      </c>
    </row>
    <row r="174" spans="1:37" ht="16.5" x14ac:dyDescent="0.4">
      <c r="A174" s="3"/>
      <c r="B174" s="3"/>
      <c r="C174" s="4"/>
      <c r="D174" s="4" t="s">
        <v>314</v>
      </c>
      <c r="E174" s="3"/>
      <c r="F174" s="4"/>
      <c r="G174" s="4"/>
      <c r="H174" s="43">
        <f>SUM(H173:H173)</f>
        <v>611.34</v>
      </c>
      <c r="I174" s="5"/>
      <c r="J174" s="45" t="str">
        <f t="shared" ca="1" si="3"/>
        <v/>
      </c>
      <c r="K174" s="43">
        <f>SUM(K173:K173)</f>
        <v>611.34</v>
      </c>
      <c r="L174" s="9"/>
      <c r="M174" s="4"/>
      <c r="N174" s="4"/>
      <c r="O174" s="4"/>
      <c r="P174" s="4"/>
      <c r="Q174" s="4"/>
      <c r="R174" s="4" t="s">
        <v>42</v>
      </c>
      <c r="S174" s="6">
        <v>2245.15</v>
      </c>
      <c r="T174" s="6">
        <v>0</v>
      </c>
      <c r="U174" s="6">
        <v>0</v>
      </c>
      <c r="V174" s="6">
        <v>0</v>
      </c>
      <c r="W174" s="6">
        <v>0</v>
      </c>
      <c r="X174" s="7"/>
      <c r="Y174" s="7"/>
      <c r="Z174" s="6">
        <v>0</v>
      </c>
      <c r="AA174" s="4"/>
      <c r="AB174" s="4"/>
      <c r="AC174" s="4"/>
      <c r="AD174" s="4"/>
      <c r="AE174" s="6">
        <v>2245.15</v>
      </c>
      <c r="AF174" s="6">
        <v>527.38</v>
      </c>
      <c r="AG174" s="48"/>
      <c r="AH174" s="44" cm="1">
        <f t="array" ref="AH174">IFERROR(SUMPRODUCT(AF173:AF173*--(((AI173:AI173=TRUE)+(AI173:AI173=1))&gt;0)),0)</f>
        <v>527.38</v>
      </c>
      <c r="AI174" s="54">
        <f>SUMIF(AI173:AI173,TRUE,H173:H173)/H174</f>
        <v>1</v>
      </c>
      <c r="AJ174" s="6"/>
      <c r="AK174" s="50"/>
    </row>
    <row r="175" spans="1:37" x14ac:dyDescent="0.35">
      <c r="A175" s="12" t="s">
        <v>33</v>
      </c>
      <c r="B175" s="12">
        <v>100114519</v>
      </c>
      <c r="C175" s="13" t="s">
        <v>317</v>
      </c>
      <c r="D175" s="13" t="s">
        <v>318</v>
      </c>
      <c r="E175" s="12">
        <v>9700023090</v>
      </c>
      <c r="F175" s="13" t="s">
        <v>319</v>
      </c>
      <c r="G175" s="12" t="s">
        <v>37</v>
      </c>
      <c r="H175" s="14">
        <v>7364.01</v>
      </c>
      <c r="I175" s="15">
        <v>46130</v>
      </c>
      <c r="J175" s="12" t="str">
        <f t="shared" ca="1" si="3"/>
        <v>0-30</v>
      </c>
      <c r="K175" s="14">
        <v>7364.01</v>
      </c>
      <c r="L175" s="16">
        <v>46100</v>
      </c>
      <c r="M175" s="13" t="s">
        <v>38</v>
      </c>
      <c r="N175" s="13" t="s">
        <v>39</v>
      </c>
      <c r="O175" s="13" t="s">
        <v>40</v>
      </c>
      <c r="P175" s="13"/>
      <c r="Q175" s="13" t="s">
        <v>41</v>
      </c>
      <c r="R175" s="13" t="s">
        <v>42</v>
      </c>
      <c r="S175" s="17">
        <v>27044.33</v>
      </c>
      <c r="T175" s="17">
        <v>0</v>
      </c>
      <c r="U175" s="17">
        <v>0</v>
      </c>
      <c r="V175" s="17">
        <v>0</v>
      </c>
      <c r="W175" s="17">
        <v>0</v>
      </c>
      <c r="X175" s="17">
        <v>0</v>
      </c>
      <c r="Y175" s="17">
        <v>0</v>
      </c>
      <c r="Z175" s="17">
        <v>0</v>
      </c>
      <c r="AA175" s="13" t="s">
        <v>320</v>
      </c>
      <c r="AB175" s="13" t="s">
        <v>44</v>
      </c>
      <c r="AC175" s="13" t="s">
        <v>45</v>
      </c>
      <c r="AD175" s="13" t="s">
        <v>46</v>
      </c>
      <c r="AE175" s="17">
        <v>27044.33</v>
      </c>
      <c r="AF175" s="17">
        <v>6415.76</v>
      </c>
      <c r="AG175" s="47" t="s">
        <v>876</v>
      </c>
      <c r="AH175" s="20" t="e">
        <v>#N/A</v>
      </c>
      <c r="AI175" s="19" t="b">
        <v>1</v>
      </c>
      <c r="AJ175" s="18" t="s">
        <v>874</v>
      </c>
      <c r="AK175" s="49" t="s">
        <v>815</v>
      </c>
    </row>
    <row r="176" spans="1:37" ht="16.5" x14ac:dyDescent="0.4">
      <c r="A176" s="3"/>
      <c r="B176" s="3"/>
      <c r="C176" s="4"/>
      <c r="D176" s="4" t="s">
        <v>318</v>
      </c>
      <c r="E176" s="3"/>
      <c r="F176" s="4"/>
      <c r="G176" s="4"/>
      <c r="H176" s="43">
        <f>SUM(H175:H175)</f>
        <v>7364.01</v>
      </c>
      <c r="I176" s="5"/>
      <c r="J176" s="45" t="str">
        <f t="shared" ca="1" si="3"/>
        <v/>
      </c>
      <c r="K176" s="43">
        <f>SUM(K175:K175)</f>
        <v>7364.01</v>
      </c>
      <c r="L176" s="9"/>
      <c r="M176" s="4"/>
      <c r="N176" s="4"/>
      <c r="O176" s="4"/>
      <c r="P176" s="4"/>
      <c r="Q176" s="4"/>
      <c r="R176" s="4" t="s">
        <v>42</v>
      </c>
      <c r="S176" s="6">
        <v>27044.33</v>
      </c>
      <c r="T176" s="6">
        <v>0</v>
      </c>
      <c r="U176" s="6">
        <v>0</v>
      </c>
      <c r="V176" s="6">
        <v>0</v>
      </c>
      <c r="W176" s="6">
        <v>0</v>
      </c>
      <c r="X176" s="7"/>
      <c r="Y176" s="7"/>
      <c r="Z176" s="6">
        <v>0</v>
      </c>
      <c r="AA176" s="4"/>
      <c r="AB176" s="4"/>
      <c r="AC176" s="4"/>
      <c r="AD176" s="4"/>
      <c r="AE176" s="6">
        <v>27044.33</v>
      </c>
      <c r="AF176" s="6">
        <v>6415.76</v>
      </c>
      <c r="AG176" s="48"/>
      <c r="AH176" s="44" cm="1">
        <f t="array" ref="AH176">IFERROR(SUMPRODUCT(AF175:AF175*--(((AI175:AI175=TRUE)+(AI175:AI175=1))&gt;0)),0)</f>
        <v>6415.76</v>
      </c>
      <c r="AI176" s="54">
        <f>SUMIF(AI175:AI175,TRUE,H175:H175)/H176</f>
        <v>1</v>
      </c>
      <c r="AJ176" s="6"/>
      <c r="AK176" s="50"/>
    </row>
    <row r="177" spans="1:37" x14ac:dyDescent="0.35">
      <c r="A177" s="12" t="s">
        <v>33</v>
      </c>
      <c r="B177" s="12">
        <v>100120310</v>
      </c>
      <c r="C177" s="13" t="s">
        <v>321</v>
      </c>
      <c r="D177" s="13" t="s">
        <v>322</v>
      </c>
      <c r="E177" s="12">
        <v>9700024658</v>
      </c>
      <c r="F177" s="13" t="s">
        <v>323</v>
      </c>
      <c r="G177" s="12" t="s">
        <v>37</v>
      </c>
      <c r="H177" s="14">
        <v>63806.17</v>
      </c>
      <c r="I177" s="15">
        <v>46137</v>
      </c>
      <c r="J177" s="12" t="str">
        <f t="shared" ca="1" si="3"/>
        <v>0-30</v>
      </c>
      <c r="K177" s="14">
        <v>63806.17</v>
      </c>
      <c r="L177" s="16">
        <v>46107</v>
      </c>
      <c r="M177" s="13" t="s">
        <v>38</v>
      </c>
      <c r="N177" s="13" t="s">
        <v>39</v>
      </c>
      <c r="O177" s="13" t="s">
        <v>40</v>
      </c>
      <c r="P177" s="13"/>
      <c r="Q177" s="13" t="s">
        <v>41</v>
      </c>
      <c r="R177" s="13" t="s">
        <v>42</v>
      </c>
      <c r="S177" s="17">
        <v>234328.16</v>
      </c>
      <c r="T177" s="17">
        <v>0</v>
      </c>
      <c r="U177" s="17">
        <v>0</v>
      </c>
      <c r="V177" s="17">
        <v>0</v>
      </c>
      <c r="W177" s="17">
        <v>0</v>
      </c>
      <c r="X177" s="17">
        <v>0</v>
      </c>
      <c r="Y177" s="17">
        <v>0</v>
      </c>
      <c r="Z177" s="17">
        <v>0</v>
      </c>
      <c r="AA177" s="13" t="s">
        <v>324</v>
      </c>
      <c r="AB177" s="13" t="s">
        <v>44</v>
      </c>
      <c r="AC177" s="13" t="s">
        <v>45</v>
      </c>
      <c r="AD177" s="13" t="s">
        <v>46</v>
      </c>
      <c r="AE177" s="17">
        <v>234328.16</v>
      </c>
      <c r="AF177" s="17">
        <v>55219.53</v>
      </c>
      <c r="AG177" s="47" t="s">
        <v>889</v>
      </c>
      <c r="AH177" s="20" t="e">
        <v>#N/A</v>
      </c>
      <c r="AI177" s="19" t="b">
        <v>1</v>
      </c>
      <c r="AJ177" s="18" t="s">
        <v>911</v>
      </c>
      <c r="AK177" s="49" t="s">
        <v>945</v>
      </c>
    </row>
    <row r="178" spans="1:37" x14ac:dyDescent="0.35">
      <c r="A178" s="12" t="s">
        <v>33</v>
      </c>
      <c r="B178" s="12">
        <v>100120310</v>
      </c>
      <c r="C178" s="13" t="s">
        <v>321</v>
      </c>
      <c r="D178" s="13" t="s">
        <v>322</v>
      </c>
      <c r="E178" s="12">
        <v>9700025720</v>
      </c>
      <c r="F178" s="13" t="s">
        <v>325</v>
      </c>
      <c r="G178" s="12" t="s">
        <v>37</v>
      </c>
      <c r="H178" s="14">
        <v>90000</v>
      </c>
      <c r="I178" s="15">
        <v>46138</v>
      </c>
      <c r="J178" s="12" t="str">
        <f t="shared" ca="1" si="3"/>
        <v>0-30</v>
      </c>
      <c r="K178" s="14">
        <v>90000</v>
      </c>
      <c r="L178" s="16">
        <v>46108</v>
      </c>
      <c r="M178" s="13" t="s">
        <v>38</v>
      </c>
      <c r="N178" s="13" t="s">
        <v>39</v>
      </c>
      <c r="O178" s="13" t="s">
        <v>40</v>
      </c>
      <c r="P178" s="13"/>
      <c r="Q178" s="13" t="s">
        <v>41</v>
      </c>
      <c r="R178" s="13" t="s">
        <v>42</v>
      </c>
      <c r="S178" s="17">
        <v>330525</v>
      </c>
      <c r="T178" s="17">
        <v>0</v>
      </c>
      <c r="U178" s="17">
        <v>0</v>
      </c>
      <c r="V178" s="17">
        <v>0</v>
      </c>
      <c r="W178" s="17">
        <v>0</v>
      </c>
      <c r="X178" s="17">
        <v>0</v>
      </c>
      <c r="Y178" s="17">
        <v>0</v>
      </c>
      <c r="Z178" s="17">
        <v>0</v>
      </c>
      <c r="AA178" s="13" t="s">
        <v>326</v>
      </c>
      <c r="AB178" s="13" t="s">
        <v>44</v>
      </c>
      <c r="AC178" s="13" t="s">
        <v>45</v>
      </c>
      <c r="AD178" s="13" t="s">
        <v>46</v>
      </c>
      <c r="AE178" s="17">
        <v>330525</v>
      </c>
      <c r="AF178" s="17">
        <v>77773.94</v>
      </c>
      <c r="AG178" s="47" t="e">
        <v>#N/A</v>
      </c>
      <c r="AH178" s="20" t="e">
        <v>#N/A</v>
      </c>
      <c r="AI178" s="19" t="b">
        <v>1</v>
      </c>
      <c r="AJ178" s="18" t="s">
        <v>874</v>
      </c>
      <c r="AK178" s="49" t="s">
        <v>815</v>
      </c>
    </row>
    <row r="179" spans="1:37" x14ac:dyDescent="0.35">
      <c r="A179" s="12" t="s">
        <v>33</v>
      </c>
      <c r="B179" s="12">
        <v>100120310</v>
      </c>
      <c r="C179" s="13" t="s">
        <v>321</v>
      </c>
      <c r="D179" s="13" t="s">
        <v>322</v>
      </c>
      <c r="E179" s="12">
        <v>9700025739</v>
      </c>
      <c r="F179" s="13" t="s">
        <v>327</v>
      </c>
      <c r="G179" s="12" t="s">
        <v>37</v>
      </c>
      <c r="H179" s="14">
        <v>2892.52</v>
      </c>
      <c r="I179" s="15">
        <v>46141</v>
      </c>
      <c r="J179" s="12" t="str">
        <f t="shared" ca="1" si="3"/>
        <v>Current</v>
      </c>
      <c r="K179" s="14">
        <v>2892.52</v>
      </c>
      <c r="L179" s="16">
        <v>46111</v>
      </c>
      <c r="M179" s="13" t="s">
        <v>38</v>
      </c>
      <c r="N179" s="13" t="s">
        <v>39</v>
      </c>
      <c r="O179" s="13" t="s">
        <v>40</v>
      </c>
      <c r="P179" s="13"/>
      <c r="Q179" s="13" t="s">
        <v>41</v>
      </c>
      <c r="R179" s="13" t="s">
        <v>42</v>
      </c>
      <c r="S179" s="17">
        <v>10622.78</v>
      </c>
      <c r="T179" s="17">
        <v>0</v>
      </c>
      <c r="U179" s="17">
        <v>0</v>
      </c>
      <c r="V179" s="17">
        <v>0</v>
      </c>
      <c r="W179" s="17">
        <v>0</v>
      </c>
      <c r="X179" s="17">
        <v>0</v>
      </c>
      <c r="Y179" s="17">
        <v>0</v>
      </c>
      <c r="Z179" s="17">
        <v>0</v>
      </c>
      <c r="AA179" s="13" t="s">
        <v>328</v>
      </c>
      <c r="AB179" s="13" t="s">
        <v>44</v>
      </c>
      <c r="AC179" s="13" t="s">
        <v>45</v>
      </c>
      <c r="AD179" s="13" t="s">
        <v>46</v>
      </c>
      <c r="AE179" s="17">
        <v>10622.78</v>
      </c>
      <c r="AF179" s="17">
        <v>2499.59</v>
      </c>
      <c r="AG179" s="47" t="s">
        <v>876</v>
      </c>
      <c r="AH179" s="20" t="e">
        <v>#N/A</v>
      </c>
      <c r="AI179" s="19" t="b">
        <v>0</v>
      </c>
      <c r="AJ179" s="18" t="s">
        <v>870</v>
      </c>
      <c r="AK179" s="49" t="s">
        <v>938</v>
      </c>
    </row>
    <row r="180" spans="1:37" ht="16.5" x14ac:dyDescent="0.4">
      <c r="A180" s="3"/>
      <c r="B180" s="3"/>
      <c r="C180" s="4"/>
      <c r="D180" s="4" t="s">
        <v>322</v>
      </c>
      <c r="E180" s="3"/>
      <c r="F180" s="4"/>
      <c r="G180" s="4"/>
      <c r="H180" s="43">
        <f>SUM(H177:H179)</f>
        <v>156698.68999999997</v>
      </c>
      <c r="I180" s="5"/>
      <c r="J180" s="45" t="str">
        <f t="shared" ca="1" si="3"/>
        <v/>
      </c>
      <c r="K180" s="43">
        <f>SUM(K177:K179)</f>
        <v>156698.68999999997</v>
      </c>
      <c r="L180" s="9"/>
      <c r="M180" s="4"/>
      <c r="N180" s="4"/>
      <c r="O180" s="4"/>
      <c r="P180" s="4"/>
      <c r="Q180" s="4"/>
      <c r="R180" s="4" t="s">
        <v>42</v>
      </c>
      <c r="S180" s="6">
        <v>575475.93999999994</v>
      </c>
      <c r="T180" s="6">
        <v>0</v>
      </c>
      <c r="U180" s="6">
        <v>0</v>
      </c>
      <c r="V180" s="6">
        <v>0</v>
      </c>
      <c r="W180" s="6">
        <v>0</v>
      </c>
      <c r="X180" s="7"/>
      <c r="Y180" s="7"/>
      <c r="Z180" s="6">
        <v>0</v>
      </c>
      <c r="AA180" s="4"/>
      <c r="AB180" s="4"/>
      <c r="AC180" s="4"/>
      <c r="AD180" s="4"/>
      <c r="AE180" s="6">
        <v>575475.93999999994</v>
      </c>
      <c r="AF180" s="6">
        <v>135493.06</v>
      </c>
      <c r="AG180" s="48"/>
      <c r="AH180" s="44" cm="1">
        <f t="array" ref="AH180">IFERROR(SUMPRODUCT(AF177:AF179*--(((AI177:AI179=TRUE)+(AI177:AI179=1))&gt;0)),0)</f>
        <v>132993.47</v>
      </c>
      <c r="AI180" s="54">
        <f>SUMIF(AI177:AI179,TRUE,H177:H179)/H180</f>
        <v>0.9815408795057573</v>
      </c>
      <c r="AJ180" s="6"/>
      <c r="AK180" s="50"/>
    </row>
    <row r="181" spans="1:37" x14ac:dyDescent="0.35">
      <c r="A181" s="12" t="s">
        <v>33</v>
      </c>
      <c r="B181" s="12">
        <v>100108769</v>
      </c>
      <c r="C181" s="13" t="s">
        <v>329</v>
      </c>
      <c r="D181" s="13" t="s">
        <v>330</v>
      </c>
      <c r="E181" s="12">
        <v>9700023242</v>
      </c>
      <c r="F181" s="13" t="s">
        <v>331</v>
      </c>
      <c r="G181" s="12" t="s">
        <v>37</v>
      </c>
      <c r="H181" s="14">
        <v>3744.96</v>
      </c>
      <c r="I181" s="15">
        <v>46130</v>
      </c>
      <c r="J181" s="12" t="str">
        <f t="shared" ca="1" si="3"/>
        <v>0-30</v>
      </c>
      <c r="K181" s="14">
        <v>3744.96</v>
      </c>
      <c r="L181" s="16">
        <v>46100</v>
      </c>
      <c r="M181" s="13" t="s">
        <v>38</v>
      </c>
      <c r="N181" s="13" t="s">
        <v>39</v>
      </c>
      <c r="O181" s="13" t="s">
        <v>40</v>
      </c>
      <c r="P181" s="13"/>
      <c r="Q181" s="13" t="s">
        <v>41</v>
      </c>
      <c r="R181" s="13" t="s">
        <v>42</v>
      </c>
      <c r="S181" s="17">
        <v>13753.37</v>
      </c>
      <c r="T181" s="17">
        <v>0</v>
      </c>
      <c r="U181" s="17">
        <v>0</v>
      </c>
      <c r="V181" s="17">
        <v>0</v>
      </c>
      <c r="W181" s="17">
        <v>0</v>
      </c>
      <c r="X181" s="17">
        <v>0</v>
      </c>
      <c r="Y181" s="17">
        <v>0</v>
      </c>
      <c r="Z181" s="17">
        <v>0</v>
      </c>
      <c r="AA181" s="13" t="s">
        <v>332</v>
      </c>
      <c r="AB181" s="13" t="s">
        <v>44</v>
      </c>
      <c r="AC181" s="13" t="s">
        <v>45</v>
      </c>
      <c r="AD181" s="13" t="s">
        <v>46</v>
      </c>
      <c r="AE181" s="17">
        <v>13753.37</v>
      </c>
      <c r="AF181" s="17">
        <v>3262.73</v>
      </c>
      <c r="AG181" s="47" t="s">
        <v>890</v>
      </c>
      <c r="AH181" s="20" t="e">
        <v>#N/A</v>
      </c>
      <c r="AI181" s="19" t="b">
        <v>1</v>
      </c>
      <c r="AJ181" s="18" t="s">
        <v>874</v>
      </c>
      <c r="AK181" s="49" t="s">
        <v>815</v>
      </c>
    </row>
    <row r="182" spans="1:37" x14ac:dyDescent="0.35">
      <c r="A182" s="12" t="s">
        <v>33</v>
      </c>
      <c r="B182" s="12">
        <v>100108769</v>
      </c>
      <c r="C182" s="13" t="s">
        <v>329</v>
      </c>
      <c r="D182" s="13" t="s">
        <v>330</v>
      </c>
      <c r="E182" s="12">
        <v>9700025714</v>
      </c>
      <c r="F182" s="13" t="s">
        <v>333</v>
      </c>
      <c r="G182" s="12" t="s">
        <v>37</v>
      </c>
      <c r="H182" s="14">
        <v>4250.62</v>
      </c>
      <c r="I182" s="15">
        <v>46141</v>
      </c>
      <c r="J182" s="12" t="str">
        <f t="shared" ca="1" si="3"/>
        <v>Current</v>
      </c>
      <c r="K182" s="14">
        <v>4250.62</v>
      </c>
      <c r="L182" s="16">
        <v>46111</v>
      </c>
      <c r="M182" s="13" t="s">
        <v>38</v>
      </c>
      <c r="N182" s="13" t="s">
        <v>39</v>
      </c>
      <c r="O182" s="13" t="s">
        <v>40</v>
      </c>
      <c r="P182" s="13"/>
      <c r="Q182" s="13" t="s">
        <v>41</v>
      </c>
      <c r="R182" s="13" t="s">
        <v>42</v>
      </c>
      <c r="S182" s="17">
        <v>15610.4</v>
      </c>
      <c r="T182" s="17">
        <v>0</v>
      </c>
      <c r="U182" s="17">
        <v>0</v>
      </c>
      <c r="V182" s="17">
        <v>0</v>
      </c>
      <c r="W182" s="17">
        <v>0</v>
      </c>
      <c r="X182" s="17">
        <v>0</v>
      </c>
      <c r="Y182" s="17">
        <v>0</v>
      </c>
      <c r="Z182" s="17">
        <v>0</v>
      </c>
      <c r="AA182" s="13" t="s">
        <v>334</v>
      </c>
      <c r="AB182" s="13" t="s">
        <v>44</v>
      </c>
      <c r="AC182" s="13" t="s">
        <v>45</v>
      </c>
      <c r="AD182" s="13" t="s">
        <v>46</v>
      </c>
      <c r="AE182" s="17">
        <v>15610.4</v>
      </c>
      <c r="AF182" s="17">
        <v>3673.19</v>
      </c>
      <c r="AG182" s="47" t="s">
        <v>876</v>
      </c>
      <c r="AH182" s="20" t="e">
        <v>#N/A</v>
      </c>
      <c r="AI182" s="19" t="b">
        <v>1</v>
      </c>
      <c r="AJ182" s="18" t="s">
        <v>874</v>
      </c>
      <c r="AK182" s="49" t="s">
        <v>815</v>
      </c>
    </row>
    <row r="183" spans="1:37" ht="16.5" x14ac:dyDescent="0.4">
      <c r="A183" s="3"/>
      <c r="B183" s="3"/>
      <c r="C183" s="4"/>
      <c r="D183" s="4" t="s">
        <v>330</v>
      </c>
      <c r="E183" s="3"/>
      <c r="F183" s="4"/>
      <c r="G183" s="4"/>
      <c r="H183" s="43">
        <f>SUM(H181:H182)</f>
        <v>7995.58</v>
      </c>
      <c r="I183" s="5"/>
      <c r="J183" s="45" t="str">
        <f t="shared" ca="1" si="3"/>
        <v/>
      </c>
      <c r="K183" s="43">
        <f>SUM(K181:K182)</f>
        <v>7995.58</v>
      </c>
      <c r="L183" s="9"/>
      <c r="M183" s="4"/>
      <c r="N183" s="4"/>
      <c r="O183" s="4"/>
      <c r="P183" s="4"/>
      <c r="Q183" s="4"/>
      <c r="R183" s="4" t="s">
        <v>42</v>
      </c>
      <c r="S183" s="6">
        <v>29363.77</v>
      </c>
      <c r="T183" s="6">
        <v>0</v>
      </c>
      <c r="U183" s="6">
        <v>0</v>
      </c>
      <c r="V183" s="6">
        <v>0</v>
      </c>
      <c r="W183" s="6">
        <v>0</v>
      </c>
      <c r="X183" s="7"/>
      <c r="Y183" s="7"/>
      <c r="Z183" s="6">
        <v>0</v>
      </c>
      <c r="AA183" s="4"/>
      <c r="AB183" s="4"/>
      <c r="AC183" s="4"/>
      <c r="AD183" s="4"/>
      <c r="AE183" s="6">
        <v>29363.77</v>
      </c>
      <c r="AF183" s="6">
        <v>6935.92</v>
      </c>
      <c r="AG183" s="48"/>
      <c r="AH183" s="44" cm="1">
        <f t="array" ref="AH183">IFERROR(SUMPRODUCT(AF181:AF182*--(((AI181:AI182=TRUE)+(AI181:AI182=1))&gt;0)),0)</f>
        <v>6935.92</v>
      </c>
      <c r="AI183" s="54">
        <f>SUMIF(AI181:AI182,TRUE,H181:H182)/H183</f>
        <v>1</v>
      </c>
      <c r="AJ183" s="6"/>
      <c r="AK183" s="50"/>
    </row>
    <row r="184" spans="1:37" x14ac:dyDescent="0.35">
      <c r="A184" s="12" t="s">
        <v>33</v>
      </c>
      <c r="B184" s="12">
        <v>100115215</v>
      </c>
      <c r="C184" s="13" t="s">
        <v>335</v>
      </c>
      <c r="D184" s="13" t="s">
        <v>336</v>
      </c>
      <c r="E184" s="12">
        <v>9700018675</v>
      </c>
      <c r="F184" s="13" t="s">
        <v>337</v>
      </c>
      <c r="G184" s="12" t="s">
        <v>37</v>
      </c>
      <c r="H184" s="14">
        <v>10472.69</v>
      </c>
      <c r="I184" s="15">
        <v>46115</v>
      </c>
      <c r="J184" s="12" t="str">
        <f t="shared" ca="1" si="3"/>
        <v>0-30</v>
      </c>
      <c r="K184" s="14">
        <v>10472.69</v>
      </c>
      <c r="L184" s="16">
        <v>46085</v>
      </c>
      <c r="M184" s="13" t="s">
        <v>38</v>
      </c>
      <c r="N184" s="13" t="s">
        <v>39</v>
      </c>
      <c r="O184" s="13" t="s">
        <v>40</v>
      </c>
      <c r="P184" s="13"/>
      <c r="Q184" s="13" t="s">
        <v>41</v>
      </c>
      <c r="R184" s="13" t="s">
        <v>42</v>
      </c>
      <c r="S184" s="17">
        <v>38460.949999999997</v>
      </c>
      <c r="T184" s="17">
        <v>0</v>
      </c>
      <c r="U184" s="17">
        <v>0</v>
      </c>
      <c r="V184" s="17">
        <v>0</v>
      </c>
      <c r="W184" s="17">
        <v>0</v>
      </c>
      <c r="X184" s="17">
        <v>0</v>
      </c>
      <c r="Y184" s="17">
        <v>0</v>
      </c>
      <c r="Z184" s="17">
        <v>0</v>
      </c>
      <c r="AA184" s="13" t="s">
        <v>338</v>
      </c>
      <c r="AB184" s="13" t="s">
        <v>44</v>
      </c>
      <c r="AC184" s="13" t="s">
        <v>45</v>
      </c>
      <c r="AD184" s="13" t="s">
        <v>46</v>
      </c>
      <c r="AE184" s="17">
        <v>38460.949999999997</v>
      </c>
      <c r="AF184" s="17">
        <v>8871.4</v>
      </c>
      <c r="AG184" s="47" t="s">
        <v>887</v>
      </c>
      <c r="AH184" s="20" t="e">
        <v>#N/A</v>
      </c>
      <c r="AI184" s="19" t="b">
        <v>1</v>
      </c>
      <c r="AJ184" s="18" t="s">
        <v>874</v>
      </c>
      <c r="AK184" s="49" t="s">
        <v>815</v>
      </c>
    </row>
    <row r="185" spans="1:37" ht="16.5" x14ac:dyDescent="0.4">
      <c r="A185" s="3"/>
      <c r="B185" s="3"/>
      <c r="C185" s="4"/>
      <c r="D185" s="4" t="s">
        <v>336</v>
      </c>
      <c r="E185" s="3"/>
      <c r="F185" s="4"/>
      <c r="G185" s="4"/>
      <c r="H185" s="43">
        <f>SUM(H184:H184)</f>
        <v>10472.69</v>
      </c>
      <c r="I185" s="5"/>
      <c r="J185" s="45" t="str">
        <f t="shared" ca="1" si="3"/>
        <v/>
      </c>
      <c r="K185" s="43">
        <f>SUM(K184:K184)</f>
        <v>10472.69</v>
      </c>
      <c r="L185" s="9"/>
      <c r="M185" s="4"/>
      <c r="N185" s="4"/>
      <c r="O185" s="4"/>
      <c r="P185" s="4"/>
      <c r="Q185" s="4"/>
      <c r="R185" s="4" t="s">
        <v>42</v>
      </c>
      <c r="S185" s="6">
        <v>38460.949999999997</v>
      </c>
      <c r="T185" s="6">
        <v>0</v>
      </c>
      <c r="U185" s="6">
        <v>0</v>
      </c>
      <c r="V185" s="6">
        <v>0</v>
      </c>
      <c r="W185" s="6">
        <v>0</v>
      </c>
      <c r="X185" s="7"/>
      <c r="Y185" s="7"/>
      <c r="Z185" s="6">
        <v>0</v>
      </c>
      <c r="AA185" s="4"/>
      <c r="AB185" s="4"/>
      <c r="AC185" s="4"/>
      <c r="AD185" s="4"/>
      <c r="AE185" s="6">
        <v>38460.949999999997</v>
      </c>
      <c r="AF185" s="6">
        <v>8871.4</v>
      </c>
      <c r="AG185" s="48"/>
      <c r="AH185" s="44" cm="1">
        <f t="array" ref="AH185">IFERROR(SUMPRODUCT(AF184:AF184*--(((AI184:AI184=TRUE)+(AI184:AI184=1))&gt;0)),0)</f>
        <v>8871.4</v>
      </c>
      <c r="AI185" s="54">
        <f>SUMIF(AI184:AI184,TRUE,H184:H184)/H185</f>
        <v>1</v>
      </c>
      <c r="AJ185" s="6"/>
      <c r="AK185" s="50"/>
    </row>
    <row r="186" spans="1:37" x14ac:dyDescent="0.35">
      <c r="A186" s="12" t="s">
        <v>33</v>
      </c>
      <c r="B186" s="12">
        <v>100120687</v>
      </c>
      <c r="C186" s="13" t="s">
        <v>339</v>
      </c>
      <c r="D186" s="13" t="s">
        <v>340</v>
      </c>
      <c r="E186" s="12">
        <v>9700006502</v>
      </c>
      <c r="F186" s="13" t="s">
        <v>341</v>
      </c>
      <c r="G186" s="12" t="s">
        <v>37</v>
      </c>
      <c r="H186" s="14">
        <v>60000</v>
      </c>
      <c r="I186" s="15">
        <v>46074</v>
      </c>
      <c r="J186" s="12" t="str">
        <f t="shared" ca="1" si="3"/>
        <v>61-90</v>
      </c>
      <c r="K186" s="14">
        <v>60000</v>
      </c>
      <c r="L186" s="16">
        <v>46044</v>
      </c>
      <c r="M186" s="13" t="s">
        <v>38</v>
      </c>
      <c r="N186" s="13" t="s">
        <v>39</v>
      </c>
      <c r="O186" s="13" t="s">
        <v>40</v>
      </c>
      <c r="P186" s="13"/>
      <c r="Q186" s="13" t="s">
        <v>41</v>
      </c>
      <c r="R186" s="13" t="s">
        <v>42</v>
      </c>
      <c r="S186" s="17">
        <v>0</v>
      </c>
      <c r="T186" s="17">
        <v>0</v>
      </c>
      <c r="U186" s="17">
        <v>220350</v>
      </c>
      <c r="V186" s="17">
        <v>0</v>
      </c>
      <c r="W186" s="17">
        <v>0</v>
      </c>
      <c r="X186" s="17">
        <v>0</v>
      </c>
      <c r="Y186" s="17">
        <v>220350</v>
      </c>
      <c r="Z186" s="17">
        <v>0</v>
      </c>
      <c r="AA186" s="13" t="s">
        <v>342</v>
      </c>
      <c r="AB186" s="13" t="s">
        <v>44</v>
      </c>
      <c r="AC186" s="13" t="s">
        <v>45</v>
      </c>
      <c r="AD186" s="13" t="s">
        <v>46</v>
      </c>
      <c r="AE186" s="17">
        <v>220350</v>
      </c>
      <c r="AF186" s="17">
        <v>51111.68</v>
      </c>
      <c r="AG186" s="47" t="e">
        <v>#N/A</v>
      </c>
      <c r="AH186" s="20" t="s">
        <v>804</v>
      </c>
      <c r="AI186" s="19" t="b">
        <v>0</v>
      </c>
      <c r="AJ186" s="18" t="s">
        <v>865</v>
      </c>
      <c r="AK186" s="49" t="s">
        <v>966</v>
      </c>
    </row>
    <row r="187" spans="1:37" x14ac:dyDescent="0.35">
      <c r="A187" s="12" t="s">
        <v>33</v>
      </c>
      <c r="B187" s="12">
        <v>100120687</v>
      </c>
      <c r="C187" s="13" t="s">
        <v>339</v>
      </c>
      <c r="D187" s="13" t="s">
        <v>340</v>
      </c>
      <c r="E187" s="12">
        <v>9700022672</v>
      </c>
      <c r="F187" s="13" t="s">
        <v>343</v>
      </c>
      <c r="G187" s="12" t="s">
        <v>37</v>
      </c>
      <c r="H187" s="14">
        <v>125.35</v>
      </c>
      <c r="I187" s="15">
        <v>46128</v>
      </c>
      <c r="J187" s="12" t="str">
        <f t="shared" ca="1" si="3"/>
        <v>0-30</v>
      </c>
      <c r="K187" s="14">
        <v>125.35</v>
      </c>
      <c r="L187" s="16">
        <v>46098</v>
      </c>
      <c r="M187" s="13" t="s">
        <v>38</v>
      </c>
      <c r="N187" s="13" t="s">
        <v>39</v>
      </c>
      <c r="O187" s="13" t="s">
        <v>40</v>
      </c>
      <c r="P187" s="13"/>
      <c r="Q187" s="13" t="s">
        <v>41</v>
      </c>
      <c r="R187" s="13" t="s">
        <v>42</v>
      </c>
      <c r="S187" s="17">
        <v>460.35</v>
      </c>
      <c r="T187" s="17">
        <v>0</v>
      </c>
      <c r="U187" s="17">
        <v>0</v>
      </c>
      <c r="V187" s="17">
        <v>0</v>
      </c>
      <c r="W187" s="17">
        <v>0</v>
      </c>
      <c r="X187" s="17">
        <v>0</v>
      </c>
      <c r="Y187" s="17">
        <v>0</v>
      </c>
      <c r="Z187" s="17">
        <v>0</v>
      </c>
      <c r="AA187" s="13" t="s">
        <v>344</v>
      </c>
      <c r="AB187" s="13" t="s">
        <v>44</v>
      </c>
      <c r="AC187" s="13" t="s">
        <v>45</v>
      </c>
      <c r="AD187" s="13" t="s">
        <v>46</v>
      </c>
      <c r="AE187" s="17">
        <v>460.35</v>
      </c>
      <c r="AF187" s="17">
        <v>109.23</v>
      </c>
      <c r="AG187" s="47" t="s">
        <v>876</v>
      </c>
      <c r="AH187" s="20" t="e">
        <v>#N/A</v>
      </c>
      <c r="AI187" s="19" t="b">
        <v>0</v>
      </c>
      <c r="AJ187" s="18" t="s">
        <v>868</v>
      </c>
      <c r="AK187" s="49" t="s">
        <v>1273</v>
      </c>
    </row>
    <row r="188" spans="1:37" ht="16.5" x14ac:dyDescent="0.4">
      <c r="A188" s="3"/>
      <c r="B188" s="3"/>
      <c r="C188" s="4"/>
      <c r="D188" s="4" t="s">
        <v>340</v>
      </c>
      <c r="E188" s="3"/>
      <c r="F188" s="4"/>
      <c r="G188" s="4"/>
      <c r="H188" s="43">
        <f>SUM(H186:H187)</f>
        <v>60125.35</v>
      </c>
      <c r="I188" s="5"/>
      <c r="J188" s="45" t="str">
        <f t="shared" ca="1" si="3"/>
        <v/>
      </c>
      <c r="K188" s="43">
        <f>SUM(K186:K187)</f>
        <v>60125.35</v>
      </c>
      <c r="L188" s="9"/>
      <c r="M188" s="4"/>
      <c r="N188" s="4"/>
      <c r="O188" s="4"/>
      <c r="P188" s="4"/>
      <c r="Q188" s="4"/>
      <c r="R188" s="4" t="s">
        <v>42</v>
      </c>
      <c r="S188" s="6">
        <v>460.35</v>
      </c>
      <c r="T188" s="6">
        <v>0</v>
      </c>
      <c r="U188" s="6">
        <v>220350</v>
      </c>
      <c r="V188" s="6">
        <v>0</v>
      </c>
      <c r="W188" s="6">
        <v>0</v>
      </c>
      <c r="X188" s="7"/>
      <c r="Y188" s="7"/>
      <c r="Z188" s="6">
        <v>0</v>
      </c>
      <c r="AA188" s="4"/>
      <c r="AB188" s="4"/>
      <c r="AC188" s="4"/>
      <c r="AD188" s="4"/>
      <c r="AE188" s="6">
        <v>220810.35</v>
      </c>
      <c r="AF188" s="6">
        <v>51220.91</v>
      </c>
      <c r="AG188" s="48"/>
      <c r="AH188" s="44" cm="1">
        <f t="array" ref="AH188">IFERROR(SUMPRODUCT(AF186:AF187*--(((AI186:AI187=TRUE)+(AI186:AI187=1))&gt;0)),0)</f>
        <v>0</v>
      </c>
      <c r="AI188" s="54">
        <f>SUMIF(AI186:AI187,TRUE,H186:H187)/H188</f>
        <v>0</v>
      </c>
      <c r="AJ188" s="6"/>
      <c r="AK188" s="50"/>
    </row>
    <row r="189" spans="1:37" x14ac:dyDescent="0.35">
      <c r="A189" s="12" t="s">
        <v>33</v>
      </c>
      <c r="B189" s="12">
        <v>100115001</v>
      </c>
      <c r="C189" s="13" t="s">
        <v>345</v>
      </c>
      <c r="D189" s="13" t="s">
        <v>346</v>
      </c>
      <c r="E189" s="12">
        <v>9700022648</v>
      </c>
      <c r="F189" s="13" t="s">
        <v>347</v>
      </c>
      <c r="G189" s="12" t="s">
        <v>37</v>
      </c>
      <c r="H189" s="14">
        <v>1348.6</v>
      </c>
      <c r="I189" s="15">
        <v>46128</v>
      </c>
      <c r="J189" s="12" t="str">
        <f t="shared" ca="1" si="3"/>
        <v>0-30</v>
      </c>
      <c r="K189" s="14">
        <v>1348.6</v>
      </c>
      <c r="L189" s="16">
        <v>46098</v>
      </c>
      <c r="M189" s="13" t="s">
        <v>38</v>
      </c>
      <c r="N189" s="13" t="s">
        <v>39</v>
      </c>
      <c r="O189" s="13" t="s">
        <v>40</v>
      </c>
      <c r="P189" s="13"/>
      <c r="Q189" s="13" t="s">
        <v>41</v>
      </c>
      <c r="R189" s="13" t="s">
        <v>42</v>
      </c>
      <c r="S189" s="17">
        <v>4952.7299999999996</v>
      </c>
      <c r="T189" s="17">
        <v>0</v>
      </c>
      <c r="U189" s="17">
        <v>0</v>
      </c>
      <c r="V189" s="17">
        <v>0</v>
      </c>
      <c r="W189" s="17">
        <v>0</v>
      </c>
      <c r="X189" s="17">
        <v>0</v>
      </c>
      <c r="Y189" s="17">
        <v>0</v>
      </c>
      <c r="Z189" s="17">
        <v>0</v>
      </c>
      <c r="AA189" s="13" t="s">
        <v>348</v>
      </c>
      <c r="AB189" s="13" t="s">
        <v>44</v>
      </c>
      <c r="AC189" s="13" t="s">
        <v>45</v>
      </c>
      <c r="AD189" s="13" t="s">
        <v>46</v>
      </c>
      <c r="AE189" s="17">
        <v>4952.7299999999996</v>
      </c>
      <c r="AF189" s="17">
        <v>1175.1500000000001</v>
      </c>
      <c r="AG189" s="47" t="s">
        <v>876</v>
      </c>
      <c r="AH189" s="20" t="e">
        <v>#N/A</v>
      </c>
      <c r="AI189" s="19" t="b">
        <v>1</v>
      </c>
      <c r="AJ189" s="18" t="s">
        <v>874</v>
      </c>
      <c r="AK189" s="49" t="s">
        <v>815</v>
      </c>
    </row>
    <row r="190" spans="1:37" x14ac:dyDescent="0.35">
      <c r="A190" s="12" t="s">
        <v>33</v>
      </c>
      <c r="B190" s="12">
        <v>100115001</v>
      </c>
      <c r="C190" s="13" t="s">
        <v>345</v>
      </c>
      <c r="D190" s="13" t="s">
        <v>346</v>
      </c>
      <c r="E190" s="12">
        <v>9700025732</v>
      </c>
      <c r="F190" s="13" t="s">
        <v>349</v>
      </c>
      <c r="G190" s="12" t="s">
        <v>37</v>
      </c>
      <c r="H190" s="14">
        <v>1320.18</v>
      </c>
      <c r="I190" s="15">
        <v>46141</v>
      </c>
      <c r="J190" s="12" t="str">
        <f t="shared" ca="1" si="3"/>
        <v>Current</v>
      </c>
      <c r="K190" s="14">
        <v>1320.18</v>
      </c>
      <c r="L190" s="16">
        <v>46111</v>
      </c>
      <c r="M190" s="13" t="s">
        <v>38</v>
      </c>
      <c r="N190" s="13" t="s">
        <v>39</v>
      </c>
      <c r="O190" s="13" t="s">
        <v>40</v>
      </c>
      <c r="P190" s="13"/>
      <c r="Q190" s="13" t="s">
        <v>41</v>
      </c>
      <c r="R190" s="13" t="s">
        <v>42</v>
      </c>
      <c r="S190" s="17">
        <v>4848.3599999999997</v>
      </c>
      <c r="T190" s="17">
        <v>0</v>
      </c>
      <c r="U190" s="17">
        <v>0</v>
      </c>
      <c r="V190" s="17">
        <v>0</v>
      </c>
      <c r="W190" s="17">
        <v>0</v>
      </c>
      <c r="X190" s="17">
        <v>0</v>
      </c>
      <c r="Y190" s="17">
        <v>0</v>
      </c>
      <c r="Z190" s="17">
        <v>0</v>
      </c>
      <c r="AA190" s="13" t="s">
        <v>348</v>
      </c>
      <c r="AB190" s="13" t="s">
        <v>44</v>
      </c>
      <c r="AC190" s="13" t="s">
        <v>45</v>
      </c>
      <c r="AD190" s="13" t="s">
        <v>46</v>
      </c>
      <c r="AE190" s="17">
        <v>4848.3599999999997</v>
      </c>
      <c r="AF190" s="17">
        <v>1140.8399999999999</v>
      </c>
      <c r="AG190" s="47" t="s">
        <v>876</v>
      </c>
      <c r="AH190" s="20" t="e">
        <v>#N/A</v>
      </c>
      <c r="AI190" s="19" t="b">
        <v>0</v>
      </c>
      <c r="AJ190" s="18" t="s">
        <v>865</v>
      </c>
      <c r="AK190" s="49" t="s">
        <v>784</v>
      </c>
    </row>
    <row r="191" spans="1:37" ht="16.5" x14ac:dyDescent="0.4">
      <c r="A191" s="3"/>
      <c r="B191" s="3"/>
      <c r="C191" s="4"/>
      <c r="D191" s="4" t="s">
        <v>346</v>
      </c>
      <c r="E191" s="3"/>
      <c r="F191" s="4"/>
      <c r="G191" s="4"/>
      <c r="H191" s="43">
        <f>SUM(H189:H190)</f>
        <v>2668.7799999999997</v>
      </c>
      <c r="I191" s="5"/>
      <c r="J191" s="45" t="str">
        <f t="shared" ca="1" si="3"/>
        <v/>
      </c>
      <c r="K191" s="43">
        <f>SUM(K189:K190)</f>
        <v>2668.7799999999997</v>
      </c>
      <c r="L191" s="9"/>
      <c r="M191" s="4"/>
      <c r="N191" s="4"/>
      <c r="O191" s="4"/>
      <c r="P191" s="4"/>
      <c r="Q191" s="4"/>
      <c r="R191" s="4" t="s">
        <v>42</v>
      </c>
      <c r="S191" s="6">
        <v>9801.09</v>
      </c>
      <c r="T191" s="6">
        <v>0</v>
      </c>
      <c r="U191" s="6">
        <v>0</v>
      </c>
      <c r="V191" s="6">
        <v>0</v>
      </c>
      <c r="W191" s="6">
        <v>0</v>
      </c>
      <c r="X191" s="7"/>
      <c r="Y191" s="7"/>
      <c r="Z191" s="6">
        <v>0</v>
      </c>
      <c r="AA191" s="4"/>
      <c r="AB191" s="4"/>
      <c r="AC191" s="4"/>
      <c r="AD191" s="4"/>
      <c r="AE191" s="6">
        <v>9801.09</v>
      </c>
      <c r="AF191" s="6">
        <v>2315.9899999999998</v>
      </c>
      <c r="AG191" s="48"/>
      <c r="AH191" s="44" cm="1">
        <f t="array" ref="AH191">IFERROR(SUMPRODUCT(AF189:AF190*--(((AI189:AI190=TRUE)+(AI189:AI190=1))&gt;0)),0)</f>
        <v>1175.1500000000001</v>
      </c>
      <c r="AI191" s="54">
        <f>SUMIF(AI189:AI190,TRUE,H189:H190)/H191</f>
        <v>0.50532453030972957</v>
      </c>
      <c r="AJ191" s="6"/>
      <c r="AK191" s="50"/>
    </row>
    <row r="192" spans="1:37" x14ac:dyDescent="0.35">
      <c r="A192" s="12" t="s">
        <v>33</v>
      </c>
      <c r="B192" s="12">
        <v>100108363</v>
      </c>
      <c r="C192" s="13" t="s">
        <v>350</v>
      </c>
      <c r="D192" s="13" t="s">
        <v>351</v>
      </c>
      <c r="E192" s="12">
        <v>9700017638</v>
      </c>
      <c r="F192" s="13" t="s">
        <v>352</v>
      </c>
      <c r="G192" s="12" t="s">
        <v>37</v>
      </c>
      <c r="H192" s="14">
        <v>800.22</v>
      </c>
      <c r="I192" s="15">
        <v>46109</v>
      </c>
      <c r="J192" s="12" t="str">
        <f t="shared" ca="1" si="3"/>
        <v>31-60</v>
      </c>
      <c r="K192" s="14">
        <v>800.22</v>
      </c>
      <c r="L192" s="16">
        <v>46079</v>
      </c>
      <c r="M192" s="13" t="s">
        <v>38</v>
      </c>
      <c r="N192" s="13" t="s">
        <v>39</v>
      </c>
      <c r="O192" s="13" t="s">
        <v>40</v>
      </c>
      <c r="P192" s="13"/>
      <c r="Q192" s="13" t="s">
        <v>41</v>
      </c>
      <c r="R192" s="13" t="s">
        <v>42</v>
      </c>
      <c r="S192" s="17">
        <v>0</v>
      </c>
      <c r="T192" s="17">
        <v>2938.81</v>
      </c>
      <c r="U192" s="17">
        <v>0</v>
      </c>
      <c r="V192" s="17">
        <v>0</v>
      </c>
      <c r="W192" s="17">
        <v>0</v>
      </c>
      <c r="X192" s="17">
        <v>0</v>
      </c>
      <c r="Y192" s="17">
        <v>2938.81</v>
      </c>
      <c r="Z192" s="17">
        <v>0</v>
      </c>
      <c r="AA192" s="13" t="s">
        <v>353</v>
      </c>
      <c r="AB192" s="13" t="s">
        <v>44</v>
      </c>
      <c r="AC192" s="13" t="s">
        <v>45</v>
      </c>
      <c r="AD192" s="13" t="s">
        <v>46</v>
      </c>
      <c r="AE192" s="17">
        <v>2938.81</v>
      </c>
      <c r="AF192" s="17">
        <v>680.05</v>
      </c>
      <c r="AG192" s="47" t="s">
        <v>876</v>
      </c>
      <c r="AH192" s="20" t="s">
        <v>784</v>
      </c>
      <c r="AI192" s="19" t="b">
        <v>1</v>
      </c>
      <c r="AJ192" s="18" t="s">
        <v>874</v>
      </c>
      <c r="AK192" s="49" t="s">
        <v>815</v>
      </c>
    </row>
    <row r="193" spans="1:37" x14ac:dyDescent="0.35">
      <c r="A193" s="12" t="s">
        <v>33</v>
      </c>
      <c r="B193" s="12">
        <v>100108363</v>
      </c>
      <c r="C193" s="13" t="s">
        <v>350</v>
      </c>
      <c r="D193" s="13" t="s">
        <v>351</v>
      </c>
      <c r="E193" s="12">
        <v>9700026231</v>
      </c>
      <c r="F193" s="13" t="s">
        <v>354</v>
      </c>
      <c r="G193" s="12" t="s">
        <v>42</v>
      </c>
      <c r="H193" s="14">
        <v>38451.89</v>
      </c>
      <c r="I193" s="15">
        <v>46141</v>
      </c>
      <c r="J193" s="12" t="str">
        <f t="shared" ca="1" si="3"/>
        <v>Current</v>
      </c>
      <c r="K193" s="14">
        <v>38451.89</v>
      </c>
      <c r="L193" s="16">
        <v>46111</v>
      </c>
      <c r="M193" s="13" t="s">
        <v>38</v>
      </c>
      <c r="N193" s="13" t="s">
        <v>39</v>
      </c>
      <c r="O193" s="13" t="s">
        <v>40</v>
      </c>
      <c r="P193" s="13"/>
      <c r="Q193" s="13" t="s">
        <v>41</v>
      </c>
      <c r="R193" s="13" t="s">
        <v>42</v>
      </c>
      <c r="S193" s="17">
        <v>38451.89</v>
      </c>
      <c r="T193" s="17">
        <v>0</v>
      </c>
      <c r="U193" s="17">
        <v>0</v>
      </c>
      <c r="V193" s="17">
        <v>0</v>
      </c>
      <c r="W193" s="17">
        <v>0</v>
      </c>
      <c r="X193" s="17">
        <v>0</v>
      </c>
      <c r="Y193" s="17">
        <v>0</v>
      </c>
      <c r="Z193" s="17">
        <v>0</v>
      </c>
      <c r="AA193" s="13" t="s">
        <v>355</v>
      </c>
      <c r="AB193" s="13" t="s">
        <v>44</v>
      </c>
      <c r="AC193" s="13" t="s">
        <v>45</v>
      </c>
      <c r="AD193" s="13" t="s">
        <v>46</v>
      </c>
      <c r="AE193" s="17">
        <v>38451.89</v>
      </c>
      <c r="AF193" s="17">
        <v>9031.06</v>
      </c>
      <c r="AG193" s="47" t="s">
        <v>891</v>
      </c>
      <c r="AH193" s="20" t="e">
        <v>#N/A</v>
      </c>
      <c r="AI193" s="19" t="b">
        <v>0</v>
      </c>
      <c r="AJ193" s="18" t="s">
        <v>865</v>
      </c>
      <c r="AK193" s="49" t="s">
        <v>784</v>
      </c>
    </row>
    <row r="194" spans="1:37" ht="16.5" x14ac:dyDescent="0.4">
      <c r="A194" s="3"/>
      <c r="B194" s="3"/>
      <c r="C194" s="4"/>
      <c r="D194" s="4" t="s">
        <v>351</v>
      </c>
      <c r="E194" s="3"/>
      <c r="F194" s="4"/>
      <c r="G194" s="4"/>
      <c r="H194" s="43">
        <f>SUM(H192:H193)</f>
        <v>39252.11</v>
      </c>
      <c r="I194" s="5"/>
      <c r="J194" s="45" t="str">
        <f t="shared" ca="1" si="3"/>
        <v/>
      </c>
      <c r="K194" s="43">
        <f>SUM(K192:K193)</f>
        <v>39252.11</v>
      </c>
      <c r="L194" s="9"/>
      <c r="M194" s="4"/>
      <c r="N194" s="4"/>
      <c r="O194" s="4"/>
      <c r="P194" s="4"/>
      <c r="Q194" s="4"/>
      <c r="R194" s="4" t="s">
        <v>42</v>
      </c>
      <c r="S194" s="6">
        <v>38451.89</v>
      </c>
      <c r="T194" s="6">
        <v>2938.81</v>
      </c>
      <c r="U194" s="6">
        <v>0</v>
      </c>
      <c r="V194" s="6">
        <v>0</v>
      </c>
      <c r="W194" s="6">
        <v>0</v>
      </c>
      <c r="X194" s="7"/>
      <c r="Y194" s="7"/>
      <c r="Z194" s="6">
        <v>0</v>
      </c>
      <c r="AA194" s="4"/>
      <c r="AB194" s="4"/>
      <c r="AC194" s="4"/>
      <c r="AD194" s="4"/>
      <c r="AE194" s="6">
        <v>41390.699999999997</v>
      </c>
      <c r="AF194" s="6">
        <v>9711.11</v>
      </c>
      <c r="AG194" s="48"/>
      <c r="AH194" s="44" cm="1">
        <f t="array" ref="AH194">IFERROR(SUMPRODUCT(AF192:AF193*--(((AI192:AI193=TRUE)+(AI192:AI193=1))&gt;0)),0)</f>
        <v>680.05</v>
      </c>
      <c r="AI194" s="54">
        <f>SUMIF(AI192:AI193,TRUE,H192:H193)/H194</f>
        <v>2.0386674754554596E-2</v>
      </c>
      <c r="AJ194" s="6"/>
      <c r="AK194" s="50"/>
    </row>
    <row r="195" spans="1:37" x14ac:dyDescent="0.35">
      <c r="A195" s="12" t="s">
        <v>33</v>
      </c>
      <c r="B195" s="12">
        <v>100117719</v>
      </c>
      <c r="C195" s="13" t="s">
        <v>356</v>
      </c>
      <c r="D195" s="13" t="s">
        <v>357</v>
      </c>
      <c r="E195" s="12">
        <v>9700023066</v>
      </c>
      <c r="F195" s="13" t="s">
        <v>358</v>
      </c>
      <c r="G195" s="12" t="s">
        <v>37</v>
      </c>
      <c r="H195" s="14">
        <v>8127.08</v>
      </c>
      <c r="I195" s="15">
        <v>46129</v>
      </c>
      <c r="J195" s="12" t="str">
        <f t="shared" ca="1" si="3"/>
        <v>0-30</v>
      </c>
      <c r="K195" s="14">
        <v>8127.08</v>
      </c>
      <c r="L195" s="16">
        <v>46099</v>
      </c>
      <c r="M195" s="13" t="s">
        <v>38</v>
      </c>
      <c r="N195" s="13" t="s">
        <v>39</v>
      </c>
      <c r="O195" s="13" t="s">
        <v>40</v>
      </c>
      <c r="P195" s="13"/>
      <c r="Q195" s="13" t="s">
        <v>41</v>
      </c>
      <c r="R195" s="13" t="s">
        <v>42</v>
      </c>
      <c r="S195" s="17">
        <v>29846.7</v>
      </c>
      <c r="T195" s="17">
        <v>0</v>
      </c>
      <c r="U195" s="17">
        <v>0</v>
      </c>
      <c r="V195" s="17">
        <v>0</v>
      </c>
      <c r="W195" s="17">
        <v>0</v>
      </c>
      <c r="X195" s="17">
        <v>0</v>
      </c>
      <c r="Y195" s="17">
        <v>0</v>
      </c>
      <c r="Z195" s="17">
        <v>0</v>
      </c>
      <c r="AA195" s="13" t="s">
        <v>359</v>
      </c>
      <c r="AB195" s="13" t="s">
        <v>44</v>
      </c>
      <c r="AC195" s="13" t="s">
        <v>45</v>
      </c>
      <c r="AD195" s="13" t="s">
        <v>46</v>
      </c>
      <c r="AE195" s="17">
        <v>29846.7</v>
      </c>
      <c r="AF195" s="17">
        <v>7080.57</v>
      </c>
      <c r="AG195" s="47" t="s">
        <v>892</v>
      </c>
      <c r="AH195" s="20" t="e">
        <v>#N/A</v>
      </c>
      <c r="AI195" s="19" t="b">
        <v>0</v>
      </c>
      <c r="AJ195" s="18" t="s">
        <v>865</v>
      </c>
      <c r="AK195" s="49" t="s">
        <v>784</v>
      </c>
    </row>
    <row r="196" spans="1:37" x14ac:dyDescent="0.35">
      <c r="A196" s="12" t="s">
        <v>33</v>
      </c>
      <c r="B196" s="12">
        <v>100117719</v>
      </c>
      <c r="C196" s="13" t="s">
        <v>356</v>
      </c>
      <c r="D196" s="13" t="s">
        <v>357</v>
      </c>
      <c r="E196" s="12">
        <v>9700023067</v>
      </c>
      <c r="F196" s="13" t="s">
        <v>360</v>
      </c>
      <c r="G196" s="12" t="s">
        <v>37</v>
      </c>
      <c r="H196" s="14">
        <v>6995.9</v>
      </c>
      <c r="I196" s="15">
        <v>46129</v>
      </c>
      <c r="J196" s="12" t="str">
        <f t="shared" ca="1" si="3"/>
        <v>0-30</v>
      </c>
      <c r="K196" s="14">
        <v>6995.9</v>
      </c>
      <c r="L196" s="16">
        <v>46099</v>
      </c>
      <c r="M196" s="13" t="s">
        <v>38</v>
      </c>
      <c r="N196" s="13" t="s">
        <v>39</v>
      </c>
      <c r="O196" s="13" t="s">
        <v>40</v>
      </c>
      <c r="P196" s="13"/>
      <c r="Q196" s="13" t="s">
        <v>41</v>
      </c>
      <c r="R196" s="13" t="s">
        <v>42</v>
      </c>
      <c r="S196" s="17">
        <v>25692.44</v>
      </c>
      <c r="T196" s="17">
        <v>0</v>
      </c>
      <c r="U196" s="17">
        <v>0</v>
      </c>
      <c r="V196" s="17">
        <v>0</v>
      </c>
      <c r="W196" s="17">
        <v>0</v>
      </c>
      <c r="X196" s="17">
        <v>0</v>
      </c>
      <c r="Y196" s="17">
        <v>0</v>
      </c>
      <c r="Z196" s="17">
        <v>0</v>
      </c>
      <c r="AA196" s="13" t="s">
        <v>361</v>
      </c>
      <c r="AB196" s="13" t="s">
        <v>44</v>
      </c>
      <c r="AC196" s="13" t="s">
        <v>45</v>
      </c>
      <c r="AD196" s="13" t="s">
        <v>46</v>
      </c>
      <c r="AE196" s="17">
        <v>25692.44</v>
      </c>
      <c r="AF196" s="17">
        <v>6095.05</v>
      </c>
      <c r="AG196" s="47" t="s">
        <v>893</v>
      </c>
      <c r="AH196" s="20" t="e">
        <v>#N/A</v>
      </c>
      <c r="AI196" s="19" t="b">
        <v>0</v>
      </c>
      <c r="AJ196" s="18" t="s">
        <v>865</v>
      </c>
      <c r="AK196" s="49" t="s">
        <v>784</v>
      </c>
    </row>
    <row r="197" spans="1:37" x14ac:dyDescent="0.35">
      <c r="A197" s="12" t="s">
        <v>33</v>
      </c>
      <c r="B197" s="12">
        <v>100117719</v>
      </c>
      <c r="C197" s="13" t="s">
        <v>356</v>
      </c>
      <c r="D197" s="13" t="s">
        <v>357</v>
      </c>
      <c r="E197" s="12">
        <v>9700023091</v>
      </c>
      <c r="F197" s="13" t="s">
        <v>362</v>
      </c>
      <c r="G197" s="12" t="s">
        <v>37</v>
      </c>
      <c r="H197" s="14">
        <v>7823.2</v>
      </c>
      <c r="I197" s="15">
        <v>46130</v>
      </c>
      <c r="J197" s="12" t="str">
        <f t="shared" ca="1" si="3"/>
        <v>0-30</v>
      </c>
      <c r="K197" s="14">
        <v>7823.2</v>
      </c>
      <c r="L197" s="16">
        <v>46100</v>
      </c>
      <c r="M197" s="13" t="s">
        <v>38</v>
      </c>
      <c r="N197" s="13" t="s">
        <v>39</v>
      </c>
      <c r="O197" s="13" t="s">
        <v>40</v>
      </c>
      <c r="P197" s="13"/>
      <c r="Q197" s="13" t="s">
        <v>41</v>
      </c>
      <c r="R197" s="13" t="s">
        <v>42</v>
      </c>
      <c r="S197" s="17">
        <v>28730.7</v>
      </c>
      <c r="T197" s="17">
        <v>0</v>
      </c>
      <c r="U197" s="17">
        <v>0</v>
      </c>
      <c r="V197" s="17">
        <v>0</v>
      </c>
      <c r="W197" s="17">
        <v>0</v>
      </c>
      <c r="X197" s="17">
        <v>0</v>
      </c>
      <c r="Y197" s="17">
        <v>0</v>
      </c>
      <c r="Z197" s="17">
        <v>0</v>
      </c>
      <c r="AA197" s="13" t="s">
        <v>363</v>
      </c>
      <c r="AB197" s="13" t="s">
        <v>44</v>
      </c>
      <c r="AC197" s="13" t="s">
        <v>45</v>
      </c>
      <c r="AD197" s="13" t="s">
        <v>46</v>
      </c>
      <c r="AE197" s="17">
        <v>28730.7</v>
      </c>
      <c r="AF197" s="17">
        <v>6815.82</v>
      </c>
      <c r="AG197" s="47" t="s">
        <v>876</v>
      </c>
      <c r="AH197" s="20" t="e">
        <v>#N/A</v>
      </c>
      <c r="AI197" s="19" t="b">
        <v>0</v>
      </c>
      <c r="AJ197" s="18" t="s">
        <v>865</v>
      </c>
      <c r="AK197" s="49" t="s">
        <v>784</v>
      </c>
    </row>
    <row r="198" spans="1:37" x14ac:dyDescent="0.35">
      <c r="A198" s="12" t="s">
        <v>33</v>
      </c>
      <c r="B198" s="12">
        <v>100117719</v>
      </c>
      <c r="C198" s="13" t="s">
        <v>356</v>
      </c>
      <c r="D198" s="13" t="s">
        <v>357</v>
      </c>
      <c r="E198" s="12">
        <v>9700025749</v>
      </c>
      <c r="F198" s="13" t="s">
        <v>364</v>
      </c>
      <c r="G198" s="12" t="s">
        <v>37</v>
      </c>
      <c r="H198" s="14">
        <v>7767.51</v>
      </c>
      <c r="I198" s="15">
        <v>46141</v>
      </c>
      <c r="J198" s="12" t="str">
        <f t="shared" ca="1" si="3"/>
        <v>Current</v>
      </c>
      <c r="K198" s="14">
        <v>7767.51</v>
      </c>
      <c r="L198" s="16">
        <v>46111</v>
      </c>
      <c r="M198" s="13" t="s">
        <v>38</v>
      </c>
      <c r="N198" s="13" t="s">
        <v>39</v>
      </c>
      <c r="O198" s="13" t="s">
        <v>40</v>
      </c>
      <c r="P198" s="13"/>
      <c r="Q198" s="13" t="s">
        <v>41</v>
      </c>
      <c r="R198" s="13" t="s">
        <v>42</v>
      </c>
      <c r="S198" s="17">
        <v>28526.18</v>
      </c>
      <c r="T198" s="17">
        <v>0</v>
      </c>
      <c r="U198" s="17">
        <v>0</v>
      </c>
      <c r="V198" s="17">
        <v>0</v>
      </c>
      <c r="W198" s="17">
        <v>0</v>
      </c>
      <c r="X198" s="17">
        <v>0</v>
      </c>
      <c r="Y198" s="17">
        <v>0</v>
      </c>
      <c r="Z198" s="17">
        <v>0</v>
      </c>
      <c r="AA198" s="13" t="s">
        <v>363</v>
      </c>
      <c r="AB198" s="13" t="s">
        <v>44</v>
      </c>
      <c r="AC198" s="13" t="s">
        <v>45</v>
      </c>
      <c r="AD198" s="13" t="s">
        <v>46</v>
      </c>
      <c r="AE198" s="17">
        <v>28526.18</v>
      </c>
      <c r="AF198" s="17">
        <v>6712.33</v>
      </c>
      <c r="AG198" s="47" t="s">
        <v>876</v>
      </c>
      <c r="AH198" s="20" t="e">
        <v>#N/A</v>
      </c>
      <c r="AI198" s="19" t="b">
        <v>0</v>
      </c>
      <c r="AJ198" s="18" t="s">
        <v>865</v>
      </c>
      <c r="AK198" s="49" t="s">
        <v>784</v>
      </c>
    </row>
    <row r="199" spans="1:37" ht="16.5" x14ac:dyDescent="0.4">
      <c r="A199" s="3"/>
      <c r="B199" s="3"/>
      <c r="C199" s="4"/>
      <c r="D199" s="4" t="s">
        <v>357</v>
      </c>
      <c r="E199" s="3"/>
      <c r="F199" s="4"/>
      <c r="G199" s="4"/>
      <c r="H199" s="43">
        <f>SUM(H195:H198)</f>
        <v>30713.690000000002</v>
      </c>
      <c r="I199" s="5"/>
      <c r="J199" s="45" t="str">
        <f t="shared" ca="1" si="3"/>
        <v/>
      </c>
      <c r="K199" s="43">
        <f>SUM(K195:K198)</f>
        <v>30713.690000000002</v>
      </c>
      <c r="L199" s="9"/>
      <c r="M199" s="4"/>
      <c r="N199" s="4"/>
      <c r="O199" s="4"/>
      <c r="P199" s="4"/>
      <c r="Q199" s="4"/>
      <c r="R199" s="4" t="s">
        <v>42</v>
      </c>
      <c r="S199" s="6">
        <v>112796.02</v>
      </c>
      <c r="T199" s="6">
        <v>0</v>
      </c>
      <c r="U199" s="6">
        <v>0</v>
      </c>
      <c r="V199" s="6">
        <v>0</v>
      </c>
      <c r="W199" s="6">
        <v>0</v>
      </c>
      <c r="X199" s="7"/>
      <c r="Y199" s="7"/>
      <c r="Z199" s="6">
        <v>0</v>
      </c>
      <c r="AA199" s="4"/>
      <c r="AB199" s="4"/>
      <c r="AC199" s="4"/>
      <c r="AD199" s="4"/>
      <c r="AE199" s="6">
        <v>112796.02</v>
      </c>
      <c r="AF199" s="6">
        <v>26703.77</v>
      </c>
      <c r="AG199" s="48"/>
      <c r="AH199" s="44" cm="1">
        <f t="array" ref="AH199">IFERROR(SUMPRODUCT(AF195:AF198*--(((AI195:AI198=TRUE)+(AI195:AI198=1))&gt;0)),0)</f>
        <v>0</v>
      </c>
      <c r="AI199" s="54">
        <f>SUMIF(AI195:AI198,TRUE,H195:H198)/H199</f>
        <v>0</v>
      </c>
      <c r="AJ199" s="6"/>
      <c r="AK199" s="50"/>
    </row>
    <row r="200" spans="1:37" x14ac:dyDescent="0.35">
      <c r="A200" s="12" t="s">
        <v>33</v>
      </c>
      <c r="B200" s="12">
        <v>100108744</v>
      </c>
      <c r="C200" s="13" t="s">
        <v>365</v>
      </c>
      <c r="D200" s="13" t="s">
        <v>366</v>
      </c>
      <c r="E200" s="12">
        <v>9700002863</v>
      </c>
      <c r="F200" s="13" t="s">
        <v>367</v>
      </c>
      <c r="G200" s="12" t="s">
        <v>37</v>
      </c>
      <c r="H200" s="14">
        <v>161.34</v>
      </c>
      <c r="I200" s="15">
        <v>46067</v>
      </c>
      <c r="J200" s="12" t="str">
        <f t="shared" ca="1" si="3"/>
        <v>61-90</v>
      </c>
      <c r="K200" s="14">
        <v>161.34</v>
      </c>
      <c r="L200" s="16">
        <v>46037</v>
      </c>
      <c r="M200" s="13" t="s">
        <v>38</v>
      </c>
      <c r="N200" s="13" t="s">
        <v>39</v>
      </c>
      <c r="O200" s="13" t="s">
        <v>40</v>
      </c>
      <c r="P200" s="13"/>
      <c r="Q200" s="13" t="s">
        <v>41</v>
      </c>
      <c r="R200" s="13" t="s">
        <v>42</v>
      </c>
      <c r="S200" s="17">
        <v>0</v>
      </c>
      <c r="T200" s="17">
        <v>0</v>
      </c>
      <c r="U200" s="17">
        <v>592.52</v>
      </c>
      <c r="V200" s="17">
        <v>0</v>
      </c>
      <c r="W200" s="17">
        <v>0</v>
      </c>
      <c r="X200" s="17">
        <v>0</v>
      </c>
      <c r="Y200" s="17">
        <v>592.52</v>
      </c>
      <c r="Z200" s="17">
        <v>0</v>
      </c>
      <c r="AA200" s="13" t="s">
        <v>368</v>
      </c>
      <c r="AB200" s="13" t="s">
        <v>44</v>
      </c>
      <c r="AC200" s="13" t="s">
        <v>45</v>
      </c>
      <c r="AD200" s="13" t="s">
        <v>46</v>
      </c>
      <c r="AE200" s="17">
        <v>592.52</v>
      </c>
      <c r="AF200" s="17">
        <v>138.44</v>
      </c>
      <c r="AG200" s="47" t="s">
        <v>876</v>
      </c>
      <c r="AH200" s="20" t="s">
        <v>792</v>
      </c>
      <c r="AI200" s="19" t="b">
        <v>0</v>
      </c>
      <c r="AJ200" s="18" t="s">
        <v>868</v>
      </c>
      <c r="AK200" s="49" t="s">
        <v>792</v>
      </c>
    </row>
    <row r="201" spans="1:37" x14ac:dyDescent="0.35">
      <c r="A201" s="12" t="s">
        <v>33</v>
      </c>
      <c r="B201" s="12">
        <v>100108744</v>
      </c>
      <c r="C201" s="13" t="s">
        <v>365</v>
      </c>
      <c r="D201" s="13" t="s">
        <v>366</v>
      </c>
      <c r="E201" s="12">
        <v>9700003844</v>
      </c>
      <c r="F201" s="13" t="s">
        <v>369</v>
      </c>
      <c r="G201" s="12" t="s">
        <v>37</v>
      </c>
      <c r="H201" s="14">
        <v>162.91</v>
      </c>
      <c r="I201" s="15">
        <v>46071</v>
      </c>
      <c r="J201" s="12" t="str">
        <f t="shared" ca="1" si="3"/>
        <v>61-90</v>
      </c>
      <c r="K201" s="14">
        <v>162.91</v>
      </c>
      <c r="L201" s="16">
        <v>46041</v>
      </c>
      <c r="M201" s="13" t="s">
        <v>38</v>
      </c>
      <c r="N201" s="13" t="s">
        <v>39</v>
      </c>
      <c r="O201" s="13" t="s">
        <v>40</v>
      </c>
      <c r="P201" s="13"/>
      <c r="Q201" s="13" t="s">
        <v>41</v>
      </c>
      <c r="R201" s="13" t="s">
        <v>42</v>
      </c>
      <c r="S201" s="17">
        <v>0</v>
      </c>
      <c r="T201" s="17">
        <v>0</v>
      </c>
      <c r="U201" s="17">
        <v>598.29</v>
      </c>
      <c r="V201" s="17">
        <v>0</v>
      </c>
      <c r="W201" s="17">
        <v>0</v>
      </c>
      <c r="X201" s="17">
        <v>0</v>
      </c>
      <c r="Y201" s="17">
        <v>598.29</v>
      </c>
      <c r="Z201" s="17">
        <v>0</v>
      </c>
      <c r="AA201" s="13" t="s">
        <v>368</v>
      </c>
      <c r="AB201" s="13" t="s">
        <v>44</v>
      </c>
      <c r="AC201" s="13" t="s">
        <v>45</v>
      </c>
      <c r="AD201" s="13" t="s">
        <v>46</v>
      </c>
      <c r="AE201" s="17">
        <v>598.29</v>
      </c>
      <c r="AF201" s="17">
        <v>139.82</v>
      </c>
      <c r="AG201" s="47" t="s">
        <v>876</v>
      </c>
      <c r="AH201" s="20" t="s">
        <v>792</v>
      </c>
      <c r="AI201" s="19" t="b">
        <v>0</v>
      </c>
      <c r="AJ201" s="18" t="s">
        <v>868</v>
      </c>
      <c r="AK201" s="49" t="s">
        <v>792</v>
      </c>
    </row>
    <row r="202" spans="1:37" x14ac:dyDescent="0.35">
      <c r="A202" s="12" t="s">
        <v>33</v>
      </c>
      <c r="B202" s="12">
        <v>100108744</v>
      </c>
      <c r="C202" s="13" t="s">
        <v>365</v>
      </c>
      <c r="D202" s="13" t="s">
        <v>366</v>
      </c>
      <c r="E202" s="12">
        <v>9700012403</v>
      </c>
      <c r="F202" s="13" t="s">
        <v>370</v>
      </c>
      <c r="G202" s="12" t="s">
        <v>37</v>
      </c>
      <c r="H202" s="14">
        <v>166.85</v>
      </c>
      <c r="I202" s="15">
        <v>45737</v>
      </c>
      <c r="J202" s="12" t="str">
        <f t="shared" ca="1" si="3"/>
        <v>120 +</v>
      </c>
      <c r="K202" s="14">
        <v>166.85</v>
      </c>
      <c r="L202" s="16">
        <v>45707</v>
      </c>
      <c r="M202" s="13" t="s">
        <v>38</v>
      </c>
      <c r="N202" s="13" t="s">
        <v>39</v>
      </c>
      <c r="O202" s="13" t="s">
        <v>40</v>
      </c>
      <c r="P202" s="13"/>
      <c r="Q202" s="13" t="s">
        <v>41</v>
      </c>
      <c r="R202" s="13" t="s">
        <v>42</v>
      </c>
      <c r="S202" s="17">
        <v>0</v>
      </c>
      <c r="T202" s="17">
        <v>0</v>
      </c>
      <c r="U202" s="17">
        <v>0</v>
      </c>
      <c r="V202" s="17">
        <v>0</v>
      </c>
      <c r="W202" s="17">
        <v>0</v>
      </c>
      <c r="X202" s="17">
        <v>612.76</v>
      </c>
      <c r="Y202" s="17">
        <v>612.76</v>
      </c>
      <c r="Z202" s="17">
        <v>0</v>
      </c>
      <c r="AA202" s="13" t="s">
        <v>371</v>
      </c>
      <c r="AB202" s="13" t="s">
        <v>44</v>
      </c>
      <c r="AC202" s="13" t="s">
        <v>45</v>
      </c>
      <c r="AD202" s="13" t="s">
        <v>46</v>
      </c>
      <c r="AE202" s="17">
        <v>612.76</v>
      </c>
      <c r="AF202" s="17">
        <v>159.31</v>
      </c>
      <c r="AG202" s="47" t="s">
        <v>882</v>
      </c>
      <c r="AH202" s="20" t="s">
        <v>792</v>
      </c>
      <c r="AI202" s="19" t="b">
        <v>0</v>
      </c>
      <c r="AJ202" s="18" t="s">
        <v>868</v>
      </c>
      <c r="AK202" s="49" t="s">
        <v>792</v>
      </c>
    </row>
    <row r="203" spans="1:37" x14ac:dyDescent="0.35">
      <c r="A203" s="12" t="s">
        <v>33</v>
      </c>
      <c r="B203" s="12">
        <v>100108744</v>
      </c>
      <c r="C203" s="13" t="s">
        <v>365</v>
      </c>
      <c r="D203" s="13" t="s">
        <v>366</v>
      </c>
      <c r="E203" s="12">
        <v>9700012404</v>
      </c>
      <c r="F203" s="13" t="s">
        <v>372</v>
      </c>
      <c r="G203" s="12" t="s">
        <v>37</v>
      </c>
      <c r="H203" s="14">
        <v>90.02</v>
      </c>
      <c r="I203" s="15">
        <v>45737</v>
      </c>
      <c r="J203" s="12" t="str">
        <f t="shared" ca="1" si="3"/>
        <v>120 +</v>
      </c>
      <c r="K203" s="14">
        <v>90.02</v>
      </c>
      <c r="L203" s="16">
        <v>45707</v>
      </c>
      <c r="M203" s="13" t="s">
        <v>38</v>
      </c>
      <c r="N203" s="13" t="s">
        <v>39</v>
      </c>
      <c r="O203" s="13" t="s">
        <v>40</v>
      </c>
      <c r="P203" s="13"/>
      <c r="Q203" s="13" t="s">
        <v>41</v>
      </c>
      <c r="R203" s="13" t="s">
        <v>42</v>
      </c>
      <c r="S203" s="17">
        <v>0</v>
      </c>
      <c r="T203" s="17">
        <v>0</v>
      </c>
      <c r="U203" s="17">
        <v>0</v>
      </c>
      <c r="V203" s="17">
        <v>0</v>
      </c>
      <c r="W203" s="17">
        <v>0</v>
      </c>
      <c r="X203" s="17">
        <v>330.6</v>
      </c>
      <c r="Y203" s="17">
        <v>330.6</v>
      </c>
      <c r="Z203" s="17">
        <v>0</v>
      </c>
      <c r="AA203" s="13" t="s">
        <v>373</v>
      </c>
      <c r="AB203" s="13" t="s">
        <v>44</v>
      </c>
      <c r="AC203" s="13" t="s">
        <v>45</v>
      </c>
      <c r="AD203" s="13" t="s">
        <v>46</v>
      </c>
      <c r="AE203" s="17">
        <v>330.6</v>
      </c>
      <c r="AF203" s="17">
        <v>85.95</v>
      </c>
      <c r="AG203" s="47" t="s">
        <v>883</v>
      </c>
      <c r="AH203" s="20" t="s">
        <v>792</v>
      </c>
      <c r="AI203" s="19" t="b">
        <v>0</v>
      </c>
      <c r="AJ203" s="18" t="s">
        <v>868</v>
      </c>
      <c r="AK203" s="49" t="s">
        <v>792</v>
      </c>
    </row>
    <row r="204" spans="1:37" x14ac:dyDescent="0.35">
      <c r="A204" s="12" t="s">
        <v>33</v>
      </c>
      <c r="B204" s="12">
        <v>100108744</v>
      </c>
      <c r="C204" s="13" t="s">
        <v>365</v>
      </c>
      <c r="D204" s="13" t="s">
        <v>366</v>
      </c>
      <c r="E204" s="12">
        <v>9700019168</v>
      </c>
      <c r="F204" s="13" t="s">
        <v>374</v>
      </c>
      <c r="G204" s="12" t="s">
        <v>37</v>
      </c>
      <c r="H204" s="14">
        <v>180.41</v>
      </c>
      <c r="I204" s="15">
        <v>46115</v>
      </c>
      <c r="J204" s="12" t="str">
        <f t="shared" ca="1" si="3"/>
        <v>0-30</v>
      </c>
      <c r="K204" s="14">
        <v>180.41</v>
      </c>
      <c r="L204" s="16">
        <v>46085</v>
      </c>
      <c r="M204" s="13" t="s">
        <v>38</v>
      </c>
      <c r="N204" s="13" t="s">
        <v>39</v>
      </c>
      <c r="O204" s="13" t="s">
        <v>40</v>
      </c>
      <c r="P204" s="13"/>
      <c r="Q204" s="13" t="s">
        <v>41</v>
      </c>
      <c r="R204" s="13" t="s">
        <v>42</v>
      </c>
      <c r="S204" s="17">
        <v>662.56</v>
      </c>
      <c r="T204" s="17">
        <v>0</v>
      </c>
      <c r="U204" s="17">
        <v>0</v>
      </c>
      <c r="V204" s="17">
        <v>0</v>
      </c>
      <c r="W204" s="17">
        <v>0</v>
      </c>
      <c r="X204" s="17">
        <v>0</v>
      </c>
      <c r="Y204" s="17">
        <v>0</v>
      </c>
      <c r="Z204" s="17">
        <v>0</v>
      </c>
      <c r="AA204" s="13" t="s">
        <v>375</v>
      </c>
      <c r="AB204" s="13" t="s">
        <v>44</v>
      </c>
      <c r="AC204" s="13" t="s">
        <v>45</v>
      </c>
      <c r="AD204" s="13" t="s">
        <v>46</v>
      </c>
      <c r="AE204" s="17">
        <v>662.56</v>
      </c>
      <c r="AF204" s="17">
        <v>154.22</v>
      </c>
      <c r="AG204" s="47" t="s">
        <v>876</v>
      </c>
      <c r="AH204" s="20" t="e">
        <v>#N/A</v>
      </c>
      <c r="AI204" s="19" t="b">
        <v>0</v>
      </c>
      <c r="AJ204" s="18" t="s">
        <v>868</v>
      </c>
      <c r="AK204" s="49" t="s">
        <v>792</v>
      </c>
    </row>
    <row r="205" spans="1:37" x14ac:dyDescent="0.35">
      <c r="A205" s="12" t="s">
        <v>33</v>
      </c>
      <c r="B205" s="12">
        <v>100108744</v>
      </c>
      <c r="C205" s="13" t="s">
        <v>365</v>
      </c>
      <c r="D205" s="13" t="s">
        <v>366</v>
      </c>
      <c r="E205" s="12">
        <v>9700024343</v>
      </c>
      <c r="F205" s="13" t="s">
        <v>376</v>
      </c>
      <c r="G205" s="12" t="s">
        <v>37</v>
      </c>
      <c r="H205" s="14">
        <v>165.31</v>
      </c>
      <c r="I205" s="15">
        <v>46134</v>
      </c>
      <c r="J205" s="12" t="str">
        <f t="shared" ca="1" si="3"/>
        <v>0-30</v>
      </c>
      <c r="K205" s="14">
        <v>165.31</v>
      </c>
      <c r="L205" s="16">
        <v>46104</v>
      </c>
      <c r="M205" s="13" t="s">
        <v>38</v>
      </c>
      <c r="N205" s="13" t="s">
        <v>39</v>
      </c>
      <c r="O205" s="13" t="s">
        <v>40</v>
      </c>
      <c r="P205" s="13"/>
      <c r="Q205" s="13" t="s">
        <v>41</v>
      </c>
      <c r="R205" s="13" t="s">
        <v>42</v>
      </c>
      <c r="S205" s="17">
        <v>607.1</v>
      </c>
      <c r="T205" s="17">
        <v>0</v>
      </c>
      <c r="U205" s="17">
        <v>0</v>
      </c>
      <c r="V205" s="17">
        <v>0</v>
      </c>
      <c r="W205" s="17">
        <v>0</v>
      </c>
      <c r="X205" s="17">
        <v>0</v>
      </c>
      <c r="Y205" s="17">
        <v>0</v>
      </c>
      <c r="Z205" s="17">
        <v>0</v>
      </c>
      <c r="AA205" s="13" t="s">
        <v>368</v>
      </c>
      <c r="AB205" s="13" t="s">
        <v>44</v>
      </c>
      <c r="AC205" s="13" t="s">
        <v>45</v>
      </c>
      <c r="AD205" s="13" t="s">
        <v>46</v>
      </c>
      <c r="AE205" s="17">
        <v>607.1</v>
      </c>
      <c r="AF205" s="17">
        <v>143.06</v>
      </c>
      <c r="AG205" s="47" t="s">
        <v>876</v>
      </c>
      <c r="AH205" s="20" t="e">
        <v>#N/A</v>
      </c>
      <c r="AI205" s="19" t="b">
        <v>0</v>
      </c>
      <c r="AJ205" s="18" t="s">
        <v>868</v>
      </c>
      <c r="AK205" s="49" t="s">
        <v>792</v>
      </c>
    </row>
    <row r="206" spans="1:37" x14ac:dyDescent="0.35">
      <c r="A206" s="12" t="s">
        <v>33</v>
      </c>
      <c r="B206" s="12">
        <v>100108744</v>
      </c>
      <c r="C206" s="13" t="s">
        <v>365</v>
      </c>
      <c r="D206" s="13" t="s">
        <v>366</v>
      </c>
      <c r="E206" s="12">
        <v>9700025427</v>
      </c>
      <c r="F206" s="13" t="s">
        <v>377</v>
      </c>
      <c r="G206" s="12" t="s">
        <v>37</v>
      </c>
      <c r="H206" s="14">
        <v>236.78</v>
      </c>
      <c r="I206" s="15">
        <v>45793</v>
      </c>
      <c r="J206" s="12" t="str">
        <f t="shared" ca="1" si="3"/>
        <v>120 +</v>
      </c>
      <c r="K206" s="14">
        <v>236.78</v>
      </c>
      <c r="L206" s="16">
        <v>45763</v>
      </c>
      <c r="M206" s="13" t="s">
        <v>38</v>
      </c>
      <c r="N206" s="13" t="s">
        <v>39</v>
      </c>
      <c r="O206" s="13" t="s">
        <v>40</v>
      </c>
      <c r="P206" s="13"/>
      <c r="Q206" s="13" t="s">
        <v>41</v>
      </c>
      <c r="R206" s="13" t="s">
        <v>42</v>
      </c>
      <c r="S206" s="17">
        <v>0</v>
      </c>
      <c r="T206" s="17">
        <v>0</v>
      </c>
      <c r="U206" s="17">
        <v>0</v>
      </c>
      <c r="V206" s="17">
        <v>0</v>
      </c>
      <c r="W206" s="17">
        <v>0</v>
      </c>
      <c r="X206" s="17">
        <v>869.57</v>
      </c>
      <c r="Y206" s="17">
        <v>869.57</v>
      </c>
      <c r="Z206" s="17">
        <v>0</v>
      </c>
      <c r="AA206" s="13" t="s">
        <v>368</v>
      </c>
      <c r="AB206" s="13" t="s">
        <v>44</v>
      </c>
      <c r="AC206" s="13" t="s">
        <v>45</v>
      </c>
      <c r="AD206" s="13" t="s">
        <v>46</v>
      </c>
      <c r="AE206" s="17">
        <v>869.57</v>
      </c>
      <c r="AF206" s="17">
        <v>208.69</v>
      </c>
      <c r="AG206" s="47" t="s">
        <v>876</v>
      </c>
      <c r="AH206" s="20" t="s">
        <v>792</v>
      </c>
      <c r="AI206" s="19" t="b">
        <v>0</v>
      </c>
      <c r="AJ206" s="18" t="s">
        <v>868</v>
      </c>
      <c r="AK206" s="49" t="s">
        <v>792</v>
      </c>
    </row>
    <row r="207" spans="1:37" x14ac:dyDescent="0.35">
      <c r="A207" s="12" t="s">
        <v>33</v>
      </c>
      <c r="B207" s="12">
        <v>100108744</v>
      </c>
      <c r="C207" s="13" t="s">
        <v>365</v>
      </c>
      <c r="D207" s="13" t="s">
        <v>366</v>
      </c>
      <c r="E207" s="12">
        <v>9700025738</v>
      </c>
      <c r="F207" s="13" t="s">
        <v>378</v>
      </c>
      <c r="G207" s="12" t="s">
        <v>37</v>
      </c>
      <c r="H207" s="14">
        <v>172.75</v>
      </c>
      <c r="I207" s="15">
        <v>46141</v>
      </c>
      <c r="J207" s="12" t="str">
        <f t="shared" ca="1" si="3"/>
        <v>Current</v>
      </c>
      <c r="K207" s="14">
        <v>172.75</v>
      </c>
      <c r="L207" s="16">
        <v>46111</v>
      </c>
      <c r="M207" s="13" t="s">
        <v>38</v>
      </c>
      <c r="N207" s="13" t="s">
        <v>39</v>
      </c>
      <c r="O207" s="13" t="s">
        <v>40</v>
      </c>
      <c r="P207" s="13"/>
      <c r="Q207" s="13" t="s">
        <v>41</v>
      </c>
      <c r="R207" s="13" t="s">
        <v>42</v>
      </c>
      <c r="S207" s="17">
        <v>634.41999999999996</v>
      </c>
      <c r="T207" s="17">
        <v>0</v>
      </c>
      <c r="U207" s="17">
        <v>0</v>
      </c>
      <c r="V207" s="17">
        <v>0</v>
      </c>
      <c r="W207" s="17">
        <v>0</v>
      </c>
      <c r="X207" s="17">
        <v>0</v>
      </c>
      <c r="Y207" s="17">
        <v>0</v>
      </c>
      <c r="Z207" s="17">
        <v>0</v>
      </c>
      <c r="AA207" s="13" t="s">
        <v>375</v>
      </c>
      <c r="AB207" s="13" t="s">
        <v>44</v>
      </c>
      <c r="AC207" s="13" t="s">
        <v>45</v>
      </c>
      <c r="AD207" s="13" t="s">
        <v>46</v>
      </c>
      <c r="AE207" s="17">
        <v>634.41999999999996</v>
      </c>
      <c r="AF207" s="17">
        <v>149.28</v>
      </c>
      <c r="AG207" s="47" t="s">
        <v>876</v>
      </c>
      <c r="AH207" s="20" t="e">
        <v>#N/A</v>
      </c>
      <c r="AI207" s="19" t="b">
        <v>0</v>
      </c>
      <c r="AJ207" s="18" t="s">
        <v>868</v>
      </c>
      <c r="AK207" s="49" t="s">
        <v>792</v>
      </c>
    </row>
    <row r="208" spans="1:37" x14ac:dyDescent="0.35">
      <c r="A208" s="12" t="s">
        <v>33</v>
      </c>
      <c r="B208" s="12">
        <v>100108744</v>
      </c>
      <c r="C208" s="13" t="s">
        <v>365</v>
      </c>
      <c r="D208" s="13" t="s">
        <v>366</v>
      </c>
      <c r="E208" s="12">
        <v>9700034312</v>
      </c>
      <c r="F208" s="13" t="s">
        <v>379</v>
      </c>
      <c r="G208" s="12" t="s">
        <v>37</v>
      </c>
      <c r="H208" s="14">
        <v>135.93</v>
      </c>
      <c r="I208" s="15">
        <v>45827</v>
      </c>
      <c r="J208" s="12" t="str">
        <f t="shared" ca="1" si="3"/>
        <v>120 +</v>
      </c>
      <c r="K208" s="14">
        <v>135.93</v>
      </c>
      <c r="L208" s="16">
        <v>45797</v>
      </c>
      <c r="M208" s="13" t="s">
        <v>38</v>
      </c>
      <c r="N208" s="13" t="s">
        <v>39</v>
      </c>
      <c r="O208" s="13" t="s">
        <v>40</v>
      </c>
      <c r="P208" s="13"/>
      <c r="Q208" s="13" t="s">
        <v>41</v>
      </c>
      <c r="R208" s="13" t="s">
        <v>42</v>
      </c>
      <c r="S208" s="17">
        <v>0</v>
      </c>
      <c r="T208" s="17">
        <v>0</v>
      </c>
      <c r="U208" s="17">
        <v>0</v>
      </c>
      <c r="V208" s="17">
        <v>0</v>
      </c>
      <c r="W208" s="17">
        <v>0</v>
      </c>
      <c r="X208" s="17">
        <v>499.2</v>
      </c>
      <c r="Y208" s="17">
        <v>499.2</v>
      </c>
      <c r="Z208" s="17">
        <v>0</v>
      </c>
      <c r="AA208" s="13" t="s">
        <v>368</v>
      </c>
      <c r="AB208" s="13" t="s">
        <v>44</v>
      </c>
      <c r="AC208" s="13" t="s">
        <v>45</v>
      </c>
      <c r="AD208" s="13" t="s">
        <v>46</v>
      </c>
      <c r="AE208" s="17">
        <v>499.2</v>
      </c>
      <c r="AF208" s="17">
        <v>121.53</v>
      </c>
      <c r="AG208" s="47" t="s">
        <v>876</v>
      </c>
      <c r="AH208" s="20" t="s">
        <v>792</v>
      </c>
      <c r="AI208" s="19" t="b">
        <v>0</v>
      </c>
      <c r="AJ208" s="18" t="s">
        <v>868</v>
      </c>
      <c r="AK208" s="49" t="s">
        <v>792</v>
      </c>
    </row>
    <row r="209" spans="1:37" x14ac:dyDescent="0.35">
      <c r="A209" s="12" t="s">
        <v>33</v>
      </c>
      <c r="B209" s="12">
        <v>100108744</v>
      </c>
      <c r="C209" s="13" t="s">
        <v>365</v>
      </c>
      <c r="D209" s="13" t="s">
        <v>366</v>
      </c>
      <c r="E209" s="12">
        <v>9700034916</v>
      </c>
      <c r="F209" s="13" t="s">
        <v>380</v>
      </c>
      <c r="G209" s="12" t="s">
        <v>37</v>
      </c>
      <c r="H209" s="14">
        <v>158.06</v>
      </c>
      <c r="I209" s="15">
        <v>45829</v>
      </c>
      <c r="J209" s="12" t="str">
        <f t="shared" ca="1" si="3"/>
        <v>120 +</v>
      </c>
      <c r="K209" s="14">
        <v>158.06</v>
      </c>
      <c r="L209" s="16">
        <v>45799</v>
      </c>
      <c r="M209" s="13" t="s">
        <v>38</v>
      </c>
      <c r="N209" s="13" t="s">
        <v>39</v>
      </c>
      <c r="O209" s="13" t="s">
        <v>40</v>
      </c>
      <c r="P209" s="13"/>
      <c r="Q209" s="13" t="s">
        <v>41</v>
      </c>
      <c r="R209" s="13" t="s">
        <v>42</v>
      </c>
      <c r="S209" s="17">
        <v>0</v>
      </c>
      <c r="T209" s="17">
        <v>0</v>
      </c>
      <c r="U209" s="17">
        <v>0</v>
      </c>
      <c r="V209" s="17">
        <v>0</v>
      </c>
      <c r="W209" s="17">
        <v>0</v>
      </c>
      <c r="X209" s="17">
        <v>580.48</v>
      </c>
      <c r="Y209" s="17">
        <v>580.48</v>
      </c>
      <c r="Z209" s="17">
        <v>0</v>
      </c>
      <c r="AA209" s="13" t="s">
        <v>368</v>
      </c>
      <c r="AB209" s="13" t="s">
        <v>44</v>
      </c>
      <c r="AC209" s="13" t="s">
        <v>45</v>
      </c>
      <c r="AD209" s="13" t="s">
        <v>46</v>
      </c>
      <c r="AE209" s="17">
        <v>580.48</v>
      </c>
      <c r="AF209" s="17">
        <v>141.19999999999999</v>
      </c>
      <c r="AG209" s="47" t="s">
        <v>876</v>
      </c>
      <c r="AH209" s="20" t="s">
        <v>792</v>
      </c>
      <c r="AI209" s="19" t="b">
        <v>0</v>
      </c>
      <c r="AJ209" s="18" t="s">
        <v>868</v>
      </c>
      <c r="AK209" s="49" t="s">
        <v>792</v>
      </c>
    </row>
    <row r="210" spans="1:37" x14ac:dyDescent="0.35">
      <c r="A210" s="12" t="s">
        <v>33</v>
      </c>
      <c r="B210" s="12">
        <v>100108744</v>
      </c>
      <c r="C210" s="13" t="s">
        <v>365</v>
      </c>
      <c r="D210" s="13" t="s">
        <v>366</v>
      </c>
      <c r="E210" s="12">
        <v>9700041208</v>
      </c>
      <c r="F210" s="13" t="s">
        <v>381</v>
      </c>
      <c r="G210" s="12" t="s">
        <v>37</v>
      </c>
      <c r="H210" s="14">
        <v>156.13999999999999</v>
      </c>
      <c r="I210" s="15">
        <v>45857</v>
      </c>
      <c r="J210" s="12" t="str">
        <f t="shared" ca="1" si="3"/>
        <v>120 +</v>
      </c>
      <c r="K210" s="14">
        <v>156.13999999999999</v>
      </c>
      <c r="L210" s="16">
        <v>45827</v>
      </c>
      <c r="M210" s="13" t="s">
        <v>38</v>
      </c>
      <c r="N210" s="13" t="s">
        <v>39</v>
      </c>
      <c r="O210" s="13" t="s">
        <v>40</v>
      </c>
      <c r="P210" s="13"/>
      <c r="Q210" s="13" t="s">
        <v>41</v>
      </c>
      <c r="R210" s="13" t="s">
        <v>42</v>
      </c>
      <c r="S210" s="17">
        <v>0</v>
      </c>
      <c r="T210" s="17">
        <v>0</v>
      </c>
      <c r="U210" s="17">
        <v>0</v>
      </c>
      <c r="V210" s="17">
        <v>0</v>
      </c>
      <c r="W210" s="17">
        <v>0</v>
      </c>
      <c r="X210" s="17">
        <v>573.41999999999996</v>
      </c>
      <c r="Y210" s="17">
        <v>573.41999999999996</v>
      </c>
      <c r="Z210" s="17">
        <v>0</v>
      </c>
      <c r="AA210" s="13" t="s">
        <v>368</v>
      </c>
      <c r="AB210" s="13" t="s">
        <v>44</v>
      </c>
      <c r="AC210" s="13" t="s">
        <v>45</v>
      </c>
      <c r="AD210" s="13" t="s">
        <v>46</v>
      </c>
      <c r="AE210" s="17">
        <v>573.41999999999996</v>
      </c>
      <c r="AF210" s="17">
        <v>134.91</v>
      </c>
      <c r="AG210" s="47" t="s">
        <v>876</v>
      </c>
      <c r="AH210" s="20" t="s">
        <v>792</v>
      </c>
      <c r="AI210" s="19" t="b">
        <v>0</v>
      </c>
      <c r="AJ210" s="18" t="s">
        <v>868</v>
      </c>
      <c r="AK210" s="49" t="s">
        <v>792</v>
      </c>
    </row>
    <row r="211" spans="1:37" x14ac:dyDescent="0.35">
      <c r="A211" s="12" t="s">
        <v>33</v>
      </c>
      <c r="B211" s="12">
        <v>100108744</v>
      </c>
      <c r="C211" s="13" t="s">
        <v>365</v>
      </c>
      <c r="D211" s="13" t="s">
        <v>366</v>
      </c>
      <c r="E211" s="12">
        <v>9700050578</v>
      </c>
      <c r="F211" s="13" t="s">
        <v>382</v>
      </c>
      <c r="G211" s="12" t="s">
        <v>37</v>
      </c>
      <c r="H211" s="14">
        <v>-112.96</v>
      </c>
      <c r="I211" s="15">
        <v>45896</v>
      </c>
      <c r="J211" s="12" t="str">
        <f t="shared" ca="1" si="3"/>
        <v>120 +</v>
      </c>
      <c r="K211" s="14">
        <v>-112.96</v>
      </c>
      <c r="L211" s="16">
        <v>45866</v>
      </c>
      <c r="M211" s="13" t="s">
        <v>38</v>
      </c>
      <c r="N211" s="13" t="s">
        <v>39</v>
      </c>
      <c r="O211" s="13" t="s">
        <v>40</v>
      </c>
      <c r="P211" s="13" t="s">
        <v>62</v>
      </c>
      <c r="Q211" s="13" t="s">
        <v>41</v>
      </c>
      <c r="R211" s="13" t="s">
        <v>42</v>
      </c>
      <c r="S211" s="17">
        <v>-414.85</v>
      </c>
      <c r="T211" s="17">
        <v>0</v>
      </c>
      <c r="U211" s="17">
        <v>0</v>
      </c>
      <c r="V211" s="17">
        <v>0</v>
      </c>
      <c r="W211" s="17">
        <v>0</v>
      </c>
      <c r="X211" s="17">
        <v>0</v>
      </c>
      <c r="Y211" s="17">
        <v>0</v>
      </c>
      <c r="Z211" s="17">
        <v>0</v>
      </c>
      <c r="AA211" s="13"/>
      <c r="AB211" s="13" t="s">
        <v>44</v>
      </c>
      <c r="AC211" s="13" t="s">
        <v>45</v>
      </c>
      <c r="AD211" s="13" t="s">
        <v>46</v>
      </c>
      <c r="AE211" s="17">
        <v>-414.85</v>
      </c>
      <c r="AF211" s="17">
        <v>-96.09</v>
      </c>
      <c r="AG211" s="47" t="e">
        <v>#N/A</v>
      </c>
      <c r="AH211" s="20" t="s">
        <v>792</v>
      </c>
      <c r="AI211" s="19" t="b">
        <v>0</v>
      </c>
      <c r="AJ211" s="18" t="s">
        <v>868</v>
      </c>
      <c r="AK211" s="49" t="s">
        <v>792</v>
      </c>
    </row>
    <row r="212" spans="1:37" x14ac:dyDescent="0.35">
      <c r="A212" s="12" t="s">
        <v>33</v>
      </c>
      <c r="B212" s="12">
        <v>100108744</v>
      </c>
      <c r="C212" s="13" t="s">
        <v>365</v>
      </c>
      <c r="D212" s="13" t="s">
        <v>366</v>
      </c>
      <c r="E212" s="12">
        <v>9700050799</v>
      </c>
      <c r="F212" s="13" t="s">
        <v>383</v>
      </c>
      <c r="G212" s="12" t="s">
        <v>37</v>
      </c>
      <c r="H212" s="14">
        <v>145.22999999999999</v>
      </c>
      <c r="I212" s="15">
        <v>45896</v>
      </c>
      <c r="J212" s="12" t="str">
        <f t="shared" ca="1" si="3"/>
        <v>120 +</v>
      </c>
      <c r="K212" s="14">
        <v>145.22999999999999</v>
      </c>
      <c r="L212" s="16">
        <v>45866</v>
      </c>
      <c r="M212" s="13" t="s">
        <v>38</v>
      </c>
      <c r="N212" s="13" t="s">
        <v>39</v>
      </c>
      <c r="O212" s="13" t="s">
        <v>40</v>
      </c>
      <c r="P212" s="13"/>
      <c r="Q212" s="13" t="s">
        <v>41</v>
      </c>
      <c r="R212" s="13" t="s">
        <v>42</v>
      </c>
      <c r="S212" s="17">
        <v>0</v>
      </c>
      <c r="T212" s="17">
        <v>0</v>
      </c>
      <c r="U212" s="17">
        <v>0</v>
      </c>
      <c r="V212" s="17">
        <v>0</v>
      </c>
      <c r="W212" s="17">
        <v>0</v>
      </c>
      <c r="X212" s="17">
        <v>533.36</v>
      </c>
      <c r="Y212" s="17">
        <v>533.36</v>
      </c>
      <c r="Z212" s="17">
        <v>0</v>
      </c>
      <c r="AA212" s="13" t="s">
        <v>368</v>
      </c>
      <c r="AB212" s="13" t="s">
        <v>44</v>
      </c>
      <c r="AC212" s="13" t="s">
        <v>45</v>
      </c>
      <c r="AD212" s="13" t="s">
        <v>46</v>
      </c>
      <c r="AE212" s="17">
        <v>533.36</v>
      </c>
      <c r="AF212" s="17">
        <v>123.54</v>
      </c>
      <c r="AG212" s="47" t="s">
        <v>876</v>
      </c>
      <c r="AH212" s="20" t="s">
        <v>792</v>
      </c>
      <c r="AI212" s="19" t="b">
        <v>0</v>
      </c>
      <c r="AJ212" s="18" t="s">
        <v>868</v>
      </c>
      <c r="AK212" s="49" t="s">
        <v>792</v>
      </c>
    </row>
    <row r="213" spans="1:37" x14ac:dyDescent="0.35">
      <c r="A213" s="12" t="s">
        <v>33</v>
      </c>
      <c r="B213" s="12">
        <v>100108744</v>
      </c>
      <c r="C213" s="13" t="s">
        <v>365</v>
      </c>
      <c r="D213" s="13" t="s">
        <v>366</v>
      </c>
      <c r="E213" s="12">
        <v>9700064305</v>
      </c>
      <c r="F213" s="13" t="s">
        <v>384</v>
      </c>
      <c r="G213" s="12" t="s">
        <v>37</v>
      </c>
      <c r="H213" s="14">
        <v>179.98</v>
      </c>
      <c r="I213" s="15">
        <v>45949</v>
      </c>
      <c r="J213" s="12" t="str">
        <f t="shared" ca="1" si="3"/>
        <v>120 +</v>
      </c>
      <c r="K213" s="14">
        <v>179.98</v>
      </c>
      <c r="L213" s="16">
        <v>45919</v>
      </c>
      <c r="M213" s="13" t="s">
        <v>38</v>
      </c>
      <c r="N213" s="13" t="s">
        <v>39</v>
      </c>
      <c r="O213" s="13" t="s">
        <v>40</v>
      </c>
      <c r="P213" s="13"/>
      <c r="Q213" s="13" t="s">
        <v>41</v>
      </c>
      <c r="R213" s="13" t="s">
        <v>42</v>
      </c>
      <c r="S213" s="17">
        <v>0</v>
      </c>
      <c r="T213" s="17">
        <v>0</v>
      </c>
      <c r="U213" s="17">
        <v>0</v>
      </c>
      <c r="V213" s="17">
        <v>0</v>
      </c>
      <c r="W213" s="17">
        <v>0</v>
      </c>
      <c r="X213" s="17">
        <v>660.98</v>
      </c>
      <c r="Y213" s="17">
        <v>660.98</v>
      </c>
      <c r="Z213" s="17">
        <v>0</v>
      </c>
      <c r="AA213" s="13" t="s">
        <v>368</v>
      </c>
      <c r="AB213" s="13" t="s">
        <v>44</v>
      </c>
      <c r="AC213" s="13" t="s">
        <v>45</v>
      </c>
      <c r="AD213" s="13" t="s">
        <v>46</v>
      </c>
      <c r="AE213" s="17">
        <v>660.98</v>
      </c>
      <c r="AF213" s="17">
        <v>152.43</v>
      </c>
      <c r="AG213" s="47" t="s">
        <v>876</v>
      </c>
      <c r="AH213" s="20" t="s">
        <v>792</v>
      </c>
      <c r="AI213" s="19" t="b">
        <v>0</v>
      </c>
      <c r="AJ213" s="18" t="s">
        <v>868</v>
      </c>
      <c r="AK213" s="49" t="s">
        <v>792</v>
      </c>
    </row>
    <row r="214" spans="1:37" x14ac:dyDescent="0.35">
      <c r="A214" s="12" t="s">
        <v>33</v>
      </c>
      <c r="B214" s="12">
        <v>100108744</v>
      </c>
      <c r="C214" s="13" t="s">
        <v>365</v>
      </c>
      <c r="D214" s="13" t="s">
        <v>366</v>
      </c>
      <c r="E214" s="12">
        <v>9700069979</v>
      </c>
      <c r="F214" s="13" t="s">
        <v>385</v>
      </c>
      <c r="G214" s="12" t="s">
        <v>37</v>
      </c>
      <c r="H214" s="14">
        <v>180.18</v>
      </c>
      <c r="I214" s="15">
        <v>45975</v>
      </c>
      <c r="J214" s="12" t="str">
        <f t="shared" ca="1" si="3"/>
        <v>120 +</v>
      </c>
      <c r="K214" s="14">
        <v>180.18</v>
      </c>
      <c r="L214" s="16">
        <v>45945</v>
      </c>
      <c r="M214" s="13" t="s">
        <v>38</v>
      </c>
      <c r="N214" s="13" t="s">
        <v>39</v>
      </c>
      <c r="O214" s="13" t="s">
        <v>40</v>
      </c>
      <c r="P214" s="13"/>
      <c r="Q214" s="13" t="s">
        <v>41</v>
      </c>
      <c r="R214" s="13" t="s">
        <v>42</v>
      </c>
      <c r="S214" s="17">
        <v>0</v>
      </c>
      <c r="T214" s="17">
        <v>0</v>
      </c>
      <c r="U214" s="17">
        <v>0</v>
      </c>
      <c r="V214" s="17">
        <v>0</v>
      </c>
      <c r="W214" s="17">
        <v>0</v>
      </c>
      <c r="X214" s="17">
        <v>661.71</v>
      </c>
      <c r="Y214" s="17">
        <v>661.71</v>
      </c>
      <c r="Z214" s="17">
        <v>0</v>
      </c>
      <c r="AA214" s="13" t="s">
        <v>368</v>
      </c>
      <c r="AB214" s="13" t="s">
        <v>44</v>
      </c>
      <c r="AC214" s="13" t="s">
        <v>45</v>
      </c>
      <c r="AD214" s="13" t="s">
        <v>46</v>
      </c>
      <c r="AE214" s="17">
        <v>661.71</v>
      </c>
      <c r="AF214" s="17">
        <v>154.97</v>
      </c>
      <c r="AG214" s="47" t="s">
        <v>876</v>
      </c>
      <c r="AH214" s="20" t="s">
        <v>792</v>
      </c>
      <c r="AI214" s="19" t="b">
        <v>0</v>
      </c>
      <c r="AJ214" s="18" t="s">
        <v>868</v>
      </c>
      <c r="AK214" s="49" t="s">
        <v>792</v>
      </c>
    </row>
    <row r="215" spans="1:37" x14ac:dyDescent="0.35">
      <c r="A215" s="12" t="s">
        <v>33</v>
      </c>
      <c r="B215" s="12">
        <v>100108744</v>
      </c>
      <c r="C215" s="13" t="s">
        <v>365</v>
      </c>
      <c r="D215" s="13" t="s">
        <v>366</v>
      </c>
      <c r="E215" s="12">
        <v>9700073267</v>
      </c>
      <c r="F215" s="13" t="s">
        <v>386</v>
      </c>
      <c r="G215" s="12" t="s">
        <v>37</v>
      </c>
      <c r="H215" s="14">
        <v>191.67</v>
      </c>
      <c r="I215" s="15">
        <v>45648</v>
      </c>
      <c r="J215" s="12" t="str">
        <f t="shared" ca="1" si="3"/>
        <v>120 +</v>
      </c>
      <c r="K215" s="14">
        <v>191.67</v>
      </c>
      <c r="L215" s="16">
        <v>45618</v>
      </c>
      <c r="M215" s="13" t="s">
        <v>38</v>
      </c>
      <c r="N215" s="13" t="s">
        <v>39</v>
      </c>
      <c r="O215" s="13" t="s">
        <v>40</v>
      </c>
      <c r="P215" s="13"/>
      <c r="Q215" s="13" t="s">
        <v>41</v>
      </c>
      <c r="R215" s="13" t="s">
        <v>42</v>
      </c>
      <c r="S215" s="17">
        <v>0</v>
      </c>
      <c r="T215" s="17">
        <v>0</v>
      </c>
      <c r="U215" s="17">
        <v>0</v>
      </c>
      <c r="V215" s="17">
        <v>0</v>
      </c>
      <c r="W215" s="17">
        <v>0</v>
      </c>
      <c r="X215" s="17">
        <v>703.91</v>
      </c>
      <c r="Y215" s="17">
        <v>703.91</v>
      </c>
      <c r="Z215" s="17">
        <v>0</v>
      </c>
      <c r="AA215" s="13" t="s">
        <v>373</v>
      </c>
      <c r="AB215" s="13" t="s">
        <v>44</v>
      </c>
      <c r="AC215" s="13" t="s">
        <v>45</v>
      </c>
      <c r="AD215" s="13" t="s">
        <v>46</v>
      </c>
      <c r="AE215" s="17">
        <v>703.91</v>
      </c>
      <c r="AF215" s="17">
        <v>181.2</v>
      </c>
      <c r="AG215" s="47" t="s">
        <v>883</v>
      </c>
      <c r="AH215" s="20" t="s">
        <v>792</v>
      </c>
      <c r="AI215" s="19" t="b">
        <v>0</v>
      </c>
      <c r="AJ215" s="18" t="s">
        <v>868</v>
      </c>
      <c r="AK215" s="49" t="s">
        <v>792</v>
      </c>
    </row>
    <row r="216" spans="1:37" x14ac:dyDescent="0.35">
      <c r="A216" s="12" t="s">
        <v>33</v>
      </c>
      <c r="B216" s="12">
        <v>100108744</v>
      </c>
      <c r="C216" s="13" t="s">
        <v>365</v>
      </c>
      <c r="D216" s="13" t="s">
        <v>366</v>
      </c>
      <c r="E216" s="12">
        <v>9700073268</v>
      </c>
      <c r="F216" s="13" t="s">
        <v>387</v>
      </c>
      <c r="G216" s="12" t="s">
        <v>37</v>
      </c>
      <c r="H216" s="14">
        <v>106.51</v>
      </c>
      <c r="I216" s="15">
        <v>45648</v>
      </c>
      <c r="J216" s="12" t="str">
        <f t="shared" ca="1" si="3"/>
        <v>120 +</v>
      </c>
      <c r="K216" s="14">
        <v>106.51</v>
      </c>
      <c r="L216" s="16">
        <v>45618</v>
      </c>
      <c r="M216" s="13" t="s">
        <v>38</v>
      </c>
      <c r="N216" s="13" t="s">
        <v>39</v>
      </c>
      <c r="O216" s="13" t="s">
        <v>40</v>
      </c>
      <c r="P216" s="13"/>
      <c r="Q216" s="13" t="s">
        <v>41</v>
      </c>
      <c r="R216" s="13" t="s">
        <v>42</v>
      </c>
      <c r="S216" s="17">
        <v>0</v>
      </c>
      <c r="T216" s="17">
        <v>0</v>
      </c>
      <c r="U216" s="17">
        <v>0</v>
      </c>
      <c r="V216" s="17">
        <v>0</v>
      </c>
      <c r="W216" s="17">
        <v>0</v>
      </c>
      <c r="X216" s="17">
        <v>391.16</v>
      </c>
      <c r="Y216" s="17">
        <v>391.16</v>
      </c>
      <c r="Z216" s="17">
        <v>0</v>
      </c>
      <c r="AA216" s="13" t="s">
        <v>388</v>
      </c>
      <c r="AB216" s="13" t="s">
        <v>44</v>
      </c>
      <c r="AC216" s="13" t="s">
        <v>45</v>
      </c>
      <c r="AD216" s="13" t="s">
        <v>46</v>
      </c>
      <c r="AE216" s="17">
        <v>391.16</v>
      </c>
      <c r="AF216" s="17">
        <v>100.69</v>
      </c>
      <c r="AG216" s="47" t="s">
        <v>883</v>
      </c>
      <c r="AH216" s="20" t="s">
        <v>792</v>
      </c>
      <c r="AI216" s="19" t="b">
        <v>0</v>
      </c>
      <c r="AJ216" s="18" t="s">
        <v>868</v>
      </c>
      <c r="AK216" s="49" t="s">
        <v>792</v>
      </c>
    </row>
    <row r="217" spans="1:37" ht="16.5" x14ac:dyDescent="0.4">
      <c r="A217" s="3"/>
      <c r="B217" s="3"/>
      <c r="C217" s="4"/>
      <c r="D217" s="4" t="s">
        <v>366</v>
      </c>
      <c r="E217" s="3"/>
      <c r="F217" s="4"/>
      <c r="G217" s="4"/>
      <c r="H217" s="43">
        <f>SUM(H200:H216)</f>
        <v>2477.11</v>
      </c>
      <c r="I217" s="5"/>
      <c r="J217" s="45" t="str">
        <f t="shared" ca="1" si="3"/>
        <v/>
      </c>
      <c r="K217" s="43">
        <f>SUM(K200:K216)</f>
        <v>2477.11</v>
      </c>
      <c r="L217" s="9"/>
      <c r="M217" s="4"/>
      <c r="N217" s="4"/>
      <c r="O217" s="4"/>
      <c r="P217" s="4"/>
      <c r="Q217" s="4"/>
      <c r="R217" s="4" t="s">
        <v>42</v>
      </c>
      <c r="S217" s="6">
        <v>1489.23</v>
      </c>
      <c r="T217" s="6">
        <v>0</v>
      </c>
      <c r="U217" s="6">
        <v>1190.81</v>
      </c>
      <c r="V217" s="6">
        <v>0</v>
      </c>
      <c r="W217" s="6">
        <v>0</v>
      </c>
      <c r="X217" s="7"/>
      <c r="Y217" s="7"/>
      <c r="Z217" s="6">
        <v>0</v>
      </c>
      <c r="AA217" s="4"/>
      <c r="AB217" s="4"/>
      <c r="AC217" s="4"/>
      <c r="AD217" s="4"/>
      <c r="AE217" s="6">
        <v>9097.19</v>
      </c>
      <c r="AF217" s="6">
        <v>2193.15</v>
      </c>
      <c r="AG217" s="48"/>
      <c r="AH217" s="44" cm="1">
        <f t="array" ref="AH217">IFERROR(SUMPRODUCT(AF200:AF216*--(((AI200:AI216=TRUE)+(AI200:AI216=1))&gt;0)),0)</f>
        <v>0</v>
      </c>
      <c r="AI217" s="54">
        <f>SUMIF(AI200:AI216,TRUE,H200:H216)/H217</f>
        <v>0</v>
      </c>
      <c r="AJ217" s="6"/>
      <c r="AK217" s="50"/>
    </row>
    <row r="218" spans="1:37" x14ac:dyDescent="0.35">
      <c r="A218" s="12" t="s">
        <v>33</v>
      </c>
      <c r="B218" s="12">
        <v>100113621</v>
      </c>
      <c r="C218" s="13" t="s">
        <v>389</v>
      </c>
      <c r="D218" s="13" t="s">
        <v>390</v>
      </c>
      <c r="E218" s="12">
        <v>9700023087</v>
      </c>
      <c r="F218" s="13" t="s">
        <v>391</v>
      </c>
      <c r="G218" s="12" t="s">
        <v>37</v>
      </c>
      <c r="H218" s="14">
        <v>1269.73</v>
      </c>
      <c r="I218" s="15">
        <v>46130</v>
      </c>
      <c r="J218" s="12" t="str">
        <f t="shared" ca="1" si="3"/>
        <v>0-30</v>
      </c>
      <c r="K218" s="14">
        <v>1269.73</v>
      </c>
      <c r="L218" s="16">
        <v>46100</v>
      </c>
      <c r="M218" s="13" t="s">
        <v>38</v>
      </c>
      <c r="N218" s="13" t="s">
        <v>39</v>
      </c>
      <c r="O218" s="13" t="s">
        <v>40</v>
      </c>
      <c r="P218" s="13"/>
      <c r="Q218" s="13" t="s">
        <v>41</v>
      </c>
      <c r="R218" s="13" t="s">
        <v>42</v>
      </c>
      <c r="S218" s="17">
        <v>4663.08</v>
      </c>
      <c r="T218" s="17">
        <v>0</v>
      </c>
      <c r="U218" s="17">
        <v>0</v>
      </c>
      <c r="V218" s="17">
        <v>0</v>
      </c>
      <c r="W218" s="17">
        <v>0</v>
      </c>
      <c r="X218" s="17">
        <v>0</v>
      </c>
      <c r="Y218" s="17">
        <v>0</v>
      </c>
      <c r="Z218" s="17">
        <v>0</v>
      </c>
      <c r="AA218" s="13" t="s">
        <v>392</v>
      </c>
      <c r="AB218" s="13" t="s">
        <v>44</v>
      </c>
      <c r="AC218" s="13" t="s">
        <v>45</v>
      </c>
      <c r="AD218" s="13" t="s">
        <v>46</v>
      </c>
      <c r="AE218" s="17">
        <v>4663.08</v>
      </c>
      <c r="AF218" s="17">
        <v>1106.23</v>
      </c>
      <c r="AG218" s="47" t="s">
        <v>876</v>
      </c>
      <c r="AH218" s="20" t="e">
        <v>#N/A</v>
      </c>
      <c r="AI218" s="19" t="b">
        <v>1</v>
      </c>
      <c r="AJ218" s="18" t="s">
        <v>874</v>
      </c>
      <c r="AK218" s="49" t="s">
        <v>815</v>
      </c>
    </row>
    <row r="219" spans="1:37" x14ac:dyDescent="0.35">
      <c r="A219" s="12" t="s">
        <v>33</v>
      </c>
      <c r="B219" s="12">
        <v>100113621</v>
      </c>
      <c r="C219" s="13" t="s">
        <v>389</v>
      </c>
      <c r="D219" s="13" t="s">
        <v>390</v>
      </c>
      <c r="E219" s="12">
        <v>9700025724</v>
      </c>
      <c r="F219" s="13" t="s">
        <v>393</v>
      </c>
      <c r="G219" s="12" t="s">
        <v>37</v>
      </c>
      <c r="H219" s="14">
        <v>986.4</v>
      </c>
      <c r="I219" s="15">
        <v>46141</v>
      </c>
      <c r="J219" s="12" t="str">
        <f t="shared" ref="J219:J282" ca="1" si="4">IF($E219="","",IF($I219="","",IF($I219&gt;=TODAY(),"Current",IF(TODAY()-$I219&lt;=30,"0-30",IF(TODAY()-$I219&lt;=60,"31-60",IF(TODAY()-$I219&lt;=90,"61-90",IF(TODAY()-$I219&lt;=120,"91-120","120 +")))))))</f>
        <v>Current</v>
      </c>
      <c r="K219" s="14">
        <v>986.4</v>
      </c>
      <c r="L219" s="16">
        <v>46111</v>
      </c>
      <c r="M219" s="13" t="s">
        <v>38</v>
      </c>
      <c r="N219" s="13" t="s">
        <v>39</v>
      </c>
      <c r="O219" s="13" t="s">
        <v>40</v>
      </c>
      <c r="P219" s="13"/>
      <c r="Q219" s="13" t="s">
        <v>41</v>
      </c>
      <c r="R219" s="13" t="s">
        <v>42</v>
      </c>
      <c r="S219" s="17">
        <v>3622.55</v>
      </c>
      <c r="T219" s="17">
        <v>0</v>
      </c>
      <c r="U219" s="17">
        <v>0</v>
      </c>
      <c r="V219" s="17">
        <v>0</v>
      </c>
      <c r="W219" s="17">
        <v>0</v>
      </c>
      <c r="X219" s="17">
        <v>0</v>
      </c>
      <c r="Y219" s="17">
        <v>0</v>
      </c>
      <c r="Z219" s="17">
        <v>0</v>
      </c>
      <c r="AA219" s="13" t="s">
        <v>392</v>
      </c>
      <c r="AB219" s="13" t="s">
        <v>44</v>
      </c>
      <c r="AC219" s="13" t="s">
        <v>45</v>
      </c>
      <c r="AD219" s="13" t="s">
        <v>46</v>
      </c>
      <c r="AE219" s="17">
        <v>3622.55</v>
      </c>
      <c r="AF219" s="17">
        <v>852.4</v>
      </c>
      <c r="AG219" s="47" t="s">
        <v>876</v>
      </c>
      <c r="AH219" s="20" t="e">
        <v>#N/A</v>
      </c>
      <c r="AI219" s="19" t="b">
        <v>1</v>
      </c>
      <c r="AJ219" s="18" t="s">
        <v>874</v>
      </c>
      <c r="AK219" s="49" t="s">
        <v>815</v>
      </c>
    </row>
    <row r="220" spans="1:37" ht="16.5" x14ac:dyDescent="0.4">
      <c r="A220" s="3"/>
      <c r="B220" s="3"/>
      <c r="C220" s="4"/>
      <c r="D220" s="4" t="s">
        <v>390</v>
      </c>
      <c r="E220" s="3"/>
      <c r="F220" s="4"/>
      <c r="G220" s="4"/>
      <c r="H220" s="43">
        <f>SUM(H218:H219)</f>
        <v>2256.13</v>
      </c>
      <c r="I220" s="5"/>
      <c r="J220" s="45" t="str">
        <f t="shared" ca="1" si="4"/>
        <v/>
      </c>
      <c r="K220" s="43">
        <f>SUM(K218:K219)</f>
        <v>2256.13</v>
      </c>
      <c r="L220" s="9"/>
      <c r="M220" s="4"/>
      <c r="N220" s="4"/>
      <c r="O220" s="4"/>
      <c r="P220" s="4"/>
      <c r="Q220" s="4"/>
      <c r="R220" s="4" t="s">
        <v>42</v>
      </c>
      <c r="S220" s="6">
        <v>8285.6299999999992</v>
      </c>
      <c r="T220" s="6">
        <v>0</v>
      </c>
      <c r="U220" s="6">
        <v>0</v>
      </c>
      <c r="V220" s="6">
        <v>0</v>
      </c>
      <c r="W220" s="6">
        <v>0</v>
      </c>
      <c r="X220" s="7"/>
      <c r="Y220" s="7"/>
      <c r="Z220" s="6">
        <v>0</v>
      </c>
      <c r="AA220" s="4"/>
      <c r="AB220" s="4"/>
      <c r="AC220" s="4"/>
      <c r="AD220" s="4"/>
      <c r="AE220" s="6">
        <v>8285.6299999999992</v>
      </c>
      <c r="AF220" s="6">
        <v>1958.63</v>
      </c>
      <c r="AG220" s="48"/>
      <c r="AH220" s="44" cm="1">
        <f t="array" ref="AH220">IFERROR(SUMPRODUCT(AF218:AF219*--(((AI218:AI219=TRUE)+(AI218:AI219=1))&gt;0)),0)</f>
        <v>1958.63</v>
      </c>
      <c r="AI220" s="54">
        <f>SUMIF(AI218:AI219,TRUE,H218:H219)/H220</f>
        <v>1</v>
      </c>
      <c r="AJ220" s="6"/>
      <c r="AK220" s="50"/>
    </row>
    <row r="221" spans="1:37" x14ac:dyDescent="0.35">
      <c r="A221" s="12" t="s">
        <v>33</v>
      </c>
      <c r="B221" s="12">
        <v>100113609</v>
      </c>
      <c r="C221" s="13" t="s">
        <v>394</v>
      </c>
      <c r="D221" s="13" t="s">
        <v>395</v>
      </c>
      <c r="E221" s="12">
        <v>9700022629</v>
      </c>
      <c r="F221" s="13" t="s">
        <v>396</v>
      </c>
      <c r="G221" s="12" t="s">
        <v>37</v>
      </c>
      <c r="H221" s="14">
        <v>1212.29</v>
      </c>
      <c r="I221" s="15">
        <v>46128</v>
      </c>
      <c r="J221" s="12" t="str">
        <f t="shared" ca="1" si="4"/>
        <v>0-30</v>
      </c>
      <c r="K221" s="14">
        <v>1212.29</v>
      </c>
      <c r="L221" s="16">
        <v>46098</v>
      </c>
      <c r="M221" s="13" t="s">
        <v>38</v>
      </c>
      <c r="N221" s="13" t="s">
        <v>39</v>
      </c>
      <c r="O221" s="13" t="s">
        <v>40</v>
      </c>
      <c r="P221" s="13"/>
      <c r="Q221" s="13" t="s">
        <v>41</v>
      </c>
      <c r="R221" s="13" t="s">
        <v>42</v>
      </c>
      <c r="S221" s="17">
        <v>4452.1400000000003</v>
      </c>
      <c r="T221" s="17">
        <v>0</v>
      </c>
      <c r="U221" s="17">
        <v>0</v>
      </c>
      <c r="V221" s="17">
        <v>0</v>
      </c>
      <c r="W221" s="17">
        <v>0</v>
      </c>
      <c r="X221" s="17">
        <v>0</v>
      </c>
      <c r="Y221" s="17">
        <v>0</v>
      </c>
      <c r="Z221" s="17">
        <v>0</v>
      </c>
      <c r="AA221" s="13" t="s">
        <v>397</v>
      </c>
      <c r="AB221" s="13" t="s">
        <v>44</v>
      </c>
      <c r="AC221" s="13" t="s">
        <v>45</v>
      </c>
      <c r="AD221" s="13" t="s">
        <v>46</v>
      </c>
      <c r="AE221" s="17">
        <v>4452.1400000000003</v>
      </c>
      <c r="AF221" s="17">
        <v>1056.3699999999999</v>
      </c>
      <c r="AG221" s="47" t="s">
        <v>876</v>
      </c>
      <c r="AH221" s="20" t="e">
        <v>#N/A</v>
      </c>
      <c r="AI221" s="19" t="b">
        <v>1</v>
      </c>
      <c r="AJ221" s="18" t="s">
        <v>874</v>
      </c>
      <c r="AK221" s="49" t="s">
        <v>815</v>
      </c>
    </row>
    <row r="222" spans="1:37" x14ac:dyDescent="0.35">
      <c r="A222" s="12" t="s">
        <v>33</v>
      </c>
      <c r="B222" s="12">
        <v>100113609</v>
      </c>
      <c r="C222" s="13" t="s">
        <v>394</v>
      </c>
      <c r="D222" s="13" t="s">
        <v>395</v>
      </c>
      <c r="E222" s="12">
        <v>9700025725</v>
      </c>
      <c r="F222" s="13" t="s">
        <v>398</v>
      </c>
      <c r="G222" s="12" t="s">
        <v>37</v>
      </c>
      <c r="H222" s="14">
        <v>1186.45</v>
      </c>
      <c r="I222" s="15">
        <v>46141</v>
      </c>
      <c r="J222" s="12" t="str">
        <f t="shared" ca="1" si="4"/>
        <v>Current</v>
      </c>
      <c r="K222" s="14">
        <v>1186.45</v>
      </c>
      <c r="L222" s="16">
        <v>46111</v>
      </c>
      <c r="M222" s="13" t="s">
        <v>38</v>
      </c>
      <c r="N222" s="13" t="s">
        <v>39</v>
      </c>
      <c r="O222" s="13" t="s">
        <v>40</v>
      </c>
      <c r="P222" s="13"/>
      <c r="Q222" s="13" t="s">
        <v>41</v>
      </c>
      <c r="R222" s="13" t="s">
        <v>42</v>
      </c>
      <c r="S222" s="17">
        <v>4357.24</v>
      </c>
      <c r="T222" s="17">
        <v>0</v>
      </c>
      <c r="U222" s="17">
        <v>0</v>
      </c>
      <c r="V222" s="17">
        <v>0</v>
      </c>
      <c r="W222" s="17">
        <v>0</v>
      </c>
      <c r="X222" s="17">
        <v>0</v>
      </c>
      <c r="Y222" s="17">
        <v>0</v>
      </c>
      <c r="Z222" s="17">
        <v>0</v>
      </c>
      <c r="AA222" s="13" t="s">
        <v>397</v>
      </c>
      <c r="AB222" s="13" t="s">
        <v>44</v>
      </c>
      <c r="AC222" s="13" t="s">
        <v>45</v>
      </c>
      <c r="AD222" s="13" t="s">
        <v>46</v>
      </c>
      <c r="AE222" s="17">
        <v>4357.24</v>
      </c>
      <c r="AF222" s="17">
        <v>1025.28</v>
      </c>
      <c r="AG222" s="47" t="s">
        <v>876</v>
      </c>
      <c r="AH222" s="20" t="e">
        <v>#N/A</v>
      </c>
      <c r="AI222" s="19" t="b">
        <v>1</v>
      </c>
      <c r="AJ222" s="18" t="s">
        <v>874</v>
      </c>
      <c r="AK222" s="49" t="s">
        <v>815</v>
      </c>
    </row>
    <row r="223" spans="1:37" ht="16.5" x14ac:dyDescent="0.4">
      <c r="A223" s="3"/>
      <c r="B223" s="3"/>
      <c r="C223" s="4"/>
      <c r="D223" s="4" t="s">
        <v>395</v>
      </c>
      <c r="E223" s="3"/>
      <c r="F223" s="4"/>
      <c r="G223" s="4"/>
      <c r="H223" s="43">
        <f>SUM(H221:H222)</f>
        <v>2398.7399999999998</v>
      </c>
      <c r="I223" s="5"/>
      <c r="J223" s="45" t="str">
        <f t="shared" ca="1" si="4"/>
        <v/>
      </c>
      <c r="K223" s="43">
        <f>SUM(K221:K222)</f>
        <v>2398.7399999999998</v>
      </c>
      <c r="L223" s="9"/>
      <c r="M223" s="4"/>
      <c r="N223" s="4"/>
      <c r="O223" s="4"/>
      <c r="P223" s="4"/>
      <c r="Q223" s="4"/>
      <c r="R223" s="4" t="s">
        <v>42</v>
      </c>
      <c r="S223" s="6">
        <v>8809.3799999999992</v>
      </c>
      <c r="T223" s="6">
        <v>0</v>
      </c>
      <c r="U223" s="6">
        <v>0</v>
      </c>
      <c r="V223" s="6">
        <v>0</v>
      </c>
      <c r="W223" s="6">
        <v>0</v>
      </c>
      <c r="X223" s="7"/>
      <c r="Y223" s="7"/>
      <c r="Z223" s="6">
        <v>0</v>
      </c>
      <c r="AA223" s="4"/>
      <c r="AB223" s="4"/>
      <c r="AC223" s="4"/>
      <c r="AD223" s="4"/>
      <c r="AE223" s="6">
        <v>8809.3799999999992</v>
      </c>
      <c r="AF223" s="6">
        <v>2081.65</v>
      </c>
      <c r="AG223" s="48"/>
      <c r="AH223" s="44" cm="1">
        <f t="array" ref="AH223">IFERROR(SUMPRODUCT(AF221:AF222*--(((AI221:AI222=TRUE)+(AI221:AI222=1))&gt;0)),0)</f>
        <v>2081.6499999999996</v>
      </c>
      <c r="AI223" s="54">
        <f>SUMIF(AI221:AI222,TRUE,H221:H222)/H223</f>
        <v>1</v>
      </c>
      <c r="AJ223" s="6"/>
      <c r="AK223" s="50"/>
    </row>
    <row r="224" spans="1:37" x14ac:dyDescent="0.35">
      <c r="A224" s="12" t="s">
        <v>33</v>
      </c>
      <c r="B224" s="12">
        <v>100111598</v>
      </c>
      <c r="C224" s="13" t="s">
        <v>399</v>
      </c>
      <c r="D224" s="13" t="s">
        <v>400</v>
      </c>
      <c r="E224" s="12">
        <v>9700003833</v>
      </c>
      <c r="F224" s="13" t="s">
        <v>401</v>
      </c>
      <c r="G224" s="12" t="s">
        <v>37</v>
      </c>
      <c r="H224" s="14">
        <v>701.99</v>
      </c>
      <c r="I224" s="15">
        <v>46068</v>
      </c>
      <c r="J224" s="12" t="str">
        <f t="shared" ca="1" si="4"/>
        <v>61-90</v>
      </c>
      <c r="K224" s="14">
        <v>701.99</v>
      </c>
      <c r="L224" s="16">
        <v>46038</v>
      </c>
      <c r="M224" s="13" t="s">
        <v>38</v>
      </c>
      <c r="N224" s="13" t="s">
        <v>39</v>
      </c>
      <c r="O224" s="13" t="s">
        <v>40</v>
      </c>
      <c r="P224" s="13"/>
      <c r="Q224" s="13" t="s">
        <v>41</v>
      </c>
      <c r="R224" s="13" t="s">
        <v>42</v>
      </c>
      <c r="S224" s="17">
        <v>0</v>
      </c>
      <c r="T224" s="17">
        <v>0</v>
      </c>
      <c r="U224" s="17">
        <v>2578.06</v>
      </c>
      <c r="V224" s="17">
        <v>0</v>
      </c>
      <c r="W224" s="17">
        <v>0</v>
      </c>
      <c r="X224" s="17">
        <v>0</v>
      </c>
      <c r="Y224" s="17">
        <v>2578.06</v>
      </c>
      <c r="Z224" s="17">
        <v>0</v>
      </c>
      <c r="AA224" s="13" t="s">
        <v>402</v>
      </c>
      <c r="AB224" s="13" t="s">
        <v>44</v>
      </c>
      <c r="AC224" s="13" t="s">
        <v>45</v>
      </c>
      <c r="AD224" s="13" t="s">
        <v>46</v>
      </c>
      <c r="AE224" s="17">
        <v>2578.06</v>
      </c>
      <c r="AF224" s="17">
        <v>602.51</v>
      </c>
      <c r="AG224" s="47" t="s">
        <v>876</v>
      </c>
      <c r="AH224" s="20" t="s">
        <v>805</v>
      </c>
      <c r="AI224" s="19" t="b">
        <v>0</v>
      </c>
      <c r="AJ224" s="18" t="s">
        <v>865</v>
      </c>
      <c r="AK224" s="49" t="s">
        <v>805</v>
      </c>
    </row>
    <row r="225" spans="1:37" x14ac:dyDescent="0.35">
      <c r="A225" s="12" t="s">
        <v>33</v>
      </c>
      <c r="B225" s="12">
        <v>100111598</v>
      </c>
      <c r="C225" s="13" t="s">
        <v>399</v>
      </c>
      <c r="D225" s="13" t="s">
        <v>400</v>
      </c>
      <c r="E225" s="12">
        <v>9700005193</v>
      </c>
      <c r="F225" s="13" t="s">
        <v>403</v>
      </c>
      <c r="G225" s="12" t="s">
        <v>37</v>
      </c>
      <c r="H225" s="14">
        <v>760.41</v>
      </c>
      <c r="I225" s="15">
        <v>46072</v>
      </c>
      <c r="J225" s="12" t="str">
        <f t="shared" ca="1" si="4"/>
        <v>61-90</v>
      </c>
      <c r="K225" s="14">
        <v>760.41</v>
      </c>
      <c r="L225" s="16">
        <v>46042</v>
      </c>
      <c r="M225" s="13" t="s">
        <v>38</v>
      </c>
      <c r="N225" s="13" t="s">
        <v>39</v>
      </c>
      <c r="O225" s="13" t="s">
        <v>40</v>
      </c>
      <c r="P225" s="13"/>
      <c r="Q225" s="13" t="s">
        <v>41</v>
      </c>
      <c r="R225" s="13" t="s">
        <v>42</v>
      </c>
      <c r="S225" s="17">
        <v>0</v>
      </c>
      <c r="T225" s="17">
        <v>0</v>
      </c>
      <c r="U225" s="17">
        <v>2792.61</v>
      </c>
      <c r="V225" s="17">
        <v>0</v>
      </c>
      <c r="W225" s="17">
        <v>0</v>
      </c>
      <c r="X225" s="17">
        <v>0</v>
      </c>
      <c r="Y225" s="17">
        <v>2792.61</v>
      </c>
      <c r="Z225" s="17">
        <v>0</v>
      </c>
      <c r="AA225" s="13" t="s">
        <v>402</v>
      </c>
      <c r="AB225" s="13" t="s">
        <v>44</v>
      </c>
      <c r="AC225" s="13" t="s">
        <v>45</v>
      </c>
      <c r="AD225" s="13" t="s">
        <v>46</v>
      </c>
      <c r="AE225" s="17">
        <v>2792.61</v>
      </c>
      <c r="AF225" s="17">
        <v>653.78</v>
      </c>
      <c r="AG225" s="47" t="s">
        <v>876</v>
      </c>
      <c r="AH225" s="20" t="s">
        <v>805</v>
      </c>
      <c r="AI225" s="19" t="b">
        <v>0</v>
      </c>
      <c r="AJ225" s="18" t="s">
        <v>865</v>
      </c>
      <c r="AK225" s="49" t="s">
        <v>805</v>
      </c>
    </row>
    <row r="226" spans="1:37" x14ac:dyDescent="0.35">
      <c r="A226" s="12" t="s">
        <v>33</v>
      </c>
      <c r="B226" s="12">
        <v>100111598</v>
      </c>
      <c r="C226" s="13" t="s">
        <v>399</v>
      </c>
      <c r="D226" s="13" t="s">
        <v>400</v>
      </c>
      <c r="E226" s="12">
        <v>9700017526</v>
      </c>
      <c r="F226" s="13" t="s">
        <v>404</v>
      </c>
      <c r="G226" s="12" t="s">
        <v>37</v>
      </c>
      <c r="H226" s="14">
        <v>586</v>
      </c>
      <c r="I226" s="15">
        <v>46109</v>
      </c>
      <c r="J226" s="12" t="str">
        <f t="shared" ca="1" si="4"/>
        <v>31-60</v>
      </c>
      <c r="K226" s="14">
        <v>586</v>
      </c>
      <c r="L226" s="16">
        <v>46079</v>
      </c>
      <c r="M226" s="13" t="s">
        <v>38</v>
      </c>
      <c r="N226" s="13" t="s">
        <v>39</v>
      </c>
      <c r="O226" s="13" t="s">
        <v>40</v>
      </c>
      <c r="P226" s="13"/>
      <c r="Q226" s="13" t="s">
        <v>41</v>
      </c>
      <c r="R226" s="13" t="s">
        <v>42</v>
      </c>
      <c r="S226" s="17">
        <v>0</v>
      </c>
      <c r="T226" s="17">
        <v>2152.09</v>
      </c>
      <c r="U226" s="17">
        <v>0</v>
      </c>
      <c r="V226" s="17">
        <v>0</v>
      </c>
      <c r="W226" s="17">
        <v>0</v>
      </c>
      <c r="X226" s="17">
        <v>0</v>
      </c>
      <c r="Y226" s="17">
        <v>2152.09</v>
      </c>
      <c r="Z226" s="17">
        <v>0</v>
      </c>
      <c r="AA226" s="13" t="s">
        <v>405</v>
      </c>
      <c r="AB226" s="13" t="s">
        <v>44</v>
      </c>
      <c r="AC226" s="13" t="s">
        <v>45</v>
      </c>
      <c r="AD226" s="13" t="s">
        <v>46</v>
      </c>
      <c r="AE226" s="17">
        <v>2152.09</v>
      </c>
      <c r="AF226" s="17">
        <v>498</v>
      </c>
      <c r="AG226" s="47" t="s">
        <v>876</v>
      </c>
      <c r="AH226" s="20" t="s">
        <v>806</v>
      </c>
      <c r="AI226" s="19" t="b">
        <v>0</v>
      </c>
      <c r="AJ226" s="18" t="s">
        <v>865</v>
      </c>
      <c r="AK226" s="49" t="s">
        <v>806</v>
      </c>
    </row>
    <row r="227" spans="1:37" ht="16.5" x14ac:dyDescent="0.4">
      <c r="A227" s="3"/>
      <c r="B227" s="3"/>
      <c r="C227" s="4"/>
      <c r="D227" s="4" t="s">
        <v>400</v>
      </c>
      <c r="E227" s="3"/>
      <c r="F227" s="4"/>
      <c r="G227" s="4"/>
      <c r="H227" s="43">
        <f>SUM(H224:H226)</f>
        <v>2048.4</v>
      </c>
      <c r="I227" s="5"/>
      <c r="J227" s="45" t="str">
        <f t="shared" ca="1" si="4"/>
        <v/>
      </c>
      <c r="K227" s="43">
        <f>SUM(K224:K226)</f>
        <v>2048.4</v>
      </c>
      <c r="L227" s="9"/>
      <c r="M227" s="4"/>
      <c r="N227" s="4"/>
      <c r="O227" s="4"/>
      <c r="P227" s="4"/>
      <c r="Q227" s="4"/>
      <c r="R227" s="4" t="s">
        <v>42</v>
      </c>
      <c r="S227" s="6">
        <v>0</v>
      </c>
      <c r="T227" s="6">
        <v>2152.09</v>
      </c>
      <c r="U227" s="6">
        <v>5370.67</v>
      </c>
      <c r="V227" s="6">
        <v>0</v>
      </c>
      <c r="W227" s="6">
        <v>0</v>
      </c>
      <c r="X227" s="7"/>
      <c r="Y227" s="7"/>
      <c r="Z227" s="6">
        <v>0</v>
      </c>
      <c r="AA227" s="4"/>
      <c r="AB227" s="4"/>
      <c r="AC227" s="4"/>
      <c r="AD227" s="4"/>
      <c r="AE227" s="6">
        <v>7522.76</v>
      </c>
      <c r="AF227" s="6">
        <v>1754.29</v>
      </c>
      <c r="AG227" s="48"/>
      <c r="AH227" s="44" cm="1">
        <f t="array" ref="AH227">IFERROR(SUMPRODUCT(AF224:AF226*--(((AI224:AI226=TRUE)+(AI224:AI226=1))&gt;0)),0)</f>
        <v>0</v>
      </c>
      <c r="AI227" s="54">
        <f>SUMIF(AI224:AI226,TRUE,H224:H226)/H227</f>
        <v>0</v>
      </c>
      <c r="AJ227" s="6"/>
      <c r="AK227" s="50"/>
    </row>
    <row r="228" spans="1:37" x14ac:dyDescent="0.35">
      <c r="A228" s="12" t="s">
        <v>33</v>
      </c>
      <c r="B228" s="12">
        <v>100114717</v>
      </c>
      <c r="C228" s="13" t="s">
        <v>406</v>
      </c>
      <c r="D228" s="13" t="s">
        <v>407</v>
      </c>
      <c r="E228" s="12">
        <v>9700022725</v>
      </c>
      <c r="F228" s="13" t="s">
        <v>408</v>
      </c>
      <c r="G228" s="12" t="s">
        <v>37</v>
      </c>
      <c r="H228" s="14">
        <v>10229.540000000001</v>
      </c>
      <c r="I228" s="15">
        <v>46130</v>
      </c>
      <c r="J228" s="12" t="str">
        <f t="shared" ca="1" si="4"/>
        <v>0-30</v>
      </c>
      <c r="K228" s="14">
        <v>10229.540000000001</v>
      </c>
      <c r="L228" s="16">
        <v>46100</v>
      </c>
      <c r="M228" s="13" t="s">
        <v>38</v>
      </c>
      <c r="N228" s="13" t="s">
        <v>39</v>
      </c>
      <c r="O228" s="13" t="s">
        <v>40</v>
      </c>
      <c r="P228" s="13"/>
      <c r="Q228" s="13" t="s">
        <v>41</v>
      </c>
      <c r="R228" s="13" t="s">
        <v>42</v>
      </c>
      <c r="S228" s="17">
        <v>37567.99</v>
      </c>
      <c r="T228" s="17">
        <v>0</v>
      </c>
      <c r="U228" s="17">
        <v>0</v>
      </c>
      <c r="V228" s="17">
        <v>0</v>
      </c>
      <c r="W228" s="17">
        <v>0</v>
      </c>
      <c r="X228" s="17">
        <v>0</v>
      </c>
      <c r="Y228" s="17">
        <v>0</v>
      </c>
      <c r="Z228" s="17">
        <v>0</v>
      </c>
      <c r="AA228" s="13" t="s">
        <v>409</v>
      </c>
      <c r="AB228" s="13" t="s">
        <v>44</v>
      </c>
      <c r="AC228" s="13" t="s">
        <v>45</v>
      </c>
      <c r="AD228" s="13" t="s">
        <v>46</v>
      </c>
      <c r="AE228" s="17">
        <v>37567.99</v>
      </c>
      <c r="AF228" s="17">
        <v>8913.86</v>
      </c>
      <c r="AG228" s="47" t="s">
        <v>876</v>
      </c>
      <c r="AH228" s="20" t="e">
        <v>#N/A</v>
      </c>
      <c r="AI228" s="19" t="b">
        <v>0</v>
      </c>
      <c r="AJ228" s="18" t="s">
        <v>865</v>
      </c>
      <c r="AK228" s="49" t="s">
        <v>784</v>
      </c>
    </row>
    <row r="229" spans="1:37" ht="16.5" x14ac:dyDescent="0.4">
      <c r="A229" s="3"/>
      <c r="B229" s="3"/>
      <c r="C229" s="4"/>
      <c r="D229" s="4" t="s">
        <v>407</v>
      </c>
      <c r="E229" s="3"/>
      <c r="F229" s="4"/>
      <c r="G229" s="4"/>
      <c r="H229" s="43">
        <f>SUM(H228:H228)</f>
        <v>10229.540000000001</v>
      </c>
      <c r="I229" s="5"/>
      <c r="J229" s="45" t="str">
        <f t="shared" ca="1" si="4"/>
        <v/>
      </c>
      <c r="K229" s="43">
        <f>SUM(K228:K228)</f>
        <v>10229.540000000001</v>
      </c>
      <c r="L229" s="9"/>
      <c r="M229" s="4"/>
      <c r="N229" s="4"/>
      <c r="O229" s="4"/>
      <c r="P229" s="4"/>
      <c r="Q229" s="4"/>
      <c r="R229" s="4" t="s">
        <v>42</v>
      </c>
      <c r="S229" s="6">
        <v>37567.99</v>
      </c>
      <c r="T229" s="6">
        <v>0</v>
      </c>
      <c r="U229" s="6">
        <v>0</v>
      </c>
      <c r="V229" s="6">
        <v>0</v>
      </c>
      <c r="W229" s="6">
        <v>0</v>
      </c>
      <c r="X229" s="7"/>
      <c r="Y229" s="7"/>
      <c r="Z229" s="6">
        <v>0</v>
      </c>
      <c r="AA229" s="4"/>
      <c r="AB229" s="4"/>
      <c r="AC229" s="4"/>
      <c r="AD229" s="4"/>
      <c r="AE229" s="6">
        <v>37567.99</v>
      </c>
      <c r="AF229" s="6">
        <v>8913.86</v>
      </c>
      <c r="AG229" s="48"/>
      <c r="AH229" s="44" cm="1">
        <f t="array" ref="AH229">IFERROR(SUMPRODUCT(AF228:AF228*--(((AI228:AI228=TRUE)+(AI228:AI228=1))&gt;0)),0)</f>
        <v>0</v>
      </c>
      <c r="AI229" s="54">
        <f>SUMIF(AI228:AI228,TRUE,H228:H228)/H229</f>
        <v>0</v>
      </c>
      <c r="AJ229" s="6"/>
      <c r="AK229" s="50"/>
    </row>
    <row r="230" spans="1:37" x14ac:dyDescent="0.35">
      <c r="A230" s="12" t="s">
        <v>33</v>
      </c>
      <c r="B230" s="12">
        <v>100114607</v>
      </c>
      <c r="C230" s="13" t="s">
        <v>410</v>
      </c>
      <c r="D230" s="13" t="s">
        <v>411</v>
      </c>
      <c r="E230" s="12">
        <v>9700001964</v>
      </c>
      <c r="F230" s="13" t="s">
        <v>412</v>
      </c>
      <c r="G230" s="12" t="s">
        <v>37</v>
      </c>
      <c r="H230" s="14">
        <v>3468.04</v>
      </c>
      <c r="I230" s="15">
        <v>46064</v>
      </c>
      <c r="J230" s="12" t="str">
        <f t="shared" ca="1" si="4"/>
        <v>61-90</v>
      </c>
      <c r="K230" s="14">
        <v>3468.04</v>
      </c>
      <c r="L230" s="16">
        <v>46034</v>
      </c>
      <c r="M230" s="13" t="s">
        <v>38</v>
      </c>
      <c r="N230" s="13" t="s">
        <v>39</v>
      </c>
      <c r="O230" s="13" t="s">
        <v>40</v>
      </c>
      <c r="P230" s="13"/>
      <c r="Q230" s="13" t="s">
        <v>41</v>
      </c>
      <c r="R230" s="13" t="s">
        <v>42</v>
      </c>
      <c r="S230" s="17">
        <v>0</v>
      </c>
      <c r="T230" s="17">
        <v>0</v>
      </c>
      <c r="U230" s="17">
        <v>12736.38</v>
      </c>
      <c r="V230" s="17">
        <v>0</v>
      </c>
      <c r="W230" s="17">
        <v>0</v>
      </c>
      <c r="X230" s="17">
        <v>0</v>
      </c>
      <c r="Y230" s="17">
        <v>12736.38</v>
      </c>
      <c r="Z230" s="17">
        <v>0</v>
      </c>
      <c r="AA230" s="13" t="s">
        <v>413</v>
      </c>
      <c r="AB230" s="13" t="s">
        <v>44</v>
      </c>
      <c r="AC230" s="13" t="s">
        <v>45</v>
      </c>
      <c r="AD230" s="13" t="s">
        <v>46</v>
      </c>
      <c r="AE230" s="17">
        <v>12736.38</v>
      </c>
      <c r="AF230" s="17">
        <v>2970.48</v>
      </c>
      <c r="AG230" s="47" t="s">
        <v>876</v>
      </c>
      <c r="AH230" s="20" t="s">
        <v>792</v>
      </c>
      <c r="AI230" s="19" t="b">
        <v>0</v>
      </c>
      <c r="AJ230" s="18" t="s">
        <v>868</v>
      </c>
      <c r="AK230" s="49" t="s">
        <v>792</v>
      </c>
    </row>
    <row r="231" spans="1:37" x14ac:dyDescent="0.35">
      <c r="A231" s="12" t="s">
        <v>33</v>
      </c>
      <c r="B231" s="12">
        <v>100114607</v>
      </c>
      <c r="C231" s="13" t="s">
        <v>410</v>
      </c>
      <c r="D231" s="13" t="s">
        <v>411</v>
      </c>
      <c r="E231" s="12">
        <v>9700003854</v>
      </c>
      <c r="F231" s="13" t="s">
        <v>414</v>
      </c>
      <c r="G231" s="12" t="s">
        <v>37</v>
      </c>
      <c r="H231" s="14">
        <v>3610.59</v>
      </c>
      <c r="I231" s="15">
        <v>46071</v>
      </c>
      <c r="J231" s="12" t="str">
        <f t="shared" ca="1" si="4"/>
        <v>61-90</v>
      </c>
      <c r="K231" s="14">
        <v>3610.59</v>
      </c>
      <c r="L231" s="16">
        <v>46041</v>
      </c>
      <c r="M231" s="13" t="s">
        <v>38</v>
      </c>
      <c r="N231" s="13" t="s">
        <v>39</v>
      </c>
      <c r="O231" s="13" t="s">
        <v>40</v>
      </c>
      <c r="P231" s="13"/>
      <c r="Q231" s="13" t="s">
        <v>41</v>
      </c>
      <c r="R231" s="13" t="s">
        <v>42</v>
      </c>
      <c r="S231" s="17">
        <v>0</v>
      </c>
      <c r="T231" s="17">
        <v>0</v>
      </c>
      <c r="U231" s="17">
        <v>13259.89</v>
      </c>
      <c r="V231" s="17">
        <v>0</v>
      </c>
      <c r="W231" s="17">
        <v>0</v>
      </c>
      <c r="X231" s="17">
        <v>0</v>
      </c>
      <c r="Y231" s="17">
        <v>13259.89</v>
      </c>
      <c r="Z231" s="17">
        <v>0</v>
      </c>
      <c r="AA231" s="13" t="s">
        <v>413</v>
      </c>
      <c r="AB231" s="13" t="s">
        <v>44</v>
      </c>
      <c r="AC231" s="13" t="s">
        <v>45</v>
      </c>
      <c r="AD231" s="13" t="s">
        <v>46</v>
      </c>
      <c r="AE231" s="17">
        <v>13259.89</v>
      </c>
      <c r="AF231" s="17">
        <v>3098.95</v>
      </c>
      <c r="AG231" s="47" t="s">
        <v>876</v>
      </c>
      <c r="AH231" s="20" t="s">
        <v>792</v>
      </c>
      <c r="AI231" s="19" t="b">
        <v>0</v>
      </c>
      <c r="AJ231" s="18" t="s">
        <v>868</v>
      </c>
      <c r="AK231" s="49" t="s">
        <v>792</v>
      </c>
    </row>
    <row r="232" spans="1:37" x14ac:dyDescent="0.35">
      <c r="A232" s="12" t="s">
        <v>33</v>
      </c>
      <c r="B232" s="12">
        <v>100114607</v>
      </c>
      <c r="C232" s="13" t="s">
        <v>410</v>
      </c>
      <c r="D232" s="13" t="s">
        <v>411</v>
      </c>
      <c r="E232" s="12">
        <v>9700022830</v>
      </c>
      <c r="F232" s="13" t="s">
        <v>415</v>
      </c>
      <c r="G232" s="12" t="s">
        <v>37</v>
      </c>
      <c r="H232" s="14">
        <v>2574.89</v>
      </c>
      <c r="I232" s="15">
        <v>46130</v>
      </c>
      <c r="J232" s="12" t="str">
        <f t="shared" ca="1" si="4"/>
        <v>0-30</v>
      </c>
      <c r="K232" s="14">
        <v>2574.89</v>
      </c>
      <c r="L232" s="16">
        <v>46100</v>
      </c>
      <c r="M232" s="13" t="s">
        <v>38</v>
      </c>
      <c r="N232" s="13" t="s">
        <v>39</v>
      </c>
      <c r="O232" s="13" t="s">
        <v>40</v>
      </c>
      <c r="P232" s="13"/>
      <c r="Q232" s="13" t="s">
        <v>41</v>
      </c>
      <c r="R232" s="13" t="s">
        <v>42</v>
      </c>
      <c r="S232" s="17">
        <v>9456.2800000000007</v>
      </c>
      <c r="T232" s="17">
        <v>0</v>
      </c>
      <c r="U232" s="17">
        <v>0</v>
      </c>
      <c r="V232" s="17">
        <v>0</v>
      </c>
      <c r="W232" s="17">
        <v>0</v>
      </c>
      <c r="X232" s="17">
        <v>0</v>
      </c>
      <c r="Y232" s="17">
        <v>0</v>
      </c>
      <c r="Z232" s="17">
        <v>0</v>
      </c>
      <c r="AA232" s="13" t="s">
        <v>416</v>
      </c>
      <c r="AB232" s="13" t="s">
        <v>44</v>
      </c>
      <c r="AC232" s="13" t="s">
        <v>45</v>
      </c>
      <c r="AD232" s="13" t="s">
        <v>46</v>
      </c>
      <c r="AE232" s="17">
        <v>9456.2800000000007</v>
      </c>
      <c r="AF232" s="17">
        <v>2243.7199999999998</v>
      </c>
      <c r="AG232" s="47" t="s">
        <v>876</v>
      </c>
      <c r="AH232" s="20" t="e">
        <v>#N/A</v>
      </c>
      <c r="AI232" s="19" t="b">
        <v>0</v>
      </c>
      <c r="AJ232" s="18" t="s">
        <v>868</v>
      </c>
      <c r="AK232" s="49" t="s">
        <v>792</v>
      </c>
    </row>
    <row r="233" spans="1:37" x14ac:dyDescent="0.35">
      <c r="A233" s="12" t="s">
        <v>33</v>
      </c>
      <c r="B233" s="12">
        <v>100114607</v>
      </c>
      <c r="C233" s="13" t="s">
        <v>410</v>
      </c>
      <c r="D233" s="13" t="s">
        <v>411</v>
      </c>
      <c r="E233" s="12">
        <v>9700032330</v>
      </c>
      <c r="F233" s="13" t="s">
        <v>417</v>
      </c>
      <c r="G233" s="12" t="s">
        <v>37</v>
      </c>
      <c r="H233" s="14">
        <v>1166.17</v>
      </c>
      <c r="I233" s="15">
        <v>45820</v>
      </c>
      <c r="J233" s="12" t="str">
        <f t="shared" ca="1" si="4"/>
        <v>120 +</v>
      </c>
      <c r="K233" s="14">
        <v>1166.17</v>
      </c>
      <c r="L233" s="16">
        <v>45790</v>
      </c>
      <c r="M233" s="13" t="s">
        <v>38</v>
      </c>
      <c r="N233" s="13" t="s">
        <v>39</v>
      </c>
      <c r="O233" s="13" t="s">
        <v>40</v>
      </c>
      <c r="P233" s="13"/>
      <c r="Q233" s="13" t="s">
        <v>41</v>
      </c>
      <c r="R233" s="13" t="s">
        <v>42</v>
      </c>
      <c r="S233" s="17">
        <v>0</v>
      </c>
      <c r="T233" s="17">
        <v>0</v>
      </c>
      <c r="U233" s="17">
        <v>0</v>
      </c>
      <c r="V233" s="17">
        <v>0</v>
      </c>
      <c r="W233" s="17">
        <v>0</v>
      </c>
      <c r="X233" s="17">
        <v>4282.76</v>
      </c>
      <c r="Y233" s="17">
        <v>4282.76</v>
      </c>
      <c r="Z233" s="17">
        <v>0</v>
      </c>
      <c r="AA233" s="13" t="s">
        <v>418</v>
      </c>
      <c r="AB233" s="13" t="s">
        <v>44</v>
      </c>
      <c r="AC233" s="13" t="s">
        <v>45</v>
      </c>
      <c r="AD233" s="13" t="s">
        <v>46</v>
      </c>
      <c r="AE233" s="17">
        <v>4282.76</v>
      </c>
      <c r="AF233" s="17">
        <v>1036.4100000000001</v>
      </c>
      <c r="AG233" s="47" t="s">
        <v>882</v>
      </c>
      <c r="AH233" s="20" t="s">
        <v>792</v>
      </c>
      <c r="AI233" s="19" t="b">
        <v>0</v>
      </c>
      <c r="AJ233" s="18" t="s">
        <v>868</v>
      </c>
      <c r="AK233" s="49" t="s">
        <v>792</v>
      </c>
    </row>
    <row r="234" spans="1:37" x14ac:dyDescent="0.35">
      <c r="A234" s="12" t="s">
        <v>33</v>
      </c>
      <c r="B234" s="12">
        <v>100114607</v>
      </c>
      <c r="C234" s="13" t="s">
        <v>410</v>
      </c>
      <c r="D234" s="13" t="s">
        <v>411</v>
      </c>
      <c r="E234" s="12">
        <v>9700032347</v>
      </c>
      <c r="F234" s="13" t="s">
        <v>419</v>
      </c>
      <c r="G234" s="12" t="s">
        <v>37</v>
      </c>
      <c r="H234" s="14">
        <v>3853.27</v>
      </c>
      <c r="I234" s="15">
        <v>45820</v>
      </c>
      <c r="J234" s="12" t="str">
        <f t="shared" ca="1" si="4"/>
        <v>120 +</v>
      </c>
      <c r="K234" s="14">
        <v>3853.27</v>
      </c>
      <c r="L234" s="16">
        <v>45790</v>
      </c>
      <c r="M234" s="13" t="s">
        <v>38</v>
      </c>
      <c r="N234" s="13" t="s">
        <v>39</v>
      </c>
      <c r="O234" s="13" t="s">
        <v>40</v>
      </c>
      <c r="P234" s="13"/>
      <c r="Q234" s="13" t="s">
        <v>41</v>
      </c>
      <c r="R234" s="13" t="s">
        <v>42</v>
      </c>
      <c r="S234" s="17">
        <v>0</v>
      </c>
      <c r="T234" s="17">
        <v>0</v>
      </c>
      <c r="U234" s="17">
        <v>0</v>
      </c>
      <c r="V234" s="17">
        <v>0</v>
      </c>
      <c r="W234" s="17">
        <v>0</v>
      </c>
      <c r="X234" s="17">
        <v>14151.13</v>
      </c>
      <c r="Y234" s="17">
        <v>14151.13</v>
      </c>
      <c r="Z234" s="17">
        <v>0</v>
      </c>
      <c r="AA234" s="13" t="s">
        <v>420</v>
      </c>
      <c r="AB234" s="13" t="s">
        <v>44</v>
      </c>
      <c r="AC234" s="13" t="s">
        <v>45</v>
      </c>
      <c r="AD234" s="13" t="s">
        <v>46</v>
      </c>
      <c r="AE234" s="17">
        <v>14151.13</v>
      </c>
      <c r="AF234" s="17">
        <v>3424.52</v>
      </c>
      <c r="AG234" s="47" t="s">
        <v>876</v>
      </c>
      <c r="AH234" s="20" t="s">
        <v>792</v>
      </c>
      <c r="AI234" s="19" t="b">
        <v>0</v>
      </c>
      <c r="AJ234" s="18" t="s">
        <v>868</v>
      </c>
      <c r="AK234" s="49" t="s">
        <v>792</v>
      </c>
    </row>
    <row r="235" spans="1:37" x14ac:dyDescent="0.35">
      <c r="A235" s="12" t="s">
        <v>33</v>
      </c>
      <c r="B235" s="12">
        <v>100114607</v>
      </c>
      <c r="C235" s="13" t="s">
        <v>410</v>
      </c>
      <c r="D235" s="13" t="s">
        <v>411</v>
      </c>
      <c r="E235" s="12">
        <v>9700038354</v>
      </c>
      <c r="F235" s="13" t="s">
        <v>421</v>
      </c>
      <c r="G235" s="12" t="s">
        <v>37</v>
      </c>
      <c r="H235" s="14">
        <v>3866.05</v>
      </c>
      <c r="I235" s="15">
        <v>45842</v>
      </c>
      <c r="J235" s="12" t="str">
        <f t="shared" ca="1" si="4"/>
        <v>120 +</v>
      </c>
      <c r="K235" s="14">
        <v>3866.05</v>
      </c>
      <c r="L235" s="16">
        <v>45812</v>
      </c>
      <c r="M235" s="13" t="s">
        <v>38</v>
      </c>
      <c r="N235" s="13" t="s">
        <v>39</v>
      </c>
      <c r="O235" s="13" t="s">
        <v>40</v>
      </c>
      <c r="P235" s="13"/>
      <c r="Q235" s="13" t="s">
        <v>41</v>
      </c>
      <c r="R235" s="13" t="s">
        <v>42</v>
      </c>
      <c r="S235" s="17">
        <v>0</v>
      </c>
      <c r="T235" s="17">
        <v>0</v>
      </c>
      <c r="U235" s="17">
        <v>0</v>
      </c>
      <c r="V235" s="17">
        <v>0</v>
      </c>
      <c r="W235" s="17">
        <v>0</v>
      </c>
      <c r="X235" s="17">
        <v>14198.07</v>
      </c>
      <c r="Y235" s="17">
        <v>14198.07</v>
      </c>
      <c r="Z235" s="17">
        <v>0</v>
      </c>
      <c r="AA235" s="13" t="s">
        <v>422</v>
      </c>
      <c r="AB235" s="13" t="s">
        <v>44</v>
      </c>
      <c r="AC235" s="13" t="s">
        <v>45</v>
      </c>
      <c r="AD235" s="13" t="s">
        <v>46</v>
      </c>
      <c r="AE235" s="17">
        <v>14198.07</v>
      </c>
      <c r="AF235" s="17">
        <v>3409.52</v>
      </c>
      <c r="AG235" s="47" t="s">
        <v>883</v>
      </c>
      <c r="AH235" s="20" t="s">
        <v>792</v>
      </c>
      <c r="AI235" s="19" t="b">
        <v>0</v>
      </c>
      <c r="AJ235" s="18" t="s">
        <v>868</v>
      </c>
      <c r="AK235" s="49" t="s">
        <v>792</v>
      </c>
    </row>
    <row r="236" spans="1:37" x14ac:dyDescent="0.35">
      <c r="A236" s="12" t="s">
        <v>33</v>
      </c>
      <c r="B236" s="12">
        <v>100114607</v>
      </c>
      <c r="C236" s="13" t="s">
        <v>410</v>
      </c>
      <c r="D236" s="13" t="s">
        <v>411</v>
      </c>
      <c r="E236" s="12">
        <v>9700038355</v>
      </c>
      <c r="F236" s="13" t="s">
        <v>423</v>
      </c>
      <c r="G236" s="12" t="s">
        <v>37</v>
      </c>
      <c r="H236" s="14">
        <v>1837.53</v>
      </c>
      <c r="I236" s="15">
        <v>45842</v>
      </c>
      <c r="J236" s="12" t="str">
        <f t="shared" ca="1" si="4"/>
        <v>120 +</v>
      </c>
      <c r="K236" s="14">
        <v>1837.53</v>
      </c>
      <c r="L236" s="16">
        <v>45812</v>
      </c>
      <c r="M236" s="13" t="s">
        <v>38</v>
      </c>
      <c r="N236" s="13" t="s">
        <v>39</v>
      </c>
      <c r="O236" s="13" t="s">
        <v>40</v>
      </c>
      <c r="P236" s="13"/>
      <c r="Q236" s="13" t="s">
        <v>41</v>
      </c>
      <c r="R236" s="13" t="s">
        <v>42</v>
      </c>
      <c r="S236" s="17">
        <v>0</v>
      </c>
      <c r="T236" s="17">
        <v>0</v>
      </c>
      <c r="U236" s="17">
        <v>0</v>
      </c>
      <c r="V236" s="17">
        <v>0</v>
      </c>
      <c r="W236" s="17">
        <v>0</v>
      </c>
      <c r="X236" s="17">
        <v>6748.33</v>
      </c>
      <c r="Y236" s="17">
        <v>6748.33</v>
      </c>
      <c r="Z236" s="17">
        <v>0</v>
      </c>
      <c r="AA236" s="13" t="s">
        <v>424</v>
      </c>
      <c r="AB236" s="13" t="s">
        <v>44</v>
      </c>
      <c r="AC236" s="13" t="s">
        <v>45</v>
      </c>
      <c r="AD236" s="13" t="s">
        <v>46</v>
      </c>
      <c r="AE236" s="17">
        <v>6748.33</v>
      </c>
      <c r="AF236" s="17">
        <v>1620.54</v>
      </c>
      <c r="AG236" s="47" t="s">
        <v>882</v>
      </c>
      <c r="AH236" s="20" t="s">
        <v>792</v>
      </c>
      <c r="AI236" s="19" t="b">
        <v>0</v>
      </c>
      <c r="AJ236" s="18" t="s">
        <v>868</v>
      </c>
      <c r="AK236" s="49" t="s">
        <v>792</v>
      </c>
    </row>
    <row r="237" spans="1:37" x14ac:dyDescent="0.35">
      <c r="A237" s="12" t="s">
        <v>33</v>
      </c>
      <c r="B237" s="12">
        <v>100114607</v>
      </c>
      <c r="C237" s="13" t="s">
        <v>410</v>
      </c>
      <c r="D237" s="13" t="s">
        <v>411</v>
      </c>
      <c r="E237" s="12">
        <v>9700038356</v>
      </c>
      <c r="F237" s="13" t="s">
        <v>425</v>
      </c>
      <c r="G237" s="12" t="s">
        <v>37</v>
      </c>
      <c r="H237" s="14">
        <v>3508.97</v>
      </c>
      <c r="I237" s="15">
        <v>45842</v>
      </c>
      <c r="J237" s="12" t="str">
        <f t="shared" ca="1" si="4"/>
        <v>120 +</v>
      </c>
      <c r="K237" s="14">
        <v>3508.97</v>
      </c>
      <c r="L237" s="16">
        <v>45812</v>
      </c>
      <c r="M237" s="13" t="s">
        <v>38</v>
      </c>
      <c r="N237" s="13" t="s">
        <v>39</v>
      </c>
      <c r="O237" s="13" t="s">
        <v>40</v>
      </c>
      <c r="P237" s="13"/>
      <c r="Q237" s="13" t="s">
        <v>41</v>
      </c>
      <c r="R237" s="13" t="s">
        <v>42</v>
      </c>
      <c r="S237" s="17">
        <v>0</v>
      </c>
      <c r="T237" s="17">
        <v>0</v>
      </c>
      <c r="U237" s="17">
        <v>0</v>
      </c>
      <c r="V237" s="17">
        <v>0</v>
      </c>
      <c r="W237" s="17">
        <v>0</v>
      </c>
      <c r="X237" s="17">
        <v>12886.69</v>
      </c>
      <c r="Y237" s="17">
        <v>12886.69</v>
      </c>
      <c r="Z237" s="17">
        <v>0</v>
      </c>
      <c r="AA237" s="13" t="s">
        <v>413</v>
      </c>
      <c r="AB237" s="13" t="s">
        <v>44</v>
      </c>
      <c r="AC237" s="13" t="s">
        <v>45</v>
      </c>
      <c r="AD237" s="13" t="s">
        <v>46</v>
      </c>
      <c r="AE237" s="17">
        <v>12886.69</v>
      </c>
      <c r="AF237" s="17">
        <v>3094.6</v>
      </c>
      <c r="AG237" s="47" t="s">
        <v>876</v>
      </c>
      <c r="AH237" s="20" t="s">
        <v>792</v>
      </c>
      <c r="AI237" s="19" t="b">
        <v>0</v>
      </c>
      <c r="AJ237" s="18" t="s">
        <v>868</v>
      </c>
      <c r="AK237" s="49" t="s">
        <v>792</v>
      </c>
    </row>
    <row r="238" spans="1:37" x14ac:dyDescent="0.35">
      <c r="A238" s="12" t="s">
        <v>33</v>
      </c>
      <c r="B238" s="12">
        <v>100114607</v>
      </c>
      <c r="C238" s="13" t="s">
        <v>410</v>
      </c>
      <c r="D238" s="13" t="s">
        <v>411</v>
      </c>
      <c r="E238" s="12">
        <v>9700047445</v>
      </c>
      <c r="F238" s="13" t="s">
        <v>426</v>
      </c>
      <c r="G238" s="12" t="s">
        <v>37</v>
      </c>
      <c r="H238" s="14">
        <v>2365.7600000000002</v>
      </c>
      <c r="I238" s="15">
        <v>45885</v>
      </c>
      <c r="J238" s="12" t="str">
        <f t="shared" ca="1" si="4"/>
        <v>120 +</v>
      </c>
      <c r="K238" s="14">
        <v>2365.7600000000002</v>
      </c>
      <c r="L238" s="16">
        <v>45855</v>
      </c>
      <c r="M238" s="13" t="s">
        <v>38</v>
      </c>
      <c r="N238" s="13" t="s">
        <v>39</v>
      </c>
      <c r="O238" s="13" t="s">
        <v>40</v>
      </c>
      <c r="P238" s="13"/>
      <c r="Q238" s="13" t="s">
        <v>41</v>
      </c>
      <c r="R238" s="13" t="s">
        <v>42</v>
      </c>
      <c r="S238" s="17">
        <v>0</v>
      </c>
      <c r="T238" s="17">
        <v>0</v>
      </c>
      <c r="U238" s="17">
        <v>0</v>
      </c>
      <c r="V238" s="17">
        <v>0</v>
      </c>
      <c r="W238" s="17">
        <v>0</v>
      </c>
      <c r="X238" s="17">
        <v>8688.25</v>
      </c>
      <c r="Y238" s="17">
        <v>8688.25</v>
      </c>
      <c r="Z238" s="17">
        <v>0</v>
      </c>
      <c r="AA238" s="13" t="s">
        <v>413</v>
      </c>
      <c r="AB238" s="13" t="s">
        <v>44</v>
      </c>
      <c r="AC238" s="13" t="s">
        <v>45</v>
      </c>
      <c r="AD238" s="13" t="s">
        <v>46</v>
      </c>
      <c r="AE238" s="17">
        <v>8688.25</v>
      </c>
      <c r="AF238" s="17">
        <v>2023.75</v>
      </c>
      <c r="AG238" s="47" t="s">
        <v>876</v>
      </c>
      <c r="AH238" s="20" t="s">
        <v>792</v>
      </c>
      <c r="AI238" s="19" t="b">
        <v>0</v>
      </c>
      <c r="AJ238" s="18" t="s">
        <v>868</v>
      </c>
      <c r="AK238" s="49" t="s">
        <v>792</v>
      </c>
    </row>
    <row r="239" spans="1:37" x14ac:dyDescent="0.35">
      <c r="A239" s="12" t="s">
        <v>33</v>
      </c>
      <c r="B239" s="12">
        <v>100114607</v>
      </c>
      <c r="C239" s="13" t="s">
        <v>410</v>
      </c>
      <c r="D239" s="13" t="s">
        <v>411</v>
      </c>
      <c r="E239" s="12">
        <v>9700061180</v>
      </c>
      <c r="F239" s="13" t="s">
        <v>427</v>
      </c>
      <c r="G239" s="12" t="s">
        <v>37</v>
      </c>
      <c r="H239" s="14">
        <v>2469.92</v>
      </c>
      <c r="I239" s="15">
        <v>45938</v>
      </c>
      <c r="J239" s="12" t="str">
        <f t="shared" ca="1" si="4"/>
        <v>120 +</v>
      </c>
      <c r="K239" s="14">
        <v>2469.92</v>
      </c>
      <c r="L239" s="16">
        <v>45908</v>
      </c>
      <c r="M239" s="13" t="s">
        <v>38</v>
      </c>
      <c r="N239" s="13" t="s">
        <v>39</v>
      </c>
      <c r="O239" s="13" t="s">
        <v>40</v>
      </c>
      <c r="P239" s="13"/>
      <c r="Q239" s="13" t="s">
        <v>41</v>
      </c>
      <c r="R239" s="13" t="s">
        <v>42</v>
      </c>
      <c r="S239" s="17">
        <v>0</v>
      </c>
      <c r="T239" s="17">
        <v>0</v>
      </c>
      <c r="U239" s="17">
        <v>0</v>
      </c>
      <c r="V239" s="17">
        <v>0</v>
      </c>
      <c r="W239" s="17">
        <v>0</v>
      </c>
      <c r="X239" s="17">
        <v>9070.7800000000007</v>
      </c>
      <c r="Y239" s="17">
        <v>9070.7800000000007</v>
      </c>
      <c r="Z239" s="17">
        <v>0</v>
      </c>
      <c r="AA239" s="13" t="s">
        <v>413</v>
      </c>
      <c r="AB239" s="13" t="s">
        <v>44</v>
      </c>
      <c r="AC239" s="13" t="s">
        <v>45</v>
      </c>
      <c r="AD239" s="13" t="s">
        <v>46</v>
      </c>
      <c r="AE239" s="17">
        <v>9070.7800000000007</v>
      </c>
      <c r="AF239" s="17">
        <v>2111.58</v>
      </c>
      <c r="AG239" s="47" t="s">
        <v>876</v>
      </c>
      <c r="AH239" s="20" t="s">
        <v>792</v>
      </c>
      <c r="AI239" s="19" t="b">
        <v>0</v>
      </c>
      <c r="AJ239" s="18" t="s">
        <v>868</v>
      </c>
      <c r="AK239" s="49" t="s">
        <v>792</v>
      </c>
    </row>
    <row r="240" spans="1:37" x14ac:dyDescent="0.35">
      <c r="A240" s="12" t="s">
        <v>33</v>
      </c>
      <c r="B240" s="12">
        <v>100114607</v>
      </c>
      <c r="C240" s="13" t="s">
        <v>410</v>
      </c>
      <c r="D240" s="13" t="s">
        <v>411</v>
      </c>
      <c r="E240" s="12">
        <v>9700061911</v>
      </c>
      <c r="F240" s="13" t="s">
        <v>428</v>
      </c>
      <c r="G240" s="12" t="s">
        <v>37</v>
      </c>
      <c r="H240" s="14">
        <v>3203.36</v>
      </c>
      <c r="I240" s="15">
        <v>45940</v>
      </c>
      <c r="J240" s="12" t="str">
        <f t="shared" ca="1" si="4"/>
        <v>120 +</v>
      </c>
      <c r="K240" s="14">
        <v>3203.36</v>
      </c>
      <c r="L240" s="16">
        <v>45910</v>
      </c>
      <c r="M240" s="13" t="s">
        <v>38</v>
      </c>
      <c r="N240" s="13" t="s">
        <v>39</v>
      </c>
      <c r="O240" s="13" t="s">
        <v>40</v>
      </c>
      <c r="P240" s="13"/>
      <c r="Q240" s="13" t="s">
        <v>41</v>
      </c>
      <c r="R240" s="13" t="s">
        <v>42</v>
      </c>
      <c r="S240" s="17">
        <v>0</v>
      </c>
      <c r="T240" s="17">
        <v>0</v>
      </c>
      <c r="U240" s="17">
        <v>0</v>
      </c>
      <c r="V240" s="17">
        <v>0</v>
      </c>
      <c r="W240" s="17">
        <v>0</v>
      </c>
      <c r="X240" s="17">
        <v>11764.34</v>
      </c>
      <c r="Y240" s="17">
        <v>11764.34</v>
      </c>
      <c r="Z240" s="17">
        <v>0</v>
      </c>
      <c r="AA240" s="13" t="s">
        <v>413</v>
      </c>
      <c r="AB240" s="13" t="s">
        <v>44</v>
      </c>
      <c r="AC240" s="13" t="s">
        <v>45</v>
      </c>
      <c r="AD240" s="13" t="s">
        <v>46</v>
      </c>
      <c r="AE240" s="17">
        <v>11764.34</v>
      </c>
      <c r="AF240" s="17">
        <v>2727.66</v>
      </c>
      <c r="AG240" s="47" t="s">
        <v>876</v>
      </c>
      <c r="AH240" s="20" t="s">
        <v>792</v>
      </c>
      <c r="AI240" s="19" t="b">
        <v>0</v>
      </c>
      <c r="AJ240" s="18" t="s">
        <v>868</v>
      </c>
      <c r="AK240" s="49" t="s">
        <v>792</v>
      </c>
    </row>
    <row r="241" spans="1:37" x14ac:dyDescent="0.35">
      <c r="A241" s="12" t="s">
        <v>33</v>
      </c>
      <c r="B241" s="12">
        <v>100114607</v>
      </c>
      <c r="C241" s="13" t="s">
        <v>410</v>
      </c>
      <c r="D241" s="13" t="s">
        <v>411</v>
      </c>
      <c r="E241" s="12">
        <v>9700064328</v>
      </c>
      <c r="F241" s="13" t="s">
        <v>429</v>
      </c>
      <c r="G241" s="12" t="s">
        <v>37</v>
      </c>
      <c r="H241" s="14">
        <v>3624.69</v>
      </c>
      <c r="I241" s="15">
        <v>45949</v>
      </c>
      <c r="J241" s="12" t="str">
        <f t="shared" ca="1" si="4"/>
        <v>120 +</v>
      </c>
      <c r="K241" s="14">
        <v>3624.69</v>
      </c>
      <c r="L241" s="16">
        <v>45919</v>
      </c>
      <c r="M241" s="13" t="s">
        <v>38</v>
      </c>
      <c r="N241" s="13" t="s">
        <v>39</v>
      </c>
      <c r="O241" s="13" t="s">
        <v>40</v>
      </c>
      <c r="P241" s="13"/>
      <c r="Q241" s="13" t="s">
        <v>41</v>
      </c>
      <c r="R241" s="13" t="s">
        <v>42</v>
      </c>
      <c r="S241" s="17">
        <v>0</v>
      </c>
      <c r="T241" s="17">
        <v>0</v>
      </c>
      <c r="U241" s="17">
        <v>0</v>
      </c>
      <c r="V241" s="17">
        <v>0</v>
      </c>
      <c r="W241" s="17">
        <v>0</v>
      </c>
      <c r="X241" s="17">
        <v>13311.67</v>
      </c>
      <c r="Y241" s="17">
        <v>13311.67</v>
      </c>
      <c r="Z241" s="17">
        <v>0</v>
      </c>
      <c r="AA241" s="13" t="s">
        <v>413</v>
      </c>
      <c r="AB241" s="13" t="s">
        <v>44</v>
      </c>
      <c r="AC241" s="13" t="s">
        <v>45</v>
      </c>
      <c r="AD241" s="13" t="s">
        <v>46</v>
      </c>
      <c r="AE241" s="17">
        <v>13311.67</v>
      </c>
      <c r="AF241" s="17">
        <v>3069.95</v>
      </c>
      <c r="AG241" s="47" t="s">
        <v>876</v>
      </c>
      <c r="AH241" s="20" t="s">
        <v>792</v>
      </c>
      <c r="AI241" s="19" t="b">
        <v>0</v>
      </c>
      <c r="AJ241" s="18" t="s">
        <v>868</v>
      </c>
      <c r="AK241" s="49" t="s">
        <v>792</v>
      </c>
    </row>
    <row r="242" spans="1:37" x14ac:dyDescent="0.35">
      <c r="A242" s="12" t="s">
        <v>33</v>
      </c>
      <c r="B242" s="12">
        <v>100114607</v>
      </c>
      <c r="C242" s="13" t="s">
        <v>410</v>
      </c>
      <c r="D242" s="13" t="s">
        <v>411</v>
      </c>
      <c r="E242" s="12">
        <v>9700070149</v>
      </c>
      <c r="F242" s="13" t="s">
        <v>430</v>
      </c>
      <c r="G242" s="12" t="s">
        <v>37</v>
      </c>
      <c r="H242" s="14">
        <v>3619.38</v>
      </c>
      <c r="I242" s="15">
        <v>45974</v>
      </c>
      <c r="J242" s="12" t="str">
        <f t="shared" ca="1" si="4"/>
        <v>120 +</v>
      </c>
      <c r="K242" s="14">
        <v>3619.38</v>
      </c>
      <c r="L242" s="16">
        <v>45944</v>
      </c>
      <c r="M242" s="13" t="s">
        <v>38</v>
      </c>
      <c r="N242" s="13" t="s">
        <v>39</v>
      </c>
      <c r="O242" s="13" t="s">
        <v>40</v>
      </c>
      <c r="P242" s="13"/>
      <c r="Q242" s="13" t="s">
        <v>41</v>
      </c>
      <c r="R242" s="13" t="s">
        <v>42</v>
      </c>
      <c r="S242" s="17">
        <v>0</v>
      </c>
      <c r="T242" s="17">
        <v>0</v>
      </c>
      <c r="U242" s="17">
        <v>0</v>
      </c>
      <c r="V242" s="17">
        <v>0</v>
      </c>
      <c r="W242" s="17">
        <v>0</v>
      </c>
      <c r="X242" s="17">
        <v>13292.17</v>
      </c>
      <c r="Y242" s="17">
        <v>13292.17</v>
      </c>
      <c r="Z242" s="17">
        <v>0</v>
      </c>
      <c r="AA242" s="13" t="s">
        <v>413</v>
      </c>
      <c r="AB242" s="13" t="s">
        <v>44</v>
      </c>
      <c r="AC242" s="13" t="s">
        <v>45</v>
      </c>
      <c r="AD242" s="13" t="s">
        <v>46</v>
      </c>
      <c r="AE242" s="17">
        <v>13292.17</v>
      </c>
      <c r="AF242" s="17">
        <v>3112.91</v>
      </c>
      <c r="AG242" s="47" t="s">
        <v>876</v>
      </c>
      <c r="AH242" s="20" t="s">
        <v>792</v>
      </c>
      <c r="AI242" s="19" t="b">
        <v>0</v>
      </c>
      <c r="AJ242" s="18" t="s">
        <v>868</v>
      </c>
      <c r="AK242" s="49" t="s">
        <v>792</v>
      </c>
    </row>
    <row r="243" spans="1:37" x14ac:dyDescent="0.35">
      <c r="A243" s="12" t="s">
        <v>33</v>
      </c>
      <c r="B243" s="12">
        <v>100114607</v>
      </c>
      <c r="C243" s="13" t="s">
        <v>410</v>
      </c>
      <c r="D243" s="13" t="s">
        <v>411</v>
      </c>
      <c r="E243" s="12">
        <v>9700081329</v>
      </c>
      <c r="F243" s="13" t="s">
        <v>431</v>
      </c>
      <c r="G243" s="12" t="s">
        <v>37</v>
      </c>
      <c r="H243" s="14">
        <v>3625.97</v>
      </c>
      <c r="I243" s="15">
        <v>46011</v>
      </c>
      <c r="J243" s="12" t="str">
        <f t="shared" ca="1" si="4"/>
        <v>120 +</v>
      </c>
      <c r="K243" s="14">
        <v>3625.97</v>
      </c>
      <c r="L243" s="16">
        <v>45981</v>
      </c>
      <c r="M243" s="13" t="s">
        <v>38</v>
      </c>
      <c r="N243" s="13" t="s">
        <v>39</v>
      </c>
      <c r="O243" s="13" t="s">
        <v>40</v>
      </c>
      <c r="P243" s="13"/>
      <c r="Q243" s="13" t="s">
        <v>41</v>
      </c>
      <c r="R243" s="13" t="s">
        <v>42</v>
      </c>
      <c r="S243" s="17">
        <v>0</v>
      </c>
      <c r="T243" s="17">
        <v>0</v>
      </c>
      <c r="U243" s="17">
        <v>0</v>
      </c>
      <c r="V243" s="17">
        <v>0</v>
      </c>
      <c r="W243" s="17">
        <v>13316.37</v>
      </c>
      <c r="X243" s="17">
        <v>0</v>
      </c>
      <c r="Y243" s="17">
        <v>13316.37</v>
      </c>
      <c r="Z243" s="17">
        <v>0</v>
      </c>
      <c r="AA243" s="13" t="s">
        <v>413</v>
      </c>
      <c r="AB243" s="13" t="s">
        <v>44</v>
      </c>
      <c r="AC243" s="13" t="s">
        <v>45</v>
      </c>
      <c r="AD243" s="13" t="s">
        <v>46</v>
      </c>
      <c r="AE243" s="17">
        <v>13316.37</v>
      </c>
      <c r="AF243" s="17">
        <v>3127.72</v>
      </c>
      <c r="AG243" s="47" t="s">
        <v>876</v>
      </c>
      <c r="AH243" s="20" t="s">
        <v>792</v>
      </c>
      <c r="AI243" s="19" t="b">
        <v>0</v>
      </c>
      <c r="AJ243" s="18" t="s">
        <v>868</v>
      </c>
      <c r="AK243" s="49" t="s">
        <v>792</v>
      </c>
    </row>
    <row r="244" spans="1:37" ht="16.5" x14ac:dyDescent="0.4">
      <c r="A244" s="3"/>
      <c r="B244" s="3"/>
      <c r="C244" s="4"/>
      <c r="D244" s="4" t="s">
        <v>411</v>
      </c>
      <c r="E244" s="3"/>
      <c r="F244" s="4"/>
      <c r="G244" s="4"/>
      <c r="H244" s="43">
        <f>SUM(H230:H243)</f>
        <v>42794.590000000004</v>
      </c>
      <c r="I244" s="5"/>
      <c r="J244" s="45" t="str">
        <f t="shared" ca="1" si="4"/>
        <v/>
      </c>
      <c r="K244" s="43">
        <f>SUM(K230:K243)</f>
        <v>42794.590000000004</v>
      </c>
      <c r="L244" s="9"/>
      <c r="M244" s="4"/>
      <c r="N244" s="4"/>
      <c r="O244" s="4"/>
      <c r="P244" s="4"/>
      <c r="Q244" s="4"/>
      <c r="R244" s="4" t="s">
        <v>42</v>
      </c>
      <c r="S244" s="6">
        <v>9456.2800000000007</v>
      </c>
      <c r="T244" s="6">
        <v>0</v>
      </c>
      <c r="U244" s="6">
        <v>25996.27</v>
      </c>
      <c r="V244" s="6">
        <v>0</v>
      </c>
      <c r="W244" s="6">
        <v>13316.37</v>
      </c>
      <c r="X244" s="7"/>
      <c r="Y244" s="7"/>
      <c r="Z244" s="6">
        <v>0</v>
      </c>
      <c r="AA244" s="4"/>
      <c r="AB244" s="4"/>
      <c r="AC244" s="4"/>
      <c r="AD244" s="4"/>
      <c r="AE244" s="6">
        <v>157163.10999999999</v>
      </c>
      <c r="AF244" s="6">
        <v>37072.31</v>
      </c>
      <c r="AG244" s="48"/>
      <c r="AH244" s="44" cm="1">
        <f t="array" ref="AH244">IFERROR(SUMPRODUCT(AF230:AF243*--(((AI230:AI243=TRUE)+(AI230:AI243=1))&gt;0)),0)</f>
        <v>0</v>
      </c>
      <c r="AI244" s="54">
        <f>SUMIF(AI230:AI243,TRUE,H230:H243)/H244</f>
        <v>0</v>
      </c>
      <c r="AJ244" s="6"/>
      <c r="AK244" s="50"/>
    </row>
    <row r="245" spans="1:37" x14ac:dyDescent="0.35">
      <c r="A245" s="12" t="s">
        <v>33</v>
      </c>
      <c r="B245" s="12">
        <v>100119534</v>
      </c>
      <c r="C245" s="13" t="s">
        <v>432</v>
      </c>
      <c r="D245" s="13" t="s">
        <v>433</v>
      </c>
      <c r="E245" s="12">
        <v>9700069613</v>
      </c>
      <c r="F245" s="13" t="s">
        <v>434</v>
      </c>
      <c r="G245" s="12" t="s">
        <v>37</v>
      </c>
      <c r="H245" s="14">
        <v>365.31</v>
      </c>
      <c r="I245" s="15">
        <v>45973</v>
      </c>
      <c r="J245" s="12" t="str">
        <f t="shared" ca="1" si="4"/>
        <v>120 +</v>
      </c>
      <c r="K245" s="14">
        <v>365.31</v>
      </c>
      <c r="L245" s="16">
        <v>45943</v>
      </c>
      <c r="M245" s="13" t="s">
        <v>38</v>
      </c>
      <c r="N245" s="13" t="s">
        <v>39</v>
      </c>
      <c r="O245" s="13" t="s">
        <v>40</v>
      </c>
      <c r="P245" s="13"/>
      <c r="Q245" s="13" t="s">
        <v>41</v>
      </c>
      <c r="R245" s="13" t="s">
        <v>42</v>
      </c>
      <c r="S245" s="17">
        <v>0</v>
      </c>
      <c r="T245" s="17">
        <v>0</v>
      </c>
      <c r="U245" s="17">
        <v>0</v>
      </c>
      <c r="V245" s="17">
        <v>0</v>
      </c>
      <c r="W245" s="17">
        <v>0</v>
      </c>
      <c r="X245" s="17">
        <v>1341.6</v>
      </c>
      <c r="Y245" s="17">
        <v>1341.6</v>
      </c>
      <c r="Z245" s="17">
        <v>0</v>
      </c>
      <c r="AA245" s="13" t="s">
        <v>435</v>
      </c>
      <c r="AB245" s="13" t="s">
        <v>44</v>
      </c>
      <c r="AC245" s="13" t="s">
        <v>45</v>
      </c>
      <c r="AD245" s="13" t="s">
        <v>46</v>
      </c>
      <c r="AE245" s="17">
        <v>1341.6</v>
      </c>
      <c r="AF245" s="17">
        <v>313.14</v>
      </c>
      <c r="AG245" s="47" t="s">
        <v>876</v>
      </c>
      <c r="AH245" s="20" t="s">
        <v>807</v>
      </c>
      <c r="AI245" s="19" t="b">
        <v>0</v>
      </c>
      <c r="AJ245" s="18" t="s">
        <v>868</v>
      </c>
      <c r="AK245" s="49" t="s">
        <v>807</v>
      </c>
    </row>
    <row r="246" spans="1:37" x14ac:dyDescent="0.35">
      <c r="A246" s="12" t="s">
        <v>33</v>
      </c>
      <c r="B246" s="12">
        <v>100119534</v>
      </c>
      <c r="C246" s="13" t="s">
        <v>432</v>
      </c>
      <c r="D246" s="13" t="s">
        <v>433</v>
      </c>
      <c r="E246" s="12">
        <v>9700071252</v>
      </c>
      <c r="F246" s="13" t="s">
        <v>436</v>
      </c>
      <c r="G246" s="12" t="s">
        <v>37</v>
      </c>
      <c r="H246" s="14">
        <v>221.15</v>
      </c>
      <c r="I246" s="15">
        <v>45976</v>
      </c>
      <c r="J246" s="12" t="str">
        <f t="shared" ca="1" si="4"/>
        <v>120 +</v>
      </c>
      <c r="K246" s="14">
        <v>221.15</v>
      </c>
      <c r="L246" s="16">
        <v>45946</v>
      </c>
      <c r="M246" s="13" t="s">
        <v>38</v>
      </c>
      <c r="N246" s="13" t="s">
        <v>39</v>
      </c>
      <c r="O246" s="13" t="s">
        <v>40</v>
      </c>
      <c r="P246" s="13"/>
      <c r="Q246" s="13" t="s">
        <v>41</v>
      </c>
      <c r="R246" s="13" t="s">
        <v>42</v>
      </c>
      <c r="S246" s="17">
        <v>0</v>
      </c>
      <c r="T246" s="17">
        <v>0</v>
      </c>
      <c r="U246" s="17">
        <v>0</v>
      </c>
      <c r="V246" s="17">
        <v>0</v>
      </c>
      <c r="W246" s="17">
        <v>0</v>
      </c>
      <c r="X246" s="17">
        <v>812.17</v>
      </c>
      <c r="Y246" s="17">
        <v>812.17</v>
      </c>
      <c r="Z246" s="17">
        <v>0</v>
      </c>
      <c r="AA246" s="13" t="s">
        <v>435</v>
      </c>
      <c r="AB246" s="13" t="s">
        <v>44</v>
      </c>
      <c r="AC246" s="13" t="s">
        <v>45</v>
      </c>
      <c r="AD246" s="13" t="s">
        <v>46</v>
      </c>
      <c r="AE246" s="17">
        <v>812.17</v>
      </c>
      <c r="AF246" s="17">
        <v>191.16</v>
      </c>
      <c r="AG246" s="47" t="s">
        <v>876</v>
      </c>
      <c r="AH246" s="20" t="s">
        <v>807</v>
      </c>
      <c r="AI246" s="19" t="b">
        <v>0</v>
      </c>
      <c r="AJ246" s="18" t="s">
        <v>868</v>
      </c>
      <c r="AK246" s="49" t="s">
        <v>807</v>
      </c>
    </row>
    <row r="247" spans="1:37" x14ac:dyDescent="0.35">
      <c r="A247" s="12" t="s">
        <v>33</v>
      </c>
      <c r="B247" s="12">
        <v>100119534</v>
      </c>
      <c r="C247" s="13" t="s">
        <v>432</v>
      </c>
      <c r="D247" s="13" t="s">
        <v>433</v>
      </c>
      <c r="E247" s="12">
        <v>9700081171</v>
      </c>
      <c r="F247" s="13" t="s">
        <v>437</v>
      </c>
      <c r="G247" s="12" t="s">
        <v>37</v>
      </c>
      <c r="H247" s="14">
        <v>221.88</v>
      </c>
      <c r="I247" s="15">
        <v>46011</v>
      </c>
      <c r="J247" s="12" t="str">
        <f t="shared" ca="1" si="4"/>
        <v>120 +</v>
      </c>
      <c r="K247" s="14">
        <v>221.88</v>
      </c>
      <c r="L247" s="16">
        <v>45981</v>
      </c>
      <c r="M247" s="13" t="s">
        <v>38</v>
      </c>
      <c r="N247" s="13" t="s">
        <v>39</v>
      </c>
      <c r="O247" s="13" t="s">
        <v>40</v>
      </c>
      <c r="P247" s="13"/>
      <c r="Q247" s="13" t="s">
        <v>41</v>
      </c>
      <c r="R247" s="13" t="s">
        <v>42</v>
      </c>
      <c r="S247" s="17">
        <v>0</v>
      </c>
      <c r="T247" s="17">
        <v>0</v>
      </c>
      <c r="U247" s="17">
        <v>0</v>
      </c>
      <c r="V247" s="17">
        <v>0</v>
      </c>
      <c r="W247" s="17">
        <v>814.85</v>
      </c>
      <c r="X247" s="17">
        <v>0</v>
      </c>
      <c r="Y247" s="17">
        <v>814.85</v>
      </c>
      <c r="Z247" s="17">
        <v>0</v>
      </c>
      <c r="AA247" s="13" t="s">
        <v>435</v>
      </c>
      <c r="AB247" s="13" t="s">
        <v>44</v>
      </c>
      <c r="AC247" s="13" t="s">
        <v>45</v>
      </c>
      <c r="AD247" s="13" t="s">
        <v>46</v>
      </c>
      <c r="AE247" s="17">
        <v>814.85</v>
      </c>
      <c r="AF247" s="17">
        <v>191.39</v>
      </c>
      <c r="AG247" s="47" t="s">
        <v>876</v>
      </c>
      <c r="AH247" s="20" t="s">
        <v>807</v>
      </c>
      <c r="AI247" s="19" t="b">
        <v>0</v>
      </c>
      <c r="AJ247" s="18" t="s">
        <v>868</v>
      </c>
      <c r="AK247" s="49" t="s">
        <v>807</v>
      </c>
    </row>
    <row r="248" spans="1:37" ht="16.5" x14ac:dyDescent="0.4">
      <c r="A248" s="3"/>
      <c r="B248" s="3"/>
      <c r="C248" s="4"/>
      <c r="D248" s="4" t="s">
        <v>433</v>
      </c>
      <c r="E248" s="3"/>
      <c r="F248" s="4"/>
      <c r="G248" s="4"/>
      <c r="H248" s="43">
        <f>SUM(H245:H247)</f>
        <v>808.34</v>
      </c>
      <c r="I248" s="5"/>
      <c r="J248" s="45" t="str">
        <f t="shared" ca="1" si="4"/>
        <v/>
      </c>
      <c r="K248" s="43">
        <f>SUM(K245:K247)</f>
        <v>808.34</v>
      </c>
      <c r="L248" s="9"/>
      <c r="M248" s="4"/>
      <c r="N248" s="4"/>
      <c r="O248" s="4"/>
      <c r="P248" s="4"/>
      <c r="Q248" s="4"/>
      <c r="R248" s="4" t="s">
        <v>42</v>
      </c>
      <c r="S248" s="6">
        <v>0</v>
      </c>
      <c r="T248" s="6">
        <v>0</v>
      </c>
      <c r="U248" s="6">
        <v>0</v>
      </c>
      <c r="V248" s="6">
        <v>0</v>
      </c>
      <c r="W248" s="6">
        <v>814.85</v>
      </c>
      <c r="X248" s="7"/>
      <c r="Y248" s="7"/>
      <c r="Z248" s="6">
        <v>0</v>
      </c>
      <c r="AA248" s="4"/>
      <c r="AB248" s="4"/>
      <c r="AC248" s="4"/>
      <c r="AD248" s="4"/>
      <c r="AE248" s="6">
        <v>2968.62</v>
      </c>
      <c r="AF248" s="6">
        <v>695.69</v>
      </c>
      <c r="AG248" s="48"/>
      <c r="AH248" s="44" cm="1">
        <f t="array" ref="AH248">IFERROR(SUMPRODUCT(AF245:AF247*--(((AI245:AI247=TRUE)+(AI245:AI247=1))&gt;0)),0)</f>
        <v>0</v>
      </c>
      <c r="AI248" s="54">
        <f>SUMIF(AI245:AI247,TRUE,H245:H247)/H248</f>
        <v>0</v>
      </c>
      <c r="AJ248" s="6"/>
      <c r="AK248" s="50"/>
    </row>
    <row r="249" spans="1:37" x14ac:dyDescent="0.35">
      <c r="A249" s="12" t="s">
        <v>33</v>
      </c>
      <c r="B249" s="12">
        <v>100114599</v>
      </c>
      <c r="C249" s="13" t="s">
        <v>438</v>
      </c>
      <c r="D249" s="13" t="s">
        <v>439</v>
      </c>
      <c r="E249" s="12">
        <v>9700002436</v>
      </c>
      <c r="F249" s="13" t="s">
        <v>440</v>
      </c>
      <c r="G249" s="12" t="s">
        <v>37</v>
      </c>
      <c r="H249" s="14">
        <v>922.8</v>
      </c>
      <c r="I249" s="15">
        <v>46066</v>
      </c>
      <c r="J249" s="12" t="str">
        <f t="shared" ca="1" si="4"/>
        <v>61-90</v>
      </c>
      <c r="K249" s="14">
        <v>922.8</v>
      </c>
      <c r="L249" s="16">
        <v>46036</v>
      </c>
      <c r="M249" s="13" t="s">
        <v>38</v>
      </c>
      <c r="N249" s="13" t="s">
        <v>39</v>
      </c>
      <c r="O249" s="13" t="s">
        <v>40</v>
      </c>
      <c r="P249" s="13"/>
      <c r="Q249" s="13" t="s">
        <v>41</v>
      </c>
      <c r="R249" s="13" t="s">
        <v>42</v>
      </c>
      <c r="S249" s="17">
        <v>0</v>
      </c>
      <c r="T249" s="17">
        <v>0</v>
      </c>
      <c r="U249" s="17">
        <v>3388.98</v>
      </c>
      <c r="V249" s="17">
        <v>0</v>
      </c>
      <c r="W249" s="17">
        <v>0</v>
      </c>
      <c r="X249" s="17">
        <v>0</v>
      </c>
      <c r="Y249" s="17">
        <v>3388.98</v>
      </c>
      <c r="Z249" s="17">
        <v>0</v>
      </c>
      <c r="AA249" s="13" t="s">
        <v>441</v>
      </c>
      <c r="AB249" s="13" t="s">
        <v>44</v>
      </c>
      <c r="AC249" s="13" t="s">
        <v>45</v>
      </c>
      <c r="AD249" s="13" t="s">
        <v>46</v>
      </c>
      <c r="AE249" s="17">
        <v>3388.98</v>
      </c>
      <c r="AF249" s="17">
        <v>789.26</v>
      </c>
      <c r="AG249" s="47" t="s">
        <v>876</v>
      </c>
      <c r="AH249" s="20" t="s">
        <v>808</v>
      </c>
      <c r="AI249" s="19" t="b">
        <v>1</v>
      </c>
      <c r="AJ249" s="18" t="s">
        <v>874</v>
      </c>
      <c r="AK249" s="49" t="s">
        <v>815</v>
      </c>
    </row>
    <row r="250" spans="1:37" x14ac:dyDescent="0.35">
      <c r="A250" s="12" t="s">
        <v>33</v>
      </c>
      <c r="B250" s="12">
        <v>100114599</v>
      </c>
      <c r="C250" s="13" t="s">
        <v>438</v>
      </c>
      <c r="D250" s="13" t="s">
        <v>439</v>
      </c>
      <c r="E250" s="12">
        <v>9700005091</v>
      </c>
      <c r="F250" s="13" t="s">
        <v>442</v>
      </c>
      <c r="G250" s="12" t="s">
        <v>37</v>
      </c>
      <c r="H250" s="14">
        <v>929.09</v>
      </c>
      <c r="I250" s="15">
        <v>46074</v>
      </c>
      <c r="J250" s="12" t="str">
        <f t="shared" ca="1" si="4"/>
        <v>61-90</v>
      </c>
      <c r="K250" s="14">
        <v>929.09</v>
      </c>
      <c r="L250" s="16">
        <v>46044</v>
      </c>
      <c r="M250" s="13" t="s">
        <v>38</v>
      </c>
      <c r="N250" s="13" t="s">
        <v>39</v>
      </c>
      <c r="O250" s="13" t="s">
        <v>40</v>
      </c>
      <c r="P250" s="13"/>
      <c r="Q250" s="13" t="s">
        <v>41</v>
      </c>
      <c r="R250" s="13" t="s">
        <v>42</v>
      </c>
      <c r="S250" s="17">
        <v>0</v>
      </c>
      <c r="T250" s="17">
        <v>0</v>
      </c>
      <c r="U250" s="17">
        <v>3412.08</v>
      </c>
      <c r="V250" s="17">
        <v>0</v>
      </c>
      <c r="W250" s="17">
        <v>0</v>
      </c>
      <c r="X250" s="17">
        <v>0</v>
      </c>
      <c r="Y250" s="17">
        <v>3412.08</v>
      </c>
      <c r="Z250" s="17">
        <v>0</v>
      </c>
      <c r="AA250" s="13" t="s">
        <v>441</v>
      </c>
      <c r="AB250" s="13" t="s">
        <v>44</v>
      </c>
      <c r="AC250" s="13" t="s">
        <v>45</v>
      </c>
      <c r="AD250" s="13" t="s">
        <v>46</v>
      </c>
      <c r="AE250" s="17">
        <v>3412.08</v>
      </c>
      <c r="AF250" s="17">
        <v>798.8</v>
      </c>
      <c r="AG250" s="47" t="s">
        <v>876</v>
      </c>
      <c r="AH250" s="20" t="s">
        <v>808</v>
      </c>
      <c r="AI250" s="19" t="b">
        <v>1</v>
      </c>
      <c r="AJ250" s="18" t="s">
        <v>874</v>
      </c>
      <c r="AK250" s="49" t="s">
        <v>815</v>
      </c>
    </row>
    <row r="251" spans="1:37" x14ac:dyDescent="0.35">
      <c r="A251" s="12" t="s">
        <v>33</v>
      </c>
      <c r="B251" s="12">
        <v>100114599</v>
      </c>
      <c r="C251" s="13" t="s">
        <v>438</v>
      </c>
      <c r="D251" s="13" t="s">
        <v>439</v>
      </c>
      <c r="E251" s="12">
        <v>9700022832</v>
      </c>
      <c r="F251" s="13" t="s">
        <v>443</v>
      </c>
      <c r="G251" s="12" t="s">
        <v>37</v>
      </c>
      <c r="H251" s="14">
        <v>1355.13</v>
      </c>
      <c r="I251" s="15">
        <v>46130</v>
      </c>
      <c r="J251" s="12" t="str">
        <f t="shared" ca="1" si="4"/>
        <v>0-30</v>
      </c>
      <c r="K251" s="14">
        <v>1355.13</v>
      </c>
      <c r="L251" s="16">
        <v>46100</v>
      </c>
      <c r="M251" s="13" t="s">
        <v>38</v>
      </c>
      <c r="N251" s="13" t="s">
        <v>39</v>
      </c>
      <c r="O251" s="13" t="s">
        <v>40</v>
      </c>
      <c r="P251" s="13"/>
      <c r="Q251" s="13" t="s">
        <v>41</v>
      </c>
      <c r="R251" s="13" t="s">
        <v>42</v>
      </c>
      <c r="S251" s="17">
        <v>4976.71</v>
      </c>
      <c r="T251" s="17">
        <v>0</v>
      </c>
      <c r="U251" s="17">
        <v>0</v>
      </c>
      <c r="V251" s="17">
        <v>0</v>
      </c>
      <c r="W251" s="17">
        <v>0</v>
      </c>
      <c r="X251" s="17">
        <v>0</v>
      </c>
      <c r="Y251" s="17">
        <v>0</v>
      </c>
      <c r="Z251" s="17">
        <v>0</v>
      </c>
      <c r="AA251" s="13" t="s">
        <v>444</v>
      </c>
      <c r="AB251" s="13" t="s">
        <v>44</v>
      </c>
      <c r="AC251" s="13" t="s">
        <v>45</v>
      </c>
      <c r="AD251" s="13" t="s">
        <v>46</v>
      </c>
      <c r="AE251" s="17">
        <v>4976.71</v>
      </c>
      <c r="AF251" s="17">
        <v>1180.8399999999999</v>
      </c>
      <c r="AG251" s="47" t="s">
        <v>876</v>
      </c>
      <c r="AH251" s="20" t="e">
        <v>#N/A</v>
      </c>
      <c r="AI251" s="19" t="b">
        <v>0</v>
      </c>
      <c r="AJ251" s="18" t="s">
        <v>865</v>
      </c>
      <c r="AK251" s="49" t="s">
        <v>912</v>
      </c>
    </row>
    <row r="252" spans="1:37" ht="16.5" x14ac:dyDescent="0.4">
      <c r="A252" s="3"/>
      <c r="B252" s="3"/>
      <c r="C252" s="4"/>
      <c r="D252" s="4" t="s">
        <v>439</v>
      </c>
      <c r="E252" s="3"/>
      <c r="F252" s="4"/>
      <c r="G252" s="4"/>
      <c r="H252" s="43">
        <f>SUM(H249:H251)</f>
        <v>3207.02</v>
      </c>
      <c r="I252" s="5"/>
      <c r="J252" s="45" t="str">
        <f t="shared" ca="1" si="4"/>
        <v/>
      </c>
      <c r="K252" s="43">
        <f>SUM(K249:K251)</f>
        <v>3207.02</v>
      </c>
      <c r="L252" s="9"/>
      <c r="M252" s="4"/>
      <c r="N252" s="4"/>
      <c r="O252" s="4"/>
      <c r="P252" s="4"/>
      <c r="Q252" s="4"/>
      <c r="R252" s="4" t="s">
        <v>42</v>
      </c>
      <c r="S252" s="6">
        <v>4976.71</v>
      </c>
      <c r="T252" s="6">
        <v>0</v>
      </c>
      <c r="U252" s="6">
        <v>6801.06</v>
      </c>
      <c r="V252" s="6">
        <v>0</v>
      </c>
      <c r="W252" s="6">
        <v>0</v>
      </c>
      <c r="X252" s="7"/>
      <c r="Y252" s="7"/>
      <c r="Z252" s="6">
        <v>0</v>
      </c>
      <c r="AA252" s="4"/>
      <c r="AB252" s="4"/>
      <c r="AC252" s="4"/>
      <c r="AD252" s="4"/>
      <c r="AE252" s="6">
        <v>11777.77</v>
      </c>
      <c r="AF252" s="6">
        <v>2768.9</v>
      </c>
      <c r="AG252" s="48"/>
      <c r="AH252" s="44" cm="1">
        <f t="array" ref="AH252">IFERROR(SUMPRODUCT(AF249:AF251*--(((AI249:AI251=TRUE)+(AI249:AI251=1))&gt;0)),0)</f>
        <v>1588.06</v>
      </c>
      <c r="AI252" s="54">
        <f>SUMIF(AI249:AI251,TRUE,H249:H251)/H252</f>
        <v>0.57744884659278706</v>
      </c>
      <c r="AJ252" s="6"/>
      <c r="AK252" s="50"/>
    </row>
    <row r="253" spans="1:37" x14ac:dyDescent="0.35">
      <c r="A253" s="12" t="s">
        <v>33</v>
      </c>
      <c r="B253" s="12">
        <v>100114693</v>
      </c>
      <c r="C253" s="13" t="s">
        <v>445</v>
      </c>
      <c r="D253" s="13" t="s">
        <v>446</v>
      </c>
      <c r="E253" s="12">
        <v>9700022723</v>
      </c>
      <c r="F253" s="13" t="s">
        <v>447</v>
      </c>
      <c r="G253" s="12" t="s">
        <v>37</v>
      </c>
      <c r="H253" s="14">
        <v>2482.02</v>
      </c>
      <c r="I253" s="15">
        <v>46130</v>
      </c>
      <c r="J253" s="12" t="str">
        <f t="shared" ca="1" si="4"/>
        <v>0-30</v>
      </c>
      <c r="K253" s="14">
        <v>2482.02</v>
      </c>
      <c r="L253" s="16">
        <v>46100</v>
      </c>
      <c r="M253" s="13" t="s">
        <v>38</v>
      </c>
      <c r="N253" s="13" t="s">
        <v>39</v>
      </c>
      <c r="O253" s="13" t="s">
        <v>40</v>
      </c>
      <c r="P253" s="13"/>
      <c r="Q253" s="13" t="s">
        <v>41</v>
      </c>
      <c r="R253" s="13" t="s">
        <v>42</v>
      </c>
      <c r="S253" s="17">
        <v>9115.2199999999993</v>
      </c>
      <c r="T253" s="17">
        <v>0</v>
      </c>
      <c r="U253" s="17">
        <v>0</v>
      </c>
      <c r="V253" s="17">
        <v>0</v>
      </c>
      <c r="W253" s="17">
        <v>0</v>
      </c>
      <c r="X253" s="17">
        <v>0</v>
      </c>
      <c r="Y253" s="17">
        <v>0</v>
      </c>
      <c r="Z253" s="17">
        <v>0</v>
      </c>
      <c r="AA253" s="13" t="s">
        <v>448</v>
      </c>
      <c r="AB253" s="13" t="s">
        <v>44</v>
      </c>
      <c r="AC253" s="13" t="s">
        <v>45</v>
      </c>
      <c r="AD253" s="13" t="s">
        <v>46</v>
      </c>
      <c r="AE253" s="17">
        <v>9115.2199999999993</v>
      </c>
      <c r="AF253" s="17">
        <v>2162.79</v>
      </c>
      <c r="AG253" s="47" t="s">
        <v>876</v>
      </c>
      <c r="AH253" s="20" t="e">
        <v>#N/A</v>
      </c>
      <c r="AI253" s="19" t="b">
        <v>1</v>
      </c>
      <c r="AJ253" s="18" t="s">
        <v>874</v>
      </c>
      <c r="AK253" s="49" t="s">
        <v>815</v>
      </c>
    </row>
    <row r="254" spans="1:37" x14ac:dyDescent="0.35">
      <c r="A254" s="12" t="s">
        <v>33</v>
      </c>
      <c r="B254" s="12">
        <v>100114693</v>
      </c>
      <c r="C254" s="13" t="s">
        <v>445</v>
      </c>
      <c r="D254" s="13" t="s">
        <v>446</v>
      </c>
      <c r="E254" s="12">
        <v>9700025730</v>
      </c>
      <c r="F254" s="13" t="s">
        <v>449</v>
      </c>
      <c r="G254" s="12" t="s">
        <v>37</v>
      </c>
      <c r="H254" s="14">
        <v>2456.54</v>
      </c>
      <c r="I254" s="15">
        <v>46141</v>
      </c>
      <c r="J254" s="12" t="str">
        <f t="shared" ca="1" si="4"/>
        <v>Current</v>
      </c>
      <c r="K254" s="14">
        <v>2456.54</v>
      </c>
      <c r="L254" s="16">
        <v>46111</v>
      </c>
      <c r="M254" s="13" t="s">
        <v>38</v>
      </c>
      <c r="N254" s="13" t="s">
        <v>39</v>
      </c>
      <c r="O254" s="13" t="s">
        <v>40</v>
      </c>
      <c r="P254" s="13"/>
      <c r="Q254" s="13" t="s">
        <v>41</v>
      </c>
      <c r="R254" s="13" t="s">
        <v>42</v>
      </c>
      <c r="S254" s="17">
        <v>9021.64</v>
      </c>
      <c r="T254" s="17">
        <v>0</v>
      </c>
      <c r="U254" s="17">
        <v>0</v>
      </c>
      <c r="V254" s="17">
        <v>0</v>
      </c>
      <c r="W254" s="17">
        <v>0</v>
      </c>
      <c r="X254" s="17">
        <v>0</v>
      </c>
      <c r="Y254" s="17">
        <v>0</v>
      </c>
      <c r="Z254" s="17">
        <v>0</v>
      </c>
      <c r="AA254" s="13" t="s">
        <v>448</v>
      </c>
      <c r="AB254" s="13" t="s">
        <v>44</v>
      </c>
      <c r="AC254" s="13" t="s">
        <v>45</v>
      </c>
      <c r="AD254" s="13" t="s">
        <v>46</v>
      </c>
      <c r="AE254" s="17">
        <v>9021.64</v>
      </c>
      <c r="AF254" s="17">
        <v>2122.83</v>
      </c>
      <c r="AG254" s="47" t="s">
        <v>876</v>
      </c>
      <c r="AH254" s="20" t="e">
        <v>#N/A</v>
      </c>
      <c r="AI254" s="19" t="b">
        <v>1</v>
      </c>
      <c r="AJ254" s="18" t="s">
        <v>874</v>
      </c>
      <c r="AK254" s="49" t="s">
        <v>815</v>
      </c>
    </row>
    <row r="255" spans="1:37" ht="16.5" x14ac:dyDescent="0.4">
      <c r="A255" s="3"/>
      <c r="B255" s="3"/>
      <c r="C255" s="4"/>
      <c r="D255" s="4" t="s">
        <v>446</v>
      </c>
      <c r="E255" s="3"/>
      <c r="F255" s="4"/>
      <c r="G255" s="4"/>
      <c r="H255" s="43">
        <f>SUM(H253:H254)</f>
        <v>4938.5599999999995</v>
      </c>
      <c r="I255" s="5"/>
      <c r="J255" s="45" t="str">
        <f t="shared" ca="1" si="4"/>
        <v/>
      </c>
      <c r="K255" s="43">
        <f>SUM(K253:K254)</f>
        <v>4938.5599999999995</v>
      </c>
      <c r="L255" s="9"/>
      <c r="M255" s="4"/>
      <c r="N255" s="4"/>
      <c r="O255" s="4"/>
      <c r="P255" s="4"/>
      <c r="Q255" s="4"/>
      <c r="R255" s="4" t="s">
        <v>42</v>
      </c>
      <c r="S255" s="6">
        <v>18136.86</v>
      </c>
      <c r="T255" s="6">
        <v>0</v>
      </c>
      <c r="U255" s="6">
        <v>0</v>
      </c>
      <c r="V255" s="6">
        <v>0</v>
      </c>
      <c r="W255" s="6">
        <v>0</v>
      </c>
      <c r="X255" s="7"/>
      <c r="Y255" s="7"/>
      <c r="Z255" s="6">
        <v>0</v>
      </c>
      <c r="AA255" s="4"/>
      <c r="AB255" s="4"/>
      <c r="AC255" s="4"/>
      <c r="AD255" s="4"/>
      <c r="AE255" s="6">
        <v>18136.86</v>
      </c>
      <c r="AF255" s="6">
        <v>4285.62</v>
      </c>
      <c r="AG255" s="48"/>
      <c r="AH255" s="44" cm="1">
        <f t="array" ref="AH255">IFERROR(SUMPRODUCT(AF253:AF254*--(((AI253:AI254=TRUE)+(AI253:AI254=1))&gt;0)),0)</f>
        <v>4285.62</v>
      </c>
      <c r="AI255" s="54">
        <f>SUMIF(AI253:AI254,TRUE,H253:H254)/H255</f>
        <v>1</v>
      </c>
      <c r="AJ255" s="6"/>
      <c r="AK255" s="50"/>
    </row>
    <row r="256" spans="1:37" x14ac:dyDescent="0.35">
      <c r="A256" s="12" t="s">
        <v>33</v>
      </c>
      <c r="B256" s="12">
        <v>100111940</v>
      </c>
      <c r="C256" s="13" t="s">
        <v>450</v>
      </c>
      <c r="D256" s="13" t="s">
        <v>451</v>
      </c>
      <c r="E256" s="12">
        <v>9700025808</v>
      </c>
      <c r="F256" s="13" t="s">
        <v>452</v>
      </c>
      <c r="G256" s="12" t="s">
        <v>37</v>
      </c>
      <c r="H256" s="14">
        <v>2868.23</v>
      </c>
      <c r="I256" s="15">
        <v>46137</v>
      </c>
      <c r="J256" s="12" t="str">
        <f t="shared" ca="1" si="4"/>
        <v>0-30</v>
      </c>
      <c r="K256" s="14">
        <v>2868.23</v>
      </c>
      <c r="L256" s="16">
        <v>46107</v>
      </c>
      <c r="M256" s="13" t="s">
        <v>38</v>
      </c>
      <c r="N256" s="13" t="s">
        <v>39</v>
      </c>
      <c r="O256" s="13" t="s">
        <v>40</v>
      </c>
      <c r="P256" s="13"/>
      <c r="Q256" s="13" t="s">
        <v>41</v>
      </c>
      <c r="R256" s="13" t="s">
        <v>42</v>
      </c>
      <c r="S256" s="17">
        <v>10533.57</v>
      </c>
      <c r="T256" s="17">
        <v>0</v>
      </c>
      <c r="U256" s="17">
        <v>0</v>
      </c>
      <c r="V256" s="17">
        <v>0</v>
      </c>
      <c r="W256" s="17">
        <v>0</v>
      </c>
      <c r="X256" s="17">
        <v>0</v>
      </c>
      <c r="Y256" s="17">
        <v>0</v>
      </c>
      <c r="Z256" s="17">
        <v>0</v>
      </c>
      <c r="AA256" s="13" t="s">
        <v>453</v>
      </c>
      <c r="AB256" s="13" t="s">
        <v>44</v>
      </c>
      <c r="AC256" s="13" t="s">
        <v>45</v>
      </c>
      <c r="AD256" s="13" t="s">
        <v>46</v>
      </c>
      <c r="AE256" s="17">
        <v>10533.57</v>
      </c>
      <c r="AF256" s="17">
        <v>2474.3200000000002</v>
      </c>
      <c r="AG256" s="47" t="s">
        <v>876</v>
      </c>
      <c r="AH256" s="20" t="e">
        <v>#N/A</v>
      </c>
      <c r="AI256" s="19" t="b">
        <v>0</v>
      </c>
      <c r="AJ256" s="18" t="s">
        <v>865</v>
      </c>
      <c r="AK256" s="49" t="s">
        <v>784</v>
      </c>
    </row>
    <row r="257" spans="1:37" ht="16.5" x14ac:dyDescent="0.4">
      <c r="A257" s="3"/>
      <c r="B257" s="3"/>
      <c r="C257" s="4"/>
      <c r="D257" s="4" t="s">
        <v>451</v>
      </c>
      <c r="E257" s="3"/>
      <c r="F257" s="4"/>
      <c r="G257" s="4"/>
      <c r="H257" s="43">
        <f>SUM(H256:H256)</f>
        <v>2868.23</v>
      </c>
      <c r="I257" s="5"/>
      <c r="J257" s="45" t="str">
        <f t="shared" ca="1" si="4"/>
        <v/>
      </c>
      <c r="K257" s="43">
        <f>SUM(K256:K256)</f>
        <v>2868.23</v>
      </c>
      <c r="L257" s="9"/>
      <c r="M257" s="4"/>
      <c r="N257" s="4"/>
      <c r="O257" s="4"/>
      <c r="P257" s="4"/>
      <c r="Q257" s="4"/>
      <c r="R257" s="4" t="s">
        <v>42</v>
      </c>
      <c r="S257" s="6">
        <v>10533.57</v>
      </c>
      <c r="T257" s="6">
        <v>0</v>
      </c>
      <c r="U257" s="6">
        <v>0</v>
      </c>
      <c r="V257" s="6">
        <v>0</v>
      </c>
      <c r="W257" s="6">
        <v>0</v>
      </c>
      <c r="X257" s="7"/>
      <c r="Y257" s="7"/>
      <c r="Z257" s="6">
        <v>0</v>
      </c>
      <c r="AA257" s="4"/>
      <c r="AB257" s="4"/>
      <c r="AC257" s="4"/>
      <c r="AD257" s="4"/>
      <c r="AE257" s="6">
        <v>10533.57</v>
      </c>
      <c r="AF257" s="6">
        <v>2474.3200000000002</v>
      </c>
      <c r="AG257" s="48"/>
      <c r="AH257" s="44" cm="1">
        <f t="array" ref="AH257">IFERROR(SUMPRODUCT(AF256:AF256*--(((AI256:AI256=TRUE)+(AI256:AI256=1))&gt;0)),0)</f>
        <v>0</v>
      </c>
      <c r="AI257" s="54">
        <f>SUMIF(AI256:AI256,TRUE,H256:H256)/H257</f>
        <v>0</v>
      </c>
      <c r="AJ257" s="6"/>
      <c r="AK257" s="50"/>
    </row>
    <row r="258" spans="1:37" x14ac:dyDescent="0.35">
      <c r="A258" s="12" t="s">
        <v>33</v>
      </c>
      <c r="B258" s="12">
        <v>100118869</v>
      </c>
      <c r="C258" s="13" t="s">
        <v>454</v>
      </c>
      <c r="D258" s="13" t="s">
        <v>455</v>
      </c>
      <c r="E258" s="12">
        <v>9700022649</v>
      </c>
      <c r="F258" s="13" t="s">
        <v>456</v>
      </c>
      <c r="G258" s="12" t="s">
        <v>37</v>
      </c>
      <c r="H258" s="14">
        <v>749.79</v>
      </c>
      <c r="I258" s="15">
        <v>46128</v>
      </c>
      <c r="J258" s="12" t="str">
        <f t="shared" ca="1" si="4"/>
        <v>0-30</v>
      </c>
      <c r="K258" s="14">
        <v>749.79</v>
      </c>
      <c r="L258" s="16">
        <v>46098</v>
      </c>
      <c r="M258" s="13" t="s">
        <v>38</v>
      </c>
      <c r="N258" s="13" t="s">
        <v>39</v>
      </c>
      <c r="O258" s="13" t="s">
        <v>40</v>
      </c>
      <c r="P258" s="13"/>
      <c r="Q258" s="13" t="s">
        <v>41</v>
      </c>
      <c r="R258" s="13" t="s">
        <v>42</v>
      </c>
      <c r="S258" s="17">
        <v>2753.6</v>
      </c>
      <c r="T258" s="17">
        <v>0</v>
      </c>
      <c r="U258" s="17">
        <v>0</v>
      </c>
      <c r="V258" s="17">
        <v>0</v>
      </c>
      <c r="W258" s="17">
        <v>0</v>
      </c>
      <c r="X258" s="17">
        <v>0</v>
      </c>
      <c r="Y258" s="17">
        <v>0</v>
      </c>
      <c r="Z258" s="17">
        <v>0</v>
      </c>
      <c r="AA258" s="13" t="s">
        <v>457</v>
      </c>
      <c r="AB258" s="13" t="s">
        <v>44</v>
      </c>
      <c r="AC258" s="13" t="s">
        <v>45</v>
      </c>
      <c r="AD258" s="13" t="s">
        <v>46</v>
      </c>
      <c r="AE258" s="17">
        <v>2753.6</v>
      </c>
      <c r="AF258" s="17">
        <v>653.35</v>
      </c>
      <c r="AG258" s="47" t="s">
        <v>876</v>
      </c>
      <c r="AH258" s="20" t="e">
        <v>#N/A</v>
      </c>
      <c r="AI258" s="19" t="b">
        <v>1</v>
      </c>
      <c r="AJ258" s="18" t="s">
        <v>874</v>
      </c>
      <c r="AK258" s="49" t="s">
        <v>815</v>
      </c>
    </row>
    <row r="259" spans="1:37" x14ac:dyDescent="0.35">
      <c r="A259" s="12" t="s">
        <v>33</v>
      </c>
      <c r="B259" s="12">
        <v>100118869</v>
      </c>
      <c r="C259" s="13" t="s">
        <v>454</v>
      </c>
      <c r="D259" s="13" t="s">
        <v>455</v>
      </c>
      <c r="E259" s="12">
        <v>9700025789</v>
      </c>
      <c r="F259" s="13" t="s">
        <v>458</v>
      </c>
      <c r="G259" s="12" t="s">
        <v>37</v>
      </c>
      <c r="H259" s="14">
        <v>677.94</v>
      </c>
      <c r="I259" s="15">
        <v>46141</v>
      </c>
      <c r="J259" s="12" t="str">
        <f t="shared" ca="1" si="4"/>
        <v>Current</v>
      </c>
      <c r="K259" s="14">
        <v>677.94</v>
      </c>
      <c r="L259" s="16">
        <v>46111</v>
      </c>
      <c r="M259" s="13" t="s">
        <v>38</v>
      </c>
      <c r="N259" s="13" t="s">
        <v>39</v>
      </c>
      <c r="O259" s="13" t="s">
        <v>40</v>
      </c>
      <c r="P259" s="13"/>
      <c r="Q259" s="13" t="s">
        <v>41</v>
      </c>
      <c r="R259" s="13" t="s">
        <v>42</v>
      </c>
      <c r="S259" s="17">
        <v>2489.73</v>
      </c>
      <c r="T259" s="17">
        <v>0</v>
      </c>
      <c r="U259" s="17">
        <v>0</v>
      </c>
      <c r="V259" s="17">
        <v>0</v>
      </c>
      <c r="W259" s="17">
        <v>0</v>
      </c>
      <c r="X259" s="17">
        <v>0</v>
      </c>
      <c r="Y259" s="17">
        <v>0</v>
      </c>
      <c r="Z259" s="17">
        <v>0</v>
      </c>
      <c r="AA259" s="13" t="s">
        <v>457</v>
      </c>
      <c r="AB259" s="13" t="s">
        <v>44</v>
      </c>
      <c r="AC259" s="13" t="s">
        <v>45</v>
      </c>
      <c r="AD259" s="13" t="s">
        <v>46</v>
      </c>
      <c r="AE259" s="17">
        <v>2489.73</v>
      </c>
      <c r="AF259" s="17">
        <v>585.85</v>
      </c>
      <c r="AG259" s="47" t="s">
        <v>876</v>
      </c>
      <c r="AH259" s="20" t="e">
        <v>#N/A</v>
      </c>
      <c r="AI259" s="19" t="b">
        <v>1</v>
      </c>
      <c r="AJ259" s="18" t="s">
        <v>874</v>
      </c>
      <c r="AK259" s="49" t="s">
        <v>815</v>
      </c>
    </row>
    <row r="260" spans="1:37" ht="16.5" x14ac:dyDescent="0.4">
      <c r="A260" s="3"/>
      <c r="B260" s="3"/>
      <c r="C260" s="4"/>
      <c r="D260" s="4" t="s">
        <v>455</v>
      </c>
      <c r="E260" s="3"/>
      <c r="F260" s="4"/>
      <c r="G260" s="4"/>
      <c r="H260" s="43">
        <f>SUM(H258:H259)</f>
        <v>1427.73</v>
      </c>
      <c r="I260" s="5"/>
      <c r="J260" s="45" t="str">
        <f t="shared" ca="1" si="4"/>
        <v/>
      </c>
      <c r="K260" s="43">
        <f>SUM(K258:K259)</f>
        <v>1427.73</v>
      </c>
      <c r="L260" s="9"/>
      <c r="M260" s="4"/>
      <c r="N260" s="4"/>
      <c r="O260" s="4"/>
      <c r="P260" s="4"/>
      <c r="Q260" s="4"/>
      <c r="R260" s="4" t="s">
        <v>42</v>
      </c>
      <c r="S260" s="6">
        <v>5243.33</v>
      </c>
      <c r="T260" s="6">
        <v>0</v>
      </c>
      <c r="U260" s="6">
        <v>0</v>
      </c>
      <c r="V260" s="6">
        <v>0</v>
      </c>
      <c r="W260" s="6">
        <v>0</v>
      </c>
      <c r="X260" s="7"/>
      <c r="Y260" s="7"/>
      <c r="Z260" s="6">
        <v>0</v>
      </c>
      <c r="AA260" s="4"/>
      <c r="AB260" s="4"/>
      <c r="AC260" s="4"/>
      <c r="AD260" s="4"/>
      <c r="AE260" s="6">
        <v>5243.33</v>
      </c>
      <c r="AF260" s="6">
        <v>1239.2</v>
      </c>
      <c r="AG260" s="48"/>
      <c r="AH260" s="44" cm="1">
        <f t="array" ref="AH260">IFERROR(SUMPRODUCT(AF258:AF259*--(((AI258:AI259=TRUE)+(AI258:AI259=1))&gt;0)),0)</f>
        <v>1239.2</v>
      </c>
      <c r="AI260" s="54">
        <f>SUMIF(AI258:AI259,TRUE,H258:H259)/H260</f>
        <v>1</v>
      </c>
      <c r="AJ260" s="6"/>
      <c r="AK260" s="50"/>
    </row>
    <row r="261" spans="1:37" x14ac:dyDescent="0.35">
      <c r="A261" s="12" t="s">
        <v>33</v>
      </c>
      <c r="B261" s="12">
        <v>100108800</v>
      </c>
      <c r="C261" s="13" t="s">
        <v>459</v>
      </c>
      <c r="D261" s="13" t="s">
        <v>460</v>
      </c>
      <c r="E261" s="12">
        <v>9700023063</v>
      </c>
      <c r="F261" s="13" t="s">
        <v>461</v>
      </c>
      <c r="G261" s="12" t="s">
        <v>37</v>
      </c>
      <c r="H261" s="14">
        <v>5340.68</v>
      </c>
      <c r="I261" s="15">
        <v>46129</v>
      </c>
      <c r="J261" s="12" t="str">
        <f t="shared" ca="1" si="4"/>
        <v>0-30</v>
      </c>
      <c r="K261" s="14">
        <v>5340.68</v>
      </c>
      <c r="L261" s="16">
        <v>46099</v>
      </c>
      <c r="M261" s="13" t="s">
        <v>38</v>
      </c>
      <c r="N261" s="13" t="s">
        <v>39</v>
      </c>
      <c r="O261" s="13" t="s">
        <v>40</v>
      </c>
      <c r="P261" s="13"/>
      <c r="Q261" s="13" t="s">
        <v>41</v>
      </c>
      <c r="R261" s="13" t="s">
        <v>42</v>
      </c>
      <c r="S261" s="17">
        <v>19613.650000000001</v>
      </c>
      <c r="T261" s="17">
        <v>0</v>
      </c>
      <c r="U261" s="17">
        <v>0</v>
      </c>
      <c r="V261" s="17">
        <v>0</v>
      </c>
      <c r="W261" s="17">
        <v>0</v>
      </c>
      <c r="X261" s="17">
        <v>0</v>
      </c>
      <c r="Y261" s="17">
        <v>0</v>
      </c>
      <c r="Z261" s="17">
        <v>0</v>
      </c>
      <c r="AA261" s="13" t="s">
        <v>462</v>
      </c>
      <c r="AB261" s="13" t="s">
        <v>44</v>
      </c>
      <c r="AC261" s="13" t="s">
        <v>45</v>
      </c>
      <c r="AD261" s="13" t="s">
        <v>46</v>
      </c>
      <c r="AE261" s="17">
        <v>19613.650000000001</v>
      </c>
      <c r="AF261" s="17">
        <v>4652.97</v>
      </c>
      <c r="AG261" s="47" t="s">
        <v>876</v>
      </c>
      <c r="AH261" s="20" t="e">
        <v>#N/A</v>
      </c>
      <c r="AI261" s="19" t="b">
        <v>1</v>
      </c>
      <c r="AJ261" s="18" t="s">
        <v>874</v>
      </c>
      <c r="AK261" s="49" t="s">
        <v>815</v>
      </c>
    </row>
    <row r="262" spans="1:37" x14ac:dyDescent="0.35">
      <c r="A262" s="12" t="s">
        <v>33</v>
      </c>
      <c r="B262" s="12">
        <v>100108800</v>
      </c>
      <c r="C262" s="13" t="s">
        <v>459</v>
      </c>
      <c r="D262" s="13" t="s">
        <v>460</v>
      </c>
      <c r="E262" s="12">
        <v>9700025709</v>
      </c>
      <c r="F262" s="13" t="s">
        <v>463</v>
      </c>
      <c r="G262" s="12" t="s">
        <v>37</v>
      </c>
      <c r="H262" s="14">
        <v>8626.85</v>
      </c>
      <c r="I262" s="15">
        <v>46141</v>
      </c>
      <c r="J262" s="12" t="str">
        <f t="shared" ca="1" si="4"/>
        <v>Current</v>
      </c>
      <c r="K262" s="14">
        <v>8626.85</v>
      </c>
      <c r="L262" s="16">
        <v>46111</v>
      </c>
      <c r="M262" s="13" t="s">
        <v>38</v>
      </c>
      <c r="N262" s="13" t="s">
        <v>39</v>
      </c>
      <c r="O262" s="13" t="s">
        <v>40</v>
      </c>
      <c r="P262" s="13"/>
      <c r="Q262" s="13" t="s">
        <v>41</v>
      </c>
      <c r="R262" s="13" t="s">
        <v>42</v>
      </c>
      <c r="S262" s="17">
        <v>31682.11</v>
      </c>
      <c r="T262" s="17">
        <v>0</v>
      </c>
      <c r="U262" s="17">
        <v>0</v>
      </c>
      <c r="V262" s="17">
        <v>0</v>
      </c>
      <c r="W262" s="17">
        <v>0</v>
      </c>
      <c r="X262" s="17">
        <v>0</v>
      </c>
      <c r="Y262" s="17">
        <v>0</v>
      </c>
      <c r="Z262" s="17">
        <v>0</v>
      </c>
      <c r="AA262" s="13" t="s">
        <v>464</v>
      </c>
      <c r="AB262" s="13" t="s">
        <v>44</v>
      </c>
      <c r="AC262" s="13" t="s">
        <v>45</v>
      </c>
      <c r="AD262" s="13" t="s">
        <v>46</v>
      </c>
      <c r="AE262" s="17">
        <v>31682.11</v>
      </c>
      <c r="AF262" s="17">
        <v>7454.93</v>
      </c>
      <c r="AG262" s="47" t="s">
        <v>876</v>
      </c>
      <c r="AH262" s="20" t="e">
        <v>#N/A</v>
      </c>
      <c r="AI262" s="19" t="b">
        <v>0</v>
      </c>
      <c r="AJ262" s="18" t="s">
        <v>865</v>
      </c>
      <c r="AK262" s="49" t="s">
        <v>784</v>
      </c>
    </row>
    <row r="263" spans="1:37" ht="16.5" x14ac:dyDescent="0.4">
      <c r="A263" s="3"/>
      <c r="B263" s="3"/>
      <c r="C263" s="4"/>
      <c r="D263" s="4" t="s">
        <v>460</v>
      </c>
      <c r="E263" s="3"/>
      <c r="F263" s="4"/>
      <c r="G263" s="4"/>
      <c r="H263" s="43">
        <f>SUM(H261:H262)</f>
        <v>13967.53</v>
      </c>
      <c r="I263" s="5"/>
      <c r="J263" s="45" t="str">
        <f t="shared" ca="1" si="4"/>
        <v/>
      </c>
      <c r="K263" s="43">
        <f>SUM(K261:K262)</f>
        <v>13967.53</v>
      </c>
      <c r="L263" s="9"/>
      <c r="M263" s="4"/>
      <c r="N263" s="4"/>
      <c r="O263" s="4"/>
      <c r="P263" s="4"/>
      <c r="Q263" s="4"/>
      <c r="R263" s="4" t="s">
        <v>42</v>
      </c>
      <c r="S263" s="6">
        <v>51295.76</v>
      </c>
      <c r="T263" s="6">
        <v>0</v>
      </c>
      <c r="U263" s="6">
        <v>0</v>
      </c>
      <c r="V263" s="6">
        <v>0</v>
      </c>
      <c r="W263" s="6">
        <v>0</v>
      </c>
      <c r="X263" s="7"/>
      <c r="Y263" s="7"/>
      <c r="Z263" s="6">
        <v>0</v>
      </c>
      <c r="AA263" s="4"/>
      <c r="AB263" s="4"/>
      <c r="AC263" s="4"/>
      <c r="AD263" s="4"/>
      <c r="AE263" s="6">
        <v>51295.76</v>
      </c>
      <c r="AF263" s="6">
        <v>12107.9</v>
      </c>
      <c r="AG263" s="48"/>
      <c r="AH263" s="44" cm="1">
        <f t="array" ref="AH263">IFERROR(SUMPRODUCT(AF261:AF262*--(((AI261:AI262=TRUE)+(AI261:AI262=1))&gt;0)),0)</f>
        <v>4652.97</v>
      </c>
      <c r="AI263" s="54">
        <f>SUMIF(AI261:AI262,TRUE,H261:H262)/H263</f>
        <v>0.38236395411357627</v>
      </c>
      <c r="AJ263" s="6"/>
      <c r="AK263" s="50"/>
    </row>
    <row r="264" spans="1:37" x14ac:dyDescent="0.35">
      <c r="A264" s="12" t="s">
        <v>33</v>
      </c>
      <c r="B264" s="12">
        <v>100108721</v>
      </c>
      <c r="C264" s="13" t="s">
        <v>465</v>
      </c>
      <c r="D264" s="13" t="s">
        <v>466</v>
      </c>
      <c r="E264" s="12">
        <v>9700023361</v>
      </c>
      <c r="F264" s="13" t="s">
        <v>467</v>
      </c>
      <c r="G264" s="12" t="s">
        <v>37</v>
      </c>
      <c r="H264" s="14">
        <v>2063.5</v>
      </c>
      <c r="I264" s="15">
        <v>46130</v>
      </c>
      <c r="J264" s="12" t="str">
        <f t="shared" ca="1" si="4"/>
        <v>0-30</v>
      </c>
      <c r="K264" s="14">
        <v>2063.5</v>
      </c>
      <c r="L264" s="16">
        <v>46100</v>
      </c>
      <c r="M264" s="13" t="s">
        <v>38</v>
      </c>
      <c r="N264" s="13" t="s">
        <v>39</v>
      </c>
      <c r="O264" s="13" t="s">
        <v>40</v>
      </c>
      <c r="P264" s="13"/>
      <c r="Q264" s="13" t="s">
        <v>41</v>
      </c>
      <c r="R264" s="13" t="s">
        <v>42</v>
      </c>
      <c r="S264" s="17">
        <v>7578.2</v>
      </c>
      <c r="T264" s="17">
        <v>0</v>
      </c>
      <c r="U264" s="17">
        <v>0</v>
      </c>
      <c r="V264" s="17">
        <v>0</v>
      </c>
      <c r="W264" s="17">
        <v>0</v>
      </c>
      <c r="X264" s="17">
        <v>0</v>
      </c>
      <c r="Y264" s="17">
        <v>0</v>
      </c>
      <c r="Z264" s="17">
        <v>0</v>
      </c>
      <c r="AA264" s="13" t="s">
        <v>468</v>
      </c>
      <c r="AB264" s="13" t="s">
        <v>44</v>
      </c>
      <c r="AC264" s="13" t="s">
        <v>45</v>
      </c>
      <c r="AD264" s="13" t="s">
        <v>46</v>
      </c>
      <c r="AE264" s="17">
        <v>7578.2</v>
      </c>
      <c r="AF264" s="17">
        <v>1797.79</v>
      </c>
      <c r="AG264" s="47" t="s">
        <v>876</v>
      </c>
      <c r="AH264" s="20" t="e">
        <v>#N/A</v>
      </c>
      <c r="AI264" s="19" t="b">
        <v>1</v>
      </c>
      <c r="AJ264" s="18" t="s">
        <v>874</v>
      </c>
      <c r="AK264" s="49" t="s">
        <v>815</v>
      </c>
    </row>
    <row r="265" spans="1:37" x14ac:dyDescent="0.35">
      <c r="A265" s="12" t="s">
        <v>33</v>
      </c>
      <c r="B265" s="12">
        <v>100108721</v>
      </c>
      <c r="C265" s="13" t="s">
        <v>465</v>
      </c>
      <c r="D265" s="13" t="s">
        <v>466</v>
      </c>
      <c r="E265" s="12">
        <v>9700025745</v>
      </c>
      <c r="F265" s="13" t="s">
        <v>469</v>
      </c>
      <c r="G265" s="12" t="s">
        <v>37</v>
      </c>
      <c r="H265" s="14">
        <v>24040.06</v>
      </c>
      <c r="I265" s="15">
        <v>46141</v>
      </c>
      <c r="J265" s="12" t="str">
        <f t="shared" ca="1" si="4"/>
        <v>Current</v>
      </c>
      <c r="K265" s="14">
        <v>24040.06</v>
      </c>
      <c r="L265" s="16">
        <v>46111</v>
      </c>
      <c r="M265" s="13" t="s">
        <v>38</v>
      </c>
      <c r="N265" s="13" t="s">
        <v>39</v>
      </c>
      <c r="O265" s="13" t="s">
        <v>40</v>
      </c>
      <c r="P265" s="13"/>
      <c r="Q265" s="13" t="s">
        <v>41</v>
      </c>
      <c r="R265" s="13" t="s">
        <v>42</v>
      </c>
      <c r="S265" s="17">
        <v>88287.12</v>
      </c>
      <c r="T265" s="17">
        <v>0</v>
      </c>
      <c r="U265" s="17">
        <v>0</v>
      </c>
      <c r="V265" s="17">
        <v>0</v>
      </c>
      <c r="W265" s="17">
        <v>0</v>
      </c>
      <c r="X265" s="17">
        <v>0</v>
      </c>
      <c r="Y265" s="17">
        <v>0</v>
      </c>
      <c r="Z265" s="17">
        <v>0</v>
      </c>
      <c r="AA265" s="13" t="s">
        <v>470</v>
      </c>
      <c r="AB265" s="13" t="s">
        <v>44</v>
      </c>
      <c r="AC265" s="13" t="s">
        <v>45</v>
      </c>
      <c r="AD265" s="13" t="s">
        <v>46</v>
      </c>
      <c r="AE265" s="17">
        <v>88287.12</v>
      </c>
      <c r="AF265" s="17">
        <v>20774.330000000002</v>
      </c>
      <c r="AG265" s="47" t="s">
        <v>876</v>
      </c>
      <c r="AH265" s="20" t="e">
        <v>#N/A</v>
      </c>
      <c r="AI265" s="19" t="b">
        <v>1</v>
      </c>
      <c r="AJ265" s="18" t="s">
        <v>874</v>
      </c>
      <c r="AK265" s="49" t="s">
        <v>815</v>
      </c>
    </row>
    <row r="266" spans="1:37" ht="16.5" x14ac:dyDescent="0.4">
      <c r="A266" s="3"/>
      <c r="B266" s="3"/>
      <c r="C266" s="4"/>
      <c r="D266" s="4" t="s">
        <v>466</v>
      </c>
      <c r="E266" s="3"/>
      <c r="F266" s="4"/>
      <c r="G266" s="4"/>
      <c r="H266" s="43">
        <f>SUM(H264:H265)</f>
        <v>26103.56</v>
      </c>
      <c r="I266" s="5"/>
      <c r="J266" s="45" t="str">
        <f t="shared" ca="1" si="4"/>
        <v/>
      </c>
      <c r="K266" s="43">
        <f>SUM(K264:K265)</f>
        <v>26103.56</v>
      </c>
      <c r="L266" s="9"/>
      <c r="M266" s="4"/>
      <c r="N266" s="4"/>
      <c r="O266" s="4"/>
      <c r="P266" s="4"/>
      <c r="Q266" s="4"/>
      <c r="R266" s="4" t="s">
        <v>42</v>
      </c>
      <c r="S266" s="6">
        <v>95865.32</v>
      </c>
      <c r="T266" s="6">
        <v>0</v>
      </c>
      <c r="U266" s="6">
        <v>0</v>
      </c>
      <c r="V266" s="6">
        <v>0</v>
      </c>
      <c r="W266" s="6">
        <v>0</v>
      </c>
      <c r="X266" s="7"/>
      <c r="Y266" s="7"/>
      <c r="Z266" s="6">
        <v>0</v>
      </c>
      <c r="AA266" s="4"/>
      <c r="AB266" s="4"/>
      <c r="AC266" s="4"/>
      <c r="AD266" s="4"/>
      <c r="AE266" s="6">
        <v>95865.32</v>
      </c>
      <c r="AF266" s="6">
        <v>22572.12</v>
      </c>
      <c r="AG266" s="48"/>
      <c r="AH266" s="44" cm="1">
        <f t="array" ref="AH266">IFERROR(SUMPRODUCT(AF264:AF265*--(((AI264:AI265=TRUE)+(AI264:AI265=1))&gt;0)),0)</f>
        <v>22572.120000000003</v>
      </c>
      <c r="AI266" s="54">
        <f>SUMIF(AI264:AI265,TRUE,H264:H265)/H266</f>
        <v>1</v>
      </c>
      <c r="AJ266" s="6"/>
      <c r="AK266" s="50"/>
    </row>
    <row r="267" spans="1:37" x14ac:dyDescent="0.35">
      <c r="A267" s="12" t="s">
        <v>33</v>
      </c>
      <c r="B267" s="12">
        <v>100108768</v>
      </c>
      <c r="C267" s="13" t="s">
        <v>471</v>
      </c>
      <c r="D267" s="13" t="s">
        <v>472</v>
      </c>
      <c r="E267" s="12">
        <v>9700022888</v>
      </c>
      <c r="F267" s="13" t="s">
        <v>473</v>
      </c>
      <c r="G267" s="12" t="s">
        <v>37</v>
      </c>
      <c r="H267" s="14">
        <v>10734.95</v>
      </c>
      <c r="I267" s="15">
        <v>46129</v>
      </c>
      <c r="J267" s="12" t="str">
        <f t="shared" ca="1" si="4"/>
        <v>0-30</v>
      </c>
      <c r="K267" s="14">
        <v>10734.95</v>
      </c>
      <c r="L267" s="16">
        <v>46099</v>
      </c>
      <c r="M267" s="13" t="s">
        <v>38</v>
      </c>
      <c r="N267" s="13" t="s">
        <v>39</v>
      </c>
      <c r="O267" s="13" t="s">
        <v>40</v>
      </c>
      <c r="P267" s="13"/>
      <c r="Q267" s="13" t="s">
        <v>41</v>
      </c>
      <c r="R267" s="13" t="s">
        <v>42</v>
      </c>
      <c r="S267" s="17">
        <v>39424.1</v>
      </c>
      <c r="T267" s="17">
        <v>0</v>
      </c>
      <c r="U267" s="17">
        <v>0</v>
      </c>
      <c r="V267" s="17">
        <v>0</v>
      </c>
      <c r="W267" s="17">
        <v>0</v>
      </c>
      <c r="X267" s="17">
        <v>0</v>
      </c>
      <c r="Y267" s="17">
        <v>0</v>
      </c>
      <c r="Z267" s="17">
        <v>0</v>
      </c>
      <c r="AA267" s="13" t="s">
        <v>474</v>
      </c>
      <c r="AB267" s="13" t="s">
        <v>44</v>
      </c>
      <c r="AC267" s="13" t="s">
        <v>45</v>
      </c>
      <c r="AD267" s="13" t="s">
        <v>46</v>
      </c>
      <c r="AE267" s="17">
        <v>39424.1</v>
      </c>
      <c r="AF267" s="17">
        <v>9354.26</v>
      </c>
      <c r="AG267" s="47" t="s">
        <v>894</v>
      </c>
      <c r="AH267" s="20" t="e">
        <v>#N/A</v>
      </c>
      <c r="AI267" s="19" t="b">
        <v>1</v>
      </c>
      <c r="AJ267" s="18" t="s">
        <v>874</v>
      </c>
      <c r="AK267" s="49" t="s">
        <v>815</v>
      </c>
    </row>
    <row r="268" spans="1:37" x14ac:dyDescent="0.35">
      <c r="A268" s="12" t="s">
        <v>33</v>
      </c>
      <c r="B268" s="12">
        <v>100108768</v>
      </c>
      <c r="C268" s="13" t="s">
        <v>471</v>
      </c>
      <c r="D268" s="13" t="s">
        <v>472</v>
      </c>
      <c r="E268" s="12">
        <v>9700025713</v>
      </c>
      <c r="F268" s="13" t="s">
        <v>475</v>
      </c>
      <c r="G268" s="12" t="s">
        <v>37</v>
      </c>
      <c r="H268" s="14">
        <v>11397.88</v>
      </c>
      <c r="I268" s="15">
        <v>46141</v>
      </c>
      <c r="J268" s="12" t="str">
        <f t="shared" ca="1" si="4"/>
        <v>Current</v>
      </c>
      <c r="K268" s="14">
        <v>11397.88</v>
      </c>
      <c r="L268" s="16">
        <v>46111</v>
      </c>
      <c r="M268" s="13" t="s">
        <v>38</v>
      </c>
      <c r="N268" s="13" t="s">
        <v>39</v>
      </c>
      <c r="O268" s="13" t="s">
        <v>40</v>
      </c>
      <c r="P268" s="13"/>
      <c r="Q268" s="13" t="s">
        <v>41</v>
      </c>
      <c r="R268" s="13" t="s">
        <v>42</v>
      </c>
      <c r="S268" s="17">
        <v>41858.71</v>
      </c>
      <c r="T268" s="17">
        <v>0</v>
      </c>
      <c r="U268" s="17">
        <v>0</v>
      </c>
      <c r="V268" s="17">
        <v>0</v>
      </c>
      <c r="W268" s="17">
        <v>0</v>
      </c>
      <c r="X268" s="17">
        <v>0</v>
      </c>
      <c r="Y268" s="17">
        <v>0</v>
      </c>
      <c r="Z268" s="17">
        <v>0</v>
      </c>
      <c r="AA268" s="13" t="s">
        <v>476</v>
      </c>
      <c r="AB268" s="13" t="s">
        <v>44</v>
      </c>
      <c r="AC268" s="13" t="s">
        <v>45</v>
      </c>
      <c r="AD268" s="13" t="s">
        <v>46</v>
      </c>
      <c r="AE268" s="17">
        <v>41858.71</v>
      </c>
      <c r="AF268" s="17">
        <v>9849.5300000000007</v>
      </c>
      <c r="AG268" s="47" t="s">
        <v>876</v>
      </c>
      <c r="AH268" s="20" t="e">
        <v>#N/A</v>
      </c>
      <c r="AI268" s="19" t="b">
        <v>1</v>
      </c>
      <c r="AJ268" s="18" t="s">
        <v>874</v>
      </c>
      <c r="AK268" s="49" t="s">
        <v>815</v>
      </c>
    </row>
    <row r="269" spans="1:37" ht="16.5" x14ac:dyDescent="0.4">
      <c r="A269" s="3"/>
      <c r="B269" s="3"/>
      <c r="C269" s="4"/>
      <c r="D269" s="4" t="s">
        <v>472</v>
      </c>
      <c r="E269" s="3"/>
      <c r="F269" s="4"/>
      <c r="G269" s="4"/>
      <c r="H269" s="43">
        <f>SUM(H267:H268)</f>
        <v>22132.83</v>
      </c>
      <c r="I269" s="5"/>
      <c r="J269" s="45" t="str">
        <f t="shared" ca="1" si="4"/>
        <v/>
      </c>
      <c r="K269" s="43">
        <f>SUM(K267:K268)</f>
        <v>22132.83</v>
      </c>
      <c r="L269" s="9"/>
      <c r="M269" s="4"/>
      <c r="N269" s="4"/>
      <c r="O269" s="4"/>
      <c r="P269" s="4"/>
      <c r="Q269" s="4"/>
      <c r="R269" s="4" t="s">
        <v>42</v>
      </c>
      <c r="S269" s="6">
        <v>81282.81</v>
      </c>
      <c r="T269" s="6">
        <v>0</v>
      </c>
      <c r="U269" s="6">
        <v>0</v>
      </c>
      <c r="V269" s="6">
        <v>0</v>
      </c>
      <c r="W269" s="6">
        <v>0</v>
      </c>
      <c r="X269" s="7"/>
      <c r="Y269" s="7"/>
      <c r="Z269" s="6">
        <v>0</v>
      </c>
      <c r="AA269" s="4"/>
      <c r="AB269" s="4"/>
      <c r="AC269" s="4"/>
      <c r="AD269" s="4"/>
      <c r="AE269" s="6">
        <v>81282.81</v>
      </c>
      <c r="AF269" s="6">
        <v>19203.79</v>
      </c>
      <c r="AG269" s="48"/>
      <c r="AH269" s="44" cm="1">
        <f t="array" ref="AH269">IFERROR(SUMPRODUCT(AF267:AF268*--(((AI267:AI268=TRUE)+(AI267:AI268=1))&gt;0)),0)</f>
        <v>19203.79</v>
      </c>
      <c r="AI269" s="54">
        <f>SUMIF(AI267:AI268,TRUE,H267:H268)/H269</f>
        <v>1</v>
      </c>
      <c r="AJ269" s="6"/>
      <c r="AK269" s="50"/>
    </row>
    <row r="270" spans="1:37" x14ac:dyDescent="0.35">
      <c r="A270" s="12" t="s">
        <v>33</v>
      </c>
      <c r="B270" s="12">
        <v>100108755</v>
      </c>
      <c r="C270" s="13" t="s">
        <v>477</v>
      </c>
      <c r="D270" s="13" t="s">
        <v>478</v>
      </c>
      <c r="E270" s="12">
        <v>9700025748</v>
      </c>
      <c r="F270" s="13" t="s">
        <v>479</v>
      </c>
      <c r="G270" s="12" t="s">
        <v>37</v>
      </c>
      <c r="H270" s="14">
        <v>479.33</v>
      </c>
      <c r="I270" s="15">
        <v>46141</v>
      </c>
      <c r="J270" s="12" t="str">
        <f t="shared" ca="1" si="4"/>
        <v>Current</v>
      </c>
      <c r="K270" s="14">
        <v>479.33</v>
      </c>
      <c r="L270" s="16">
        <v>46111</v>
      </c>
      <c r="M270" s="13" t="s">
        <v>38</v>
      </c>
      <c r="N270" s="13" t="s">
        <v>39</v>
      </c>
      <c r="O270" s="13" t="s">
        <v>40</v>
      </c>
      <c r="P270" s="13"/>
      <c r="Q270" s="13" t="s">
        <v>41</v>
      </c>
      <c r="R270" s="13" t="s">
        <v>42</v>
      </c>
      <c r="S270" s="17">
        <v>1760.34</v>
      </c>
      <c r="T270" s="17">
        <v>0</v>
      </c>
      <c r="U270" s="17">
        <v>0</v>
      </c>
      <c r="V270" s="17">
        <v>0</v>
      </c>
      <c r="W270" s="17">
        <v>0</v>
      </c>
      <c r="X270" s="17">
        <v>0</v>
      </c>
      <c r="Y270" s="17">
        <v>0</v>
      </c>
      <c r="Z270" s="17">
        <v>0</v>
      </c>
      <c r="AA270" s="13" t="s">
        <v>480</v>
      </c>
      <c r="AB270" s="13" t="s">
        <v>44</v>
      </c>
      <c r="AC270" s="13" t="s">
        <v>45</v>
      </c>
      <c r="AD270" s="13" t="s">
        <v>46</v>
      </c>
      <c r="AE270" s="17">
        <v>1760.34</v>
      </c>
      <c r="AF270" s="17">
        <v>414.22</v>
      </c>
      <c r="AG270" s="47" t="s">
        <v>895</v>
      </c>
      <c r="AH270" s="20" t="e">
        <v>#N/A</v>
      </c>
      <c r="AI270" s="19" t="b">
        <v>0</v>
      </c>
      <c r="AJ270" s="18" t="s">
        <v>865</v>
      </c>
      <c r="AK270" s="49" t="s">
        <v>784</v>
      </c>
    </row>
    <row r="271" spans="1:37" ht="16.5" x14ac:dyDescent="0.4">
      <c r="A271" s="3"/>
      <c r="B271" s="3"/>
      <c r="C271" s="4"/>
      <c r="D271" s="4" t="s">
        <v>478</v>
      </c>
      <c r="E271" s="3"/>
      <c r="F271" s="4"/>
      <c r="G271" s="4"/>
      <c r="H271" s="43">
        <f>SUM(H270:H270)</f>
        <v>479.33</v>
      </c>
      <c r="I271" s="5"/>
      <c r="J271" s="45" t="str">
        <f t="shared" ca="1" si="4"/>
        <v/>
      </c>
      <c r="K271" s="43">
        <f>SUM(K270:K270)</f>
        <v>479.33</v>
      </c>
      <c r="L271" s="9"/>
      <c r="M271" s="4"/>
      <c r="N271" s="4"/>
      <c r="O271" s="4"/>
      <c r="P271" s="4"/>
      <c r="Q271" s="4"/>
      <c r="R271" s="4" t="s">
        <v>42</v>
      </c>
      <c r="S271" s="6">
        <v>1760.34</v>
      </c>
      <c r="T271" s="6">
        <v>0</v>
      </c>
      <c r="U271" s="6">
        <v>0</v>
      </c>
      <c r="V271" s="6">
        <v>0</v>
      </c>
      <c r="W271" s="6">
        <v>0</v>
      </c>
      <c r="X271" s="7"/>
      <c r="Y271" s="7"/>
      <c r="Z271" s="6">
        <v>0</v>
      </c>
      <c r="AA271" s="4"/>
      <c r="AB271" s="4"/>
      <c r="AC271" s="4"/>
      <c r="AD271" s="4"/>
      <c r="AE271" s="6">
        <v>1760.34</v>
      </c>
      <c r="AF271" s="6">
        <v>414.22</v>
      </c>
      <c r="AG271" s="48"/>
      <c r="AH271" s="44" cm="1">
        <f t="array" ref="AH271">IFERROR(SUMPRODUCT(AF270:AF270*--(((AI270:AI270=TRUE)+(AI270:AI270=1))&gt;0)),0)</f>
        <v>0</v>
      </c>
      <c r="AI271" s="54">
        <f>SUMIF(AI270:AI270,TRUE,H270:H270)/H271</f>
        <v>0</v>
      </c>
      <c r="AJ271" s="6"/>
      <c r="AK271" s="50"/>
    </row>
    <row r="272" spans="1:37" x14ac:dyDescent="0.35">
      <c r="A272" s="12" t="s">
        <v>33</v>
      </c>
      <c r="B272" s="12">
        <v>100118929</v>
      </c>
      <c r="C272" s="13" t="s">
        <v>481</v>
      </c>
      <c r="D272" s="13" t="s">
        <v>482</v>
      </c>
      <c r="E272" s="12">
        <v>9700018248</v>
      </c>
      <c r="F272" s="13" t="s">
        <v>483</v>
      </c>
      <c r="G272" s="12" t="s">
        <v>37</v>
      </c>
      <c r="H272" s="14">
        <v>14442.62</v>
      </c>
      <c r="I272" s="15">
        <v>46109</v>
      </c>
      <c r="J272" s="12" t="str">
        <f t="shared" ca="1" si="4"/>
        <v>31-60</v>
      </c>
      <c r="K272" s="14">
        <v>14442.62</v>
      </c>
      <c r="L272" s="16">
        <v>46079</v>
      </c>
      <c r="M272" s="13" t="s">
        <v>38</v>
      </c>
      <c r="N272" s="13" t="s">
        <v>39</v>
      </c>
      <c r="O272" s="13" t="s">
        <v>40</v>
      </c>
      <c r="P272" s="13"/>
      <c r="Q272" s="13" t="s">
        <v>41</v>
      </c>
      <c r="R272" s="13" t="s">
        <v>42</v>
      </c>
      <c r="S272" s="17">
        <v>0</v>
      </c>
      <c r="T272" s="17">
        <v>53040.52</v>
      </c>
      <c r="U272" s="17">
        <v>0</v>
      </c>
      <c r="V272" s="17">
        <v>0</v>
      </c>
      <c r="W272" s="17">
        <v>0</v>
      </c>
      <c r="X272" s="17">
        <v>0</v>
      </c>
      <c r="Y272" s="17">
        <v>53040.52</v>
      </c>
      <c r="Z272" s="17">
        <v>0</v>
      </c>
      <c r="AA272" s="13" t="s">
        <v>484</v>
      </c>
      <c r="AB272" s="13" t="s">
        <v>44</v>
      </c>
      <c r="AC272" s="13" t="s">
        <v>45</v>
      </c>
      <c r="AD272" s="13" t="s">
        <v>46</v>
      </c>
      <c r="AE272" s="17">
        <v>53040.52</v>
      </c>
      <c r="AF272" s="17">
        <v>12256.13</v>
      </c>
      <c r="AG272" s="47" t="s">
        <v>876</v>
      </c>
      <c r="AH272" s="20" t="s">
        <v>806</v>
      </c>
      <c r="AI272" s="19" t="b">
        <v>0</v>
      </c>
      <c r="AJ272" s="18" t="s">
        <v>865</v>
      </c>
      <c r="AK272" s="49" t="s">
        <v>806</v>
      </c>
    </row>
    <row r="273" spans="1:37" x14ac:dyDescent="0.35">
      <c r="A273" s="12" t="s">
        <v>33</v>
      </c>
      <c r="B273" s="12">
        <v>100118929</v>
      </c>
      <c r="C273" s="13" t="s">
        <v>481</v>
      </c>
      <c r="D273" s="13" t="s">
        <v>482</v>
      </c>
      <c r="E273" s="12">
        <v>9700022729</v>
      </c>
      <c r="F273" s="13" t="s">
        <v>485</v>
      </c>
      <c r="G273" s="12" t="s">
        <v>37</v>
      </c>
      <c r="H273" s="14">
        <v>7934.56</v>
      </c>
      <c r="I273" s="15">
        <v>46130</v>
      </c>
      <c r="J273" s="12" t="str">
        <f t="shared" ca="1" si="4"/>
        <v>0-30</v>
      </c>
      <c r="K273" s="14">
        <v>7934.56</v>
      </c>
      <c r="L273" s="16">
        <v>46100</v>
      </c>
      <c r="M273" s="13" t="s">
        <v>38</v>
      </c>
      <c r="N273" s="13" t="s">
        <v>39</v>
      </c>
      <c r="O273" s="13" t="s">
        <v>40</v>
      </c>
      <c r="P273" s="13"/>
      <c r="Q273" s="13" t="s">
        <v>41</v>
      </c>
      <c r="R273" s="13" t="s">
        <v>42</v>
      </c>
      <c r="S273" s="17">
        <v>29139.67</v>
      </c>
      <c r="T273" s="17">
        <v>0</v>
      </c>
      <c r="U273" s="17">
        <v>0</v>
      </c>
      <c r="V273" s="17">
        <v>0</v>
      </c>
      <c r="W273" s="17">
        <v>0</v>
      </c>
      <c r="X273" s="17">
        <v>0</v>
      </c>
      <c r="Y273" s="17">
        <v>0</v>
      </c>
      <c r="Z273" s="17">
        <v>0</v>
      </c>
      <c r="AA273" s="13" t="s">
        <v>484</v>
      </c>
      <c r="AB273" s="13" t="s">
        <v>44</v>
      </c>
      <c r="AC273" s="13" t="s">
        <v>45</v>
      </c>
      <c r="AD273" s="13" t="s">
        <v>46</v>
      </c>
      <c r="AE273" s="17">
        <v>29139.67</v>
      </c>
      <c r="AF273" s="17">
        <v>6914.05</v>
      </c>
      <c r="AG273" s="47" t="s">
        <v>876</v>
      </c>
      <c r="AH273" s="20" t="e">
        <v>#N/A</v>
      </c>
      <c r="AI273" s="19" t="b">
        <v>0</v>
      </c>
      <c r="AJ273" s="18" t="s">
        <v>865</v>
      </c>
      <c r="AK273" s="49" t="s">
        <v>806</v>
      </c>
    </row>
    <row r="274" spans="1:37" ht="16.5" x14ac:dyDescent="0.4">
      <c r="A274" s="3"/>
      <c r="B274" s="3"/>
      <c r="C274" s="4"/>
      <c r="D274" s="4" t="s">
        <v>482</v>
      </c>
      <c r="E274" s="3"/>
      <c r="F274" s="4"/>
      <c r="G274" s="4"/>
      <c r="H274" s="43">
        <f>SUM(H272:H273)</f>
        <v>22377.18</v>
      </c>
      <c r="I274" s="5"/>
      <c r="J274" s="45" t="str">
        <f t="shared" ca="1" si="4"/>
        <v/>
      </c>
      <c r="K274" s="43">
        <f>SUM(K272:K273)</f>
        <v>22377.18</v>
      </c>
      <c r="L274" s="9"/>
      <c r="M274" s="4"/>
      <c r="N274" s="4"/>
      <c r="O274" s="4"/>
      <c r="P274" s="4"/>
      <c r="Q274" s="4"/>
      <c r="R274" s="4" t="s">
        <v>42</v>
      </c>
      <c r="S274" s="6">
        <v>29139.67</v>
      </c>
      <c r="T274" s="6">
        <v>53040.52</v>
      </c>
      <c r="U274" s="6">
        <v>0</v>
      </c>
      <c r="V274" s="6">
        <v>0</v>
      </c>
      <c r="W274" s="6">
        <v>0</v>
      </c>
      <c r="X274" s="7"/>
      <c r="Y274" s="7"/>
      <c r="Z274" s="6">
        <v>0</v>
      </c>
      <c r="AA274" s="4"/>
      <c r="AB274" s="4"/>
      <c r="AC274" s="4"/>
      <c r="AD274" s="4"/>
      <c r="AE274" s="6">
        <v>82180.19</v>
      </c>
      <c r="AF274" s="6">
        <v>19170.18</v>
      </c>
      <c r="AG274" s="48"/>
      <c r="AH274" s="44" cm="1">
        <f t="array" ref="AH274">IFERROR(SUMPRODUCT(AF272:AF273*--(((AI272:AI273=TRUE)+(AI272:AI273=1))&gt;0)),0)</f>
        <v>0</v>
      </c>
      <c r="AI274" s="54">
        <f>SUMIF(AI272:AI273,TRUE,H272:H273)/H274</f>
        <v>0</v>
      </c>
      <c r="AJ274" s="6"/>
      <c r="AK274" s="50"/>
    </row>
    <row r="275" spans="1:37" x14ac:dyDescent="0.35">
      <c r="A275" s="12" t="s">
        <v>33</v>
      </c>
      <c r="B275" s="12">
        <v>100114615</v>
      </c>
      <c r="C275" s="13" t="s">
        <v>486</v>
      </c>
      <c r="D275" s="13" t="s">
        <v>487</v>
      </c>
      <c r="E275" s="12">
        <v>9700024359</v>
      </c>
      <c r="F275" s="13" t="s">
        <v>488</v>
      </c>
      <c r="G275" s="12" t="s">
        <v>37</v>
      </c>
      <c r="H275" s="14">
        <v>9063.01</v>
      </c>
      <c r="I275" s="15">
        <v>46134</v>
      </c>
      <c r="J275" s="12" t="str">
        <f t="shared" ca="1" si="4"/>
        <v>0-30</v>
      </c>
      <c r="K275" s="14">
        <v>9063.01</v>
      </c>
      <c r="L275" s="16">
        <v>46104</v>
      </c>
      <c r="M275" s="13" t="s">
        <v>38</v>
      </c>
      <c r="N275" s="13" t="s">
        <v>39</v>
      </c>
      <c r="O275" s="13" t="s">
        <v>40</v>
      </c>
      <c r="P275" s="13"/>
      <c r="Q275" s="13" t="s">
        <v>41</v>
      </c>
      <c r="R275" s="13" t="s">
        <v>42</v>
      </c>
      <c r="S275" s="17">
        <v>33283.9</v>
      </c>
      <c r="T275" s="17">
        <v>0</v>
      </c>
      <c r="U275" s="17">
        <v>0</v>
      </c>
      <c r="V275" s="17">
        <v>0</v>
      </c>
      <c r="W275" s="17">
        <v>0</v>
      </c>
      <c r="X275" s="17">
        <v>0</v>
      </c>
      <c r="Y275" s="17">
        <v>0</v>
      </c>
      <c r="Z275" s="17">
        <v>0</v>
      </c>
      <c r="AA275" s="13" t="s">
        <v>489</v>
      </c>
      <c r="AB275" s="13" t="s">
        <v>44</v>
      </c>
      <c r="AC275" s="13" t="s">
        <v>45</v>
      </c>
      <c r="AD275" s="13" t="s">
        <v>46</v>
      </c>
      <c r="AE275" s="17">
        <v>33283.9</v>
      </c>
      <c r="AF275" s="17">
        <v>7843.37</v>
      </c>
      <c r="AG275" s="47" t="s">
        <v>876</v>
      </c>
      <c r="AH275" s="20" t="e">
        <v>#N/A</v>
      </c>
      <c r="AI275" s="19" t="b">
        <v>0</v>
      </c>
      <c r="AJ275" s="18" t="s">
        <v>872</v>
      </c>
      <c r="AK275" s="49" t="s">
        <v>937</v>
      </c>
    </row>
    <row r="276" spans="1:37" x14ac:dyDescent="0.35">
      <c r="A276" s="12" t="s">
        <v>33</v>
      </c>
      <c r="B276" s="12">
        <v>100114615</v>
      </c>
      <c r="C276" s="13" t="s">
        <v>486</v>
      </c>
      <c r="D276" s="13" t="s">
        <v>487</v>
      </c>
      <c r="E276" s="12">
        <v>9700025718</v>
      </c>
      <c r="F276" s="13" t="s">
        <v>490</v>
      </c>
      <c r="G276" s="12" t="s">
        <v>37</v>
      </c>
      <c r="H276" s="14">
        <v>11956.68</v>
      </c>
      <c r="I276" s="15">
        <v>46138</v>
      </c>
      <c r="J276" s="12" t="str">
        <f t="shared" ca="1" si="4"/>
        <v>0-30</v>
      </c>
      <c r="K276" s="14">
        <v>11956.68</v>
      </c>
      <c r="L276" s="16">
        <v>46108</v>
      </c>
      <c r="M276" s="13" t="s">
        <v>38</v>
      </c>
      <c r="N276" s="13" t="s">
        <v>39</v>
      </c>
      <c r="O276" s="13" t="s">
        <v>40</v>
      </c>
      <c r="P276" s="13"/>
      <c r="Q276" s="13" t="s">
        <v>41</v>
      </c>
      <c r="R276" s="13" t="s">
        <v>42</v>
      </c>
      <c r="S276" s="17">
        <v>43910.91</v>
      </c>
      <c r="T276" s="17">
        <v>0</v>
      </c>
      <c r="U276" s="17">
        <v>0</v>
      </c>
      <c r="V276" s="17">
        <v>0</v>
      </c>
      <c r="W276" s="17">
        <v>0</v>
      </c>
      <c r="X276" s="17">
        <v>0</v>
      </c>
      <c r="Y276" s="17">
        <v>0</v>
      </c>
      <c r="Z276" s="17">
        <v>0</v>
      </c>
      <c r="AA276" s="13" t="s">
        <v>489</v>
      </c>
      <c r="AB276" s="13" t="s">
        <v>44</v>
      </c>
      <c r="AC276" s="13" t="s">
        <v>45</v>
      </c>
      <c r="AD276" s="13" t="s">
        <v>46</v>
      </c>
      <c r="AE276" s="17">
        <v>43910.91</v>
      </c>
      <c r="AF276" s="17">
        <v>10332.42</v>
      </c>
      <c r="AG276" s="47" t="s">
        <v>876</v>
      </c>
      <c r="AH276" s="20" t="e">
        <v>#N/A</v>
      </c>
      <c r="AI276" s="19" t="b">
        <v>0</v>
      </c>
      <c r="AJ276" s="18" t="s">
        <v>872</v>
      </c>
      <c r="AK276" s="49" t="s">
        <v>937</v>
      </c>
    </row>
    <row r="277" spans="1:37" x14ac:dyDescent="0.35">
      <c r="A277" s="12" t="s">
        <v>33</v>
      </c>
      <c r="B277" s="12">
        <v>100114615</v>
      </c>
      <c r="C277" s="13" t="s">
        <v>486</v>
      </c>
      <c r="D277" s="13" t="s">
        <v>487</v>
      </c>
      <c r="E277" s="12">
        <v>9700025994</v>
      </c>
      <c r="F277" s="13" t="s">
        <v>491</v>
      </c>
      <c r="G277" s="12" t="s">
        <v>37</v>
      </c>
      <c r="H277" s="14">
        <v>11794.11</v>
      </c>
      <c r="I277" s="15">
        <v>46138</v>
      </c>
      <c r="J277" s="12" t="str">
        <f t="shared" ca="1" si="4"/>
        <v>0-30</v>
      </c>
      <c r="K277" s="14">
        <v>11794.11</v>
      </c>
      <c r="L277" s="16">
        <v>46108</v>
      </c>
      <c r="M277" s="13" t="s">
        <v>38</v>
      </c>
      <c r="N277" s="13" t="s">
        <v>39</v>
      </c>
      <c r="O277" s="13" t="s">
        <v>40</v>
      </c>
      <c r="P277" s="13"/>
      <c r="Q277" s="13" t="s">
        <v>41</v>
      </c>
      <c r="R277" s="13" t="s">
        <v>42</v>
      </c>
      <c r="S277" s="17">
        <v>43313.87</v>
      </c>
      <c r="T277" s="17">
        <v>0</v>
      </c>
      <c r="U277" s="17">
        <v>0</v>
      </c>
      <c r="V277" s="17">
        <v>0</v>
      </c>
      <c r="W277" s="17">
        <v>0</v>
      </c>
      <c r="X277" s="17">
        <v>0</v>
      </c>
      <c r="Y277" s="17">
        <v>0</v>
      </c>
      <c r="Z277" s="17">
        <v>0</v>
      </c>
      <c r="AA277" s="13" t="s">
        <v>492</v>
      </c>
      <c r="AB277" s="13" t="s">
        <v>44</v>
      </c>
      <c r="AC277" s="13" t="s">
        <v>45</v>
      </c>
      <c r="AD277" s="13" t="s">
        <v>46</v>
      </c>
      <c r="AE277" s="17">
        <v>43313.87</v>
      </c>
      <c r="AF277" s="17">
        <v>10174.35</v>
      </c>
      <c r="AG277" s="47" t="s">
        <v>884</v>
      </c>
      <c r="AH277" s="20" t="e">
        <v>#N/A</v>
      </c>
      <c r="AI277" s="19" t="b">
        <v>0</v>
      </c>
      <c r="AJ277" s="18" t="s">
        <v>872</v>
      </c>
      <c r="AK277" s="49" t="s">
        <v>937</v>
      </c>
    </row>
    <row r="278" spans="1:37" x14ac:dyDescent="0.35">
      <c r="A278" s="12" t="s">
        <v>33</v>
      </c>
      <c r="B278" s="12">
        <v>100114615</v>
      </c>
      <c r="C278" s="13" t="s">
        <v>486</v>
      </c>
      <c r="D278" s="13" t="s">
        <v>487</v>
      </c>
      <c r="E278" s="12">
        <v>9700025995</v>
      </c>
      <c r="F278" s="13" t="s">
        <v>493</v>
      </c>
      <c r="G278" s="12" t="s">
        <v>37</v>
      </c>
      <c r="H278" s="14">
        <v>7501.32</v>
      </c>
      <c r="I278" s="15">
        <v>46138</v>
      </c>
      <c r="J278" s="12" t="str">
        <f t="shared" ca="1" si="4"/>
        <v>0-30</v>
      </c>
      <c r="K278" s="14">
        <v>7501.32</v>
      </c>
      <c r="L278" s="16">
        <v>46108</v>
      </c>
      <c r="M278" s="13" t="s">
        <v>38</v>
      </c>
      <c r="N278" s="13" t="s">
        <v>39</v>
      </c>
      <c r="O278" s="13" t="s">
        <v>40</v>
      </c>
      <c r="P278" s="13"/>
      <c r="Q278" s="13" t="s">
        <v>41</v>
      </c>
      <c r="R278" s="13" t="s">
        <v>42</v>
      </c>
      <c r="S278" s="17">
        <v>27548.6</v>
      </c>
      <c r="T278" s="17">
        <v>0</v>
      </c>
      <c r="U278" s="17">
        <v>0</v>
      </c>
      <c r="V278" s="17">
        <v>0</v>
      </c>
      <c r="W278" s="17">
        <v>0</v>
      </c>
      <c r="X278" s="17">
        <v>0</v>
      </c>
      <c r="Y278" s="17">
        <v>0</v>
      </c>
      <c r="Z278" s="17">
        <v>0</v>
      </c>
      <c r="AA278" s="13" t="s">
        <v>494</v>
      </c>
      <c r="AB278" s="13" t="s">
        <v>44</v>
      </c>
      <c r="AC278" s="13" t="s">
        <v>45</v>
      </c>
      <c r="AD278" s="13" t="s">
        <v>46</v>
      </c>
      <c r="AE278" s="17">
        <v>27548.6</v>
      </c>
      <c r="AF278" s="17">
        <v>6471.12</v>
      </c>
      <c r="AG278" s="47" t="s">
        <v>884</v>
      </c>
      <c r="AH278" s="20" t="e">
        <v>#N/A</v>
      </c>
      <c r="AI278" s="19" t="b">
        <v>0</v>
      </c>
      <c r="AJ278" s="18" t="s">
        <v>872</v>
      </c>
      <c r="AK278" s="49" t="s">
        <v>937</v>
      </c>
    </row>
    <row r="279" spans="1:37" ht="16.5" x14ac:dyDescent="0.4">
      <c r="A279" s="3"/>
      <c r="B279" s="3"/>
      <c r="C279" s="4"/>
      <c r="D279" s="4" t="s">
        <v>487</v>
      </c>
      <c r="E279" s="3"/>
      <c r="F279" s="4"/>
      <c r="G279" s="4"/>
      <c r="H279" s="43">
        <f>SUM(H275:H278)</f>
        <v>40315.120000000003</v>
      </c>
      <c r="I279" s="5"/>
      <c r="J279" s="45" t="str">
        <f t="shared" ca="1" si="4"/>
        <v/>
      </c>
      <c r="K279" s="43">
        <f>SUM(K275:K278)</f>
        <v>40315.120000000003</v>
      </c>
      <c r="L279" s="9"/>
      <c r="M279" s="4"/>
      <c r="N279" s="4"/>
      <c r="O279" s="4"/>
      <c r="P279" s="4"/>
      <c r="Q279" s="4"/>
      <c r="R279" s="4" t="s">
        <v>42</v>
      </c>
      <c r="S279" s="6">
        <v>148057.28</v>
      </c>
      <c r="T279" s="6">
        <v>0</v>
      </c>
      <c r="U279" s="6">
        <v>0</v>
      </c>
      <c r="V279" s="6">
        <v>0</v>
      </c>
      <c r="W279" s="6">
        <v>0</v>
      </c>
      <c r="X279" s="7"/>
      <c r="Y279" s="7"/>
      <c r="Z279" s="6">
        <v>0</v>
      </c>
      <c r="AA279" s="4"/>
      <c r="AB279" s="4"/>
      <c r="AC279" s="4"/>
      <c r="AD279" s="4"/>
      <c r="AE279" s="6">
        <v>148057.28</v>
      </c>
      <c r="AF279" s="6">
        <v>34821.26</v>
      </c>
      <c r="AG279" s="48"/>
      <c r="AH279" s="44" cm="1">
        <f t="array" ref="AH279">IFERROR(SUMPRODUCT(AF275:AF278*--(((AI275:AI278=TRUE)+(AI275:AI278=1))&gt;0)),0)</f>
        <v>0</v>
      </c>
      <c r="AI279" s="54">
        <f>SUMIF(AI275:AI278,TRUE,H275:H278)/H279</f>
        <v>0</v>
      </c>
      <c r="AJ279" s="6"/>
      <c r="AK279" s="50"/>
    </row>
    <row r="280" spans="1:37" x14ac:dyDescent="0.35">
      <c r="A280" s="12" t="s">
        <v>33</v>
      </c>
      <c r="B280" s="12">
        <v>100108732</v>
      </c>
      <c r="C280" s="13" t="s">
        <v>495</v>
      </c>
      <c r="D280" s="13" t="s">
        <v>496</v>
      </c>
      <c r="E280" s="12">
        <v>9700002082</v>
      </c>
      <c r="F280" s="13" t="s">
        <v>497</v>
      </c>
      <c r="G280" s="12" t="s">
        <v>37</v>
      </c>
      <c r="H280" s="14">
        <v>118.12</v>
      </c>
      <c r="I280" s="15">
        <v>46064</v>
      </c>
      <c r="J280" s="12" t="str">
        <f t="shared" ca="1" si="4"/>
        <v>61-90</v>
      </c>
      <c r="K280" s="14">
        <v>118.12</v>
      </c>
      <c r="L280" s="16">
        <v>46034</v>
      </c>
      <c r="M280" s="13" t="s">
        <v>38</v>
      </c>
      <c r="N280" s="13" t="s">
        <v>39</v>
      </c>
      <c r="O280" s="13" t="s">
        <v>40</v>
      </c>
      <c r="P280" s="13"/>
      <c r="Q280" s="13" t="s">
        <v>41</v>
      </c>
      <c r="R280" s="13" t="s">
        <v>42</v>
      </c>
      <c r="S280" s="17">
        <v>0</v>
      </c>
      <c r="T280" s="17">
        <v>0</v>
      </c>
      <c r="U280" s="17">
        <v>433.8</v>
      </c>
      <c r="V280" s="17">
        <v>0</v>
      </c>
      <c r="W280" s="17">
        <v>0</v>
      </c>
      <c r="X280" s="17">
        <v>0</v>
      </c>
      <c r="Y280" s="17">
        <v>433.8</v>
      </c>
      <c r="Z280" s="17">
        <v>0</v>
      </c>
      <c r="AA280" s="13" t="s">
        <v>498</v>
      </c>
      <c r="AB280" s="13" t="s">
        <v>44</v>
      </c>
      <c r="AC280" s="13" t="s">
        <v>45</v>
      </c>
      <c r="AD280" s="13" t="s">
        <v>46</v>
      </c>
      <c r="AE280" s="17">
        <v>433.8</v>
      </c>
      <c r="AF280" s="17">
        <v>101.46</v>
      </c>
      <c r="AG280" s="47" t="s">
        <v>876</v>
      </c>
      <c r="AH280" s="20" t="s">
        <v>792</v>
      </c>
      <c r="AI280" s="19" t="b">
        <v>0</v>
      </c>
      <c r="AJ280" s="18" t="s">
        <v>868</v>
      </c>
      <c r="AK280" s="49" t="s">
        <v>792</v>
      </c>
    </row>
    <row r="281" spans="1:37" x14ac:dyDescent="0.35">
      <c r="A281" s="12" t="s">
        <v>33</v>
      </c>
      <c r="B281" s="12">
        <v>100108732</v>
      </c>
      <c r="C281" s="13" t="s">
        <v>495</v>
      </c>
      <c r="D281" s="13" t="s">
        <v>496</v>
      </c>
      <c r="E281" s="12">
        <v>9700003990</v>
      </c>
      <c r="F281" s="13" t="s">
        <v>499</v>
      </c>
      <c r="G281" s="12" t="s">
        <v>37</v>
      </c>
      <c r="H281" s="14">
        <v>118.69</v>
      </c>
      <c r="I281" s="15">
        <v>46071</v>
      </c>
      <c r="J281" s="12" t="str">
        <f t="shared" ca="1" si="4"/>
        <v>61-90</v>
      </c>
      <c r="K281" s="14">
        <v>118.69</v>
      </c>
      <c r="L281" s="16">
        <v>46041</v>
      </c>
      <c r="M281" s="13" t="s">
        <v>38</v>
      </c>
      <c r="N281" s="13" t="s">
        <v>39</v>
      </c>
      <c r="O281" s="13" t="s">
        <v>40</v>
      </c>
      <c r="P281" s="13"/>
      <c r="Q281" s="13" t="s">
        <v>41</v>
      </c>
      <c r="R281" s="13" t="s">
        <v>42</v>
      </c>
      <c r="S281" s="17">
        <v>0</v>
      </c>
      <c r="T281" s="17">
        <v>0</v>
      </c>
      <c r="U281" s="17">
        <v>435.89</v>
      </c>
      <c r="V281" s="17">
        <v>0</v>
      </c>
      <c r="W281" s="17">
        <v>0</v>
      </c>
      <c r="X281" s="17">
        <v>0</v>
      </c>
      <c r="Y281" s="17">
        <v>435.89</v>
      </c>
      <c r="Z281" s="17">
        <v>0</v>
      </c>
      <c r="AA281" s="13" t="s">
        <v>498</v>
      </c>
      <c r="AB281" s="13" t="s">
        <v>44</v>
      </c>
      <c r="AC281" s="13" t="s">
        <v>45</v>
      </c>
      <c r="AD281" s="13" t="s">
        <v>46</v>
      </c>
      <c r="AE281" s="17">
        <v>435.89</v>
      </c>
      <c r="AF281" s="17">
        <v>102.11</v>
      </c>
      <c r="AG281" s="47" t="s">
        <v>876</v>
      </c>
      <c r="AH281" s="20" t="s">
        <v>792</v>
      </c>
      <c r="AI281" s="19" t="b">
        <v>0</v>
      </c>
      <c r="AJ281" s="18" t="s">
        <v>868</v>
      </c>
      <c r="AK281" s="49" t="s">
        <v>792</v>
      </c>
    </row>
    <row r="282" spans="1:37" x14ac:dyDescent="0.35">
      <c r="A282" s="12" t="s">
        <v>33</v>
      </c>
      <c r="B282" s="12">
        <v>100108732</v>
      </c>
      <c r="C282" s="13" t="s">
        <v>495</v>
      </c>
      <c r="D282" s="13" t="s">
        <v>496</v>
      </c>
      <c r="E282" s="12">
        <v>9700012371</v>
      </c>
      <c r="F282" s="13" t="s">
        <v>500</v>
      </c>
      <c r="G282" s="12" t="s">
        <v>37</v>
      </c>
      <c r="H282" s="14">
        <v>1671.33</v>
      </c>
      <c r="I282" s="15">
        <v>45737</v>
      </c>
      <c r="J282" s="12" t="str">
        <f t="shared" ca="1" si="4"/>
        <v>120 +</v>
      </c>
      <c r="K282" s="14">
        <v>1671.33</v>
      </c>
      <c r="L282" s="16">
        <v>45707</v>
      </c>
      <c r="M282" s="13" t="s">
        <v>38</v>
      </c>
      <c r="N282" s="13" t="s">
        <v>39</v>
      </c>
      <c r="O282" s="13" t="s">
        <v>40</v>
      </c>
      <c r="P282" s="13"/>
      <c r="Q282" s="13" t="s">
        <v>41</v>
      </c>
      <c r="R282" s="13" t="s">
        <v>42</v>
      </c>
      <c r="S282" s="17">
        <v>0</v>
      </c>
      <c r="T282" s="17">
        <v>0</v>
      </c>
      <c r="U282" s="17">
        <v>0</v>
      </c>
      <c r="V282" s="17">
        <v>0</v>
      </c>
      <c r="W282" s="17">
        <v>0</v>
      </c>
      <c r="X282" s="17">
        <v>6137.96</v>
      </c>
      <c r="Y282" s="17">
        <v>6137.96</v>
      </c>
      <c r="Z282" s="17">
        <v>0</v>
      </c>
      <c r="AA282" s="13" t="s">
        <v>501</v>
      </c>
      <c r="AB282" s="13" t="s">
        <v>44</v>
      </c>
      <c r="AC282" s="13" t="s">
        <v>45</v>
      </c>
      <c r="AD282" s="13" t="s">
        <v>46</v>
      </c>
      <c r="AE282" s="17">
        <v>6137.96</v>
      </c>
      <c r="AF282" s="17">
        <v>1595.08</v>
      </c>
      <c r="AG282" s="47" t="s">
        <v>882</v>
      </c>
      <c r="AH282" s="20" t="s">
        <v>792</v>
      </c>
      <c r="AI282" s="19" t="b">
        <v>0</v>
      </c>
      <c r="AJ282" s="18" t="s">
        <v>868</v>
      </c>
      <c r="AK282" s="49" t="s">
        <v>792</v>
      </c>
    </row>
    <row r="283" spans="1:37" x14ac:dyDescent="0.35">
      <c r="A283" s="12" t="s">
        <v>33</v>
      </c>
      <c r="B283" s="12">
        <v>100108732</v>
      </c>
      <c r="C283" s="13" t="s">
        <v>495</v>
      </c>
      <c r="D283" s="13" t="s">
        <v>496</v>
      </c>
      <c r="E283" s="12">
        <v>9700017804</v>
      </c>
      <c r="F283" s="13" t="s">
        <v>502</v>
      </c>
      <c r="G283" s="12" t="s">
        <v>37</v>
      </c>
      <c r="H283" s="14">
        <v>1178</v>
      </c>
      <c r="I283" s="15">
        <v>46108</v>
      </c>
      <c r="J283" s="12" t="str">
        <f t="shared" ref="J283:J346" ca="1" si="5">IF($E283="","",IF($I283="","",IF($I283&gt;=TODAY(),"Current",IF(TODAY()-$I283&lt;=30,"0-30",IF(TODAY()-$I283&lt;=60,"31-60",IF(TODAY()-$I283&lt;=90,"61-90",IF(TODAY()-$I283&lt;=120,"91-120","120 +")))))))</f>
        <v>31-60</v>
      </c>
      <c r="K283" s="14">
        <v>1178</v>
      </c>
      <c r="L283" s="16">
        <v>46078</v>
      </c>
      <c r="M283" s="13" t="s">
        <v>38</v>
      </c>
      <c r="N283" s="13" t="s">
        <v>39</v>
      </c>
      <c r="O283" s="13" t="s">
        <v>40</v>
      </c>
      <c r="P283" s="13"/>
      <c r="Q283" s="13" t="s">
        <v>41</v>
      </c>
      <c r="R283" s="13" t="s">
        <v>42</v>
      </c>
      <c r="S283" s="17">
        <v>0</v>
      </c>
      <c r="T283" s="17">
        <v>4326.21</v>
      </c>
      <c r="U283" s="17">
        <v>0</v>
      </c>
      <c r="V283" s="17">
        <v>0</v>
      </c>
      <c r="W283" s="17">
        <v>0</v>
      </c>
      <c r="X283" s="17">
        <v>0</v>
      </c>
      <c r="Y283" s="17">
        <v>4326.21</v>
      </c>
      <c r="Z283" s="17">
        <v>0</v>
      </c>
      <c r="AA283" s="13" t="s">
        <v>503</v>
      </c>
      <c r="AB283" s="13" t="s">
        <v>44</v>
      </c>
      <c r="AC283" s="13" t="s">
        <v>45</v>
      </c>
      <c r="AD283" s="13" t="s">
        <v>46</v>
      </c>
      <c r="AE283" s="17">
        <v>4326.21</v>
      </c>
      <c r="AF283" s="17">
        <v>1001.1</v>
      </c>
      <c r="AG283" s="47" t="s">
        <v>876</v>
      </c>
      <c r="AH283" s="20" t="s">
        <v>792</v>
      </c>
      <c r="AI283" s="19" t="b">
        <v>0</v>
      </c>
      <c r="AJ283" s="18" t="s">
        <v>868</v>
      </c>
      <c r="AK283" s="49" t="s">
        <v>792</v>
      </c>
    </row>
    <row r="284" spans="1:37" x14ac:dyDescent="0.35">
      <c r="A284" s="12" t="s">
        <v>33</v>
      </c>
      <c r="B284" s="12">
        <v>100108732</v>
      </c>
      <c r="C284" s="13" t="s">
        <v>495</v>
      </c>
      <c r="D284" s="13" t="s">
        <v>496</v>
      </c>
      <c r="E284" s="12">
        <v>9700025558</v>
      </c>
      <c r="F284" s="13" t="s">
        <v>504</v>
      </c>
      <c r="G284" s="12" t="s">
        <v>37</v>
      </c>
      <c r="H284" s="14">
        <v>2630.93</v>
      </c>
      <c r="I284" s="15">
        <v>45794</v>
      </c>
      <c r="J284" s="12" t="str">
        <f t="shared" ca="1" si="5"/>
        <v>120 +</v>
      </c>
      <c r="K284" s="14">
        <v>2630.93</v>
      </c>
      <c r="L284" s="16">
        <v>45764</v>
      </c>
      <c r="M284" s="13" t="s">
        <v>38</v>
      </c>
      <c r="N284" s="13" t="s">
        <v>39</v>
      </c>
      <c r="O284" s="13" t="s">
        <v>40</v>
      </c>
      <c r="P284" s="13"/>
      <c r="Q284" s="13" t="s">
        <v>41</v>
      </c>
      <c r="R284" s="13" t="s">
        <v>42</v>
      </c>
      <c r="S284" s="17">
        <v>0</v>
      </c>
      <c r="T284" s="17">
        <v>0</v>
      </c>
      <c r="U284" s="17">
        <v>0</v>
      </c>
      <c r="V284" s="17">
        <v>0</v>
      </c>
      <c r="W284" s="17">
        <v>0</v>
      </c>
      <c r="X284" s="17">
        <v>9662.09</v>
      </c>
      <c r="Y284" s="17">
        <v>9662.09</v>
      </c>
      <c r="Z284" s="17">
        <v>0</v>
      </c>
      <c r="AA284" s="13" t="s">
        <v>498</v>
      </c>
      <c r="AB284" s="13" t="s">
        <v>44</v>
      </c>
      <c r="AC284" s="13" t="s">
        <v>45</v>
      </c>
      <c r="AD284" s="13" t="s">
        <v>46</v>
      </c>
      <c r="AE284" s="17">
        <v>9662.09</v>
      </c>
      <c r="AF284" s="17">
        <v>2318.8200000000002</v>
      </c>
      <c r="AG284" s="47" t="s">
        <v>876</v>
      </c>
      <c r="AH284" s="20" t="s">
        <v>792</v>
      </c>
      <c r="AI284" s="19" t="b">
        <v>0</v>
      </c>
      <c r="AJ284" s="18" t="s">
        <v>868</v>
      </c>
      <c r="AK284" s="49" t="s">
        <v>792</v>
      </c>
    </row>
    <row r="285" spans="1:37" x14ac:dyDescent="0.35">
      <c r="A285" s="12" t="s">
        <v>33</v>
      </c>
      <c r="B285" s="12">
        <v>100108732</v>
      </c>
      <c r="C285" s="13" t="s">
        <v>495</v>
      </c>
      <c r="D285" s="13" t="s">
        <v>496</v>
      </c>
      <c r="E285" s="12">
        <v>9700025747</v>
      </c>
      <c r="F285" s="13" t="s">
        <v>505</v>
      </c>
      <c r="G285" s="12" t="s">
        <v>37</v>
      </c>
      <c r="H285" s="14">
        <v>1400.18</v>
      </c>
      <c r="I285" s="15">
        <v>46141</v>
      </c>
      <c r="J285" s="12" t="str">
        <f t="shared" ca="1" si="5"/>
        <v>Current</v>
      </c>
      <c r="K285" s="14">
        <v>1400.18</v>
      </c>
      <c r="L285" s="16">
        <v>46111</v>
      </c>
      <c r="M285" s="13" t="s">
        <v>38</v>
      </c>
      <c r="N285" s="13" t="s">
        <v>39</v>
      </c>
      <c r="O285" s="13" t="s">
        <v>40</v>
      </c>
      <c r="P285" s="13"/>
      <c r="Q285" s="13" t="s">
        <v>41</v>
      </c>
      <c r="R285" s="13" t="s">
        <v>42</v>
      </c>
      <c r="S285" s="17">
        <v>5142.16</v>
      </c>
      <c r="T285" s="17">
        <v>0</v>
      </c>
      <c r="U285" s="17">
        <v>0</v>
      </c>
      <c r="V285" s="17">
        <v>0</v>
      </c>
      <c r="W285" s="17">
        <v>0</v>
      </c>
      <c r="X285" s="17">
        <v>0</v>
      </c>
      <c r="Y285" s="17">
        <v>0</v>
      </c>
      <c r="Z285" s="17">
        <v>0</v>
      </c>
      <c r="AA285" s="13" t="s">
        <v>503</v>
      </c>
      <c r="AB285" s="13" t="s">
        <v>44</v>
      </c>
      <c r="AC285" s="13" t="s">
        <v>45</v>
      </c>
      <c r="AD285" s="13" t="s">
        <v>46</v>
      </c>
      <c r="AE285" s="17">
        <v>5142.16</v>
      </c>
      <c r="AF285" s="17">
        <v>1209.97</v>
      </c>
      <c r="AG285" s="47" t="s">
        <v>876</v>
      </c>
      <c r="AH285" s="20" t="e">
        <v>#N/A</v>
      </c>
      <c r="AI285" s="19" t="b">
        <v>0</v>
      </c>
      <c r="AJ285" s="18" t="s">
        <v>868</v>
      </c>
      <c r="AK285" s="49" t="s">
        <v>792</v>
      </c>
    </row>
    <row r="286" spans="1:37" x14ac:dyDescent="0.35">
      <c r="A286" s="12" t="s">
        <v>33</v>
      </c>
      <c r="B286" s="12">
        <v>100108732</v>
      </c>
      <c r="C286" s="13" t="s">
        <v>495</v>
      </c>
      <c r="D286" s="13" t="s">
        <v>496</v>
      </c>
      <c r="E286" s="12">
        <v>9700028958</v>
      </c>
      <c r="F286" s="13" t="s">
        <v>506</v>
      </c>
      <c r="G286" s="12" t="s">
        <v>37</v>
      </c>
      <c r="H286" s="14">
        <v>1715.46</v>
      </c>
      <c r="I286" s="15">
        <v>45805</v>
      </c>
      <c r="J286" s="12" t="str">
        <f t="shared" ca="1" si="5"/>
        <v>120 +</v>
      </c>
      <c r="K286" s="14">
        <v>1715.46</v>
      </c>
      <c r="L286" s="16">
        <v>45775</v>
      </c>
      <c r="M286" s="13" t="s">
        <v>38</v>
      </c>
      <c r="N286" s="13" t="s">
        <v>39</v>
      </c>
      <c r="O286" s="13" t="s">
        <v>40</v>
      </c>
      <c r="P286" s="13"/>
      <c r="Q286" s="13" t="s">
        <v>41</v>
      </c>
      <c r="R286" s="13" t="s">
        <v>42</v>
      </c>
      <c r="S286" s="17">
        <v>0</v>
      </c>
      <c r="T286" s="17">
        <v>0</v>
      </c>
      <c r="U286" s="17">
        <v>0</v>
      </c>
      <c r="V286" s="17">
        <v>0</v>
      </c>
      <c r="W286" s="17">
        <v>0</v>
      </c>
      <c r="X286" s="17">
        <v>6300.03</v>
      </c>
      <c r="Y286" s="17">
        <v>6300.03</v>
      </c>
      <c r="Z286" s="17">
        <v>0</v>
      </c>
      <c r="AA286" s="13" t="s">
        <v>498</v>
      </c>
      <c r="AB286" s="13" t="s">
        <v>44</v>
      </c>
      <c r="AC286" s="13" t="s">
        <v>45</v>
      </c>
      <c r="AD286" s="13" t="s">
        <v>46</v>
      </c>
      <c r="AE286" s="17">
        <v>6300.03</v>
      </c>
      <c r="AF286" s="17">
        <v>1502.81</v>
      </c>
      <c r="AG286" s="47" t="s">
        <v>876</v>
      </c>
      <c r="AH286" s="20" t="s">
        <v>792</v>
      </c>
      <c r="AI286" s="19" t="b">
        <v>0</v>
      </c>
      <c r="AJ286" s="18" t="s">
        <v>868</v>
      </c>
      <c r="AK286" s="49" t="s">
        <v>792</v>
      </c>
    </row>
    <row r="287" spans="1:37" x14ac:dyDescent="0.35">
      <c r="A287" s="12" t="s">
        <v>33</v>
      </c>
      <c r="B287" s="12">
        <v>100108732</v>
      </c>
      <c r="C287" s="13" t="s">
        <v>495</v>
      </c>
      <c r="D287" s="13" t="s">
        <v>496</v>
      </c>
      <c r="E287" s="12">
        <v>9700061939</v>
      </c>
      <c r="F287" s="13" t="s">
        <v>507</v>
      </c>
      <c r="G287" s="12" t="s">
        <v>37</v>
      </c>
      <c r="H287" s="14">
        <v>120.1</v>
      </c>
      <c r="I287" s="15">
        <v>45940</v>
      </c>
      <c r="J287" s="12" t="str">
        <f t="shared" ca="1" si="5"/>
        <v>120 +</v>
      </c>
      <c r="K287" s="14">
        <v>120.1</v>
      </c>
      <c r="L287" s="16">
        <v>45910</v>
      </c>
      <c r="M287" s="13" t="s">
        <v>38</v>
      </c>
      <c r="N287" s="13" t="s">
        <v>39</v>
      </c>
      <c r="O287" s="13" t="s">
        <v>40</v>
      </c>
      <c r="P287" s="13"/>
      <c r="Q287" s="13" t="s">
        <v>41</v>
      </c>
      <c r="R287" s="13" t="s">
        <v>42</v>
      </c>
      <c r="S287" s="17">
        <v>0</v>
      </c>
      <c r="T287" s="17">
        <v>0</v>
      </c>
      <c r="U287" s="17">
        <v>0</v>
      </c>
      <c r="V287" s="17">
        <v>0</v>
      </c>
      <c r="W287" s="17">
        <v>0</v>
      </c>
      <c r="X287" s="17">
        <v>441.07</v>
      </c>
      <c r="Y287" s="17">
        <v>441.07</v>
      </c>
      <c r="Z287" s="17">
        <v>0</v>
      </c>
      <c r="AA287" s="13" t="s">
        <v>498</v>
      </c>
      <c r="AB287" s="13" t="s">
        <v>44</v>
      </c>
      <c r="AC287" s="13" t="s">
        <v>45</v>
      </c>
      <c r="AD287" s="13" t="s">
        <v>46</v>
      </c>
      <c r="AE287" s="17">
        <v>441.07</v>
      </c>
      <c r="AF287" s="17">
        <v>102.26</v>
      </c>
      <c r="AG287" s="47" t="s">
        <v>876</v>
      </c>
      <c r="AH287" s="20" t="s">
        <v>792</v>
      </c>
      <c r="AI287" s="19" t="b">
        <v>0</v>
      </c>
      <c r="AJ287" s="18" t="s">
        <v>868</v>
      </c>
      <c r="AK287" s="49" t="s">
        <v>792</v>
      </c>
    </row>
    <row r="288" spans="1:37" x14ac:dyDescent="0.35">
      <c r="A288" s="12" t="s">
        <v>33</v>
      </c>
      <c r="B288" s="12">
        <v>100108732</v>
      </c>
      <c r="C288" s="13" t="s">
        <v>495</v>
      </c>
      <c r="D288" s="13" t="s">
        <v>496</v>
      </c>
      <c r="E288" s="12">
        <v>9700064300</v>
      </c>
      <c r="F288" s="13" t="s">
        <v>508</v>
      </c>
      <c r="G288" s="12" t="s">
        <v>37</v>
      </c>
      <c r="H288" s="14">
        <v>127.41</v>
      </c>
      <c r="I288" s="15">
        <v>45949</v>
      </c>
      <c r="J288" s="12" t="str">
        <f t="shared" ca="1" si="5"/>
        <v>120 +</v>
      </c>
      <c r="K288" s="14">
        <v>127.41</v>
      </c>
      <c r="L288" s="16">
        <v>45919</v>
      </c>
      <c r="M288" s="13" t="s">
        <v>38</v>
      </c>
      <c r="N288" s="13" t="s">
        <v>39</v>
      </c>
      <c r="O288" s="13" t="s">
        <v>40</v>
      </c>
      <c r="P288" s="13"/>
      <c r="Q288" s="13" t="s">
        <v>41</v>
      </c>
      <c r="R288" s="13" t="s">
        <v>42</v>
      </c>
      <c r="S288" s="17">
        <v>0</v>
      </c>
      <c r="T288" s="17">
        <v>0</v>
      </c>
      <c r="U288" s="17">
        <v>0</v>
      </c>
      <c r="V288" s="17">
        <v>0</v>
      </c>
      <c r="W288" s="17">
        <v>0</v>
      </c>
      <c r="X288" s="17">
        <v>467.91</v>
      </c>
      <c r="Y288" s="17">
        <v>467.91</v>
      </c>
      <c r="Z288" s="17">
        <v>0</v>
      </c>
      <c r="AA288" s="13" t="s">
        <v>498</v>
      </c>
      <c r="AB288" s="13" t="s">
        <v>44</v>
      </c>
      <c r="AC288" s="13" t="s">
        <v>45</v>
      </c>
      <c r="AD288" s="13" t="s">
        <v>46</v>
      </c>
      <c r="AE288" s="17">
        <v>467.91</v>
      </c>
      <c r="AF288" s="17">
        <v>107.91</v>
      </c>
      <c r="AG288" s="47" t="s">
        <v>876</v>
      </c>
      <c r="AH288" s="20" t="s">
        <v>792</v>
      </c>
      <c r="AI288" s="19" t="b">
        <v>0</v>
      </c>
      <c r="AJ288" s="18" t="s">
        <v>868</v>
      </c>
      <c r="AK288" s="49" t="s">
        <v>792</v>
      </c>
    </row>
    <row r="289" spans="1:37" x14ac:dyDescent="0.35">
      <c r="A289" s="12" t="s">
        <v>33</v>
      </c>
      <c r="B289" s="12">
        <v>100108732</v>
      </c>
      <c r="C289" s="13" t="s">
        <v>495</v>
      </c>
      <c r="D289" s="13" t="s">
        <v>496</v>
      </c>
      <c r="E289" s="12">
        <v>9700069976</v>
      </c>
      <c r="F289" s="13" t="s">
        <v>509</v>
      </c>
      <c r="G289" s="12" t="s">
        <v>37</v>
      </c>
      <c r="H289" s="14">
        <v>126.1</v>
      </c>
      <c r="I289" s="15">
        <v>45975</v>
      </c>
      <c r="J289" s="12" t="str">
        <f t="shared" ca="1" si="5"/>
        <v>120 +</v>
      </c>
      <c r="K289" s="14">
        <v>126.1</v>
      </c>
      <c r="L289" s="16">
        <v>45945</v>
      </c>
      <c r="M289" s="13" t="s">
        <v>38</v>
      </c>
      <c r="N289" s="13" t="s">
        <v>39</v>
      </c>
      <c r="O289" s="13" t="s">
        <v>40</v>
      </c>
      <c r="P289" s="13"/>
      <c r="Q289" s="13" t="s">
        <v>41</v>
      </c>
      <c r="R289" s="13" t="s">
        <v>42</v>
      </c>
      <c r="S289" s="17">
        <v>0</v>
      </c>
      <c r="T289" s="17">
        <v>0</v>
      </c>
      <c r="U289" s="17">
        <v>0</v>
      </c>
      <c r="V289" s="17">
        <v>0</v>
      </c>
      <c r="W289" s="17">
        <v>0</v>
      </c>
      <c r="X289" s="17">
        <v>463.1</v>
      </c>
      <c r="Y289" s="17">
        <v>463.1</v>
      </c>
      <c r="Z289" s="17">
        <v>0</v>
      </c>
      <c r="AA289" s="13" t="s">
        <v>498</v>
      </c>
      <c r="AB289" s="13" t="s">
        <v>44</v>
      </c>
      <c r="AC289" s="13" t="s">
        <v>45</v>
      </c>
      <c r="AD289" s="13" t="s">
        <v>46</v>
      </c>
      <c r="AE289" s="17">
        <v>463.1</v>
      </c>
      <c r="AF289" s="17">
        <v>108.45</v>
      </c>
      <c r="AG289" s="47" t="s">
        <v>876</v>
      </c>
      <c r="AH289" s="20" t="s">
        <v>792</v>
      </c>
      <c r="AI289" s="19" t="b">
        <v>0</v>
      </c>
      <c r="AJ289" s="18" t="s">
        <v>868</v>
      </c>
      <c r="AK289" s="49" t="s">
        <v>792</v>
      </c>
    </row>
    <row r="290" spans="1:37" x14ac:dyDescent="0.35">
      <c r="A290" s="12" t="s">
        <v>33</v>
      </c>
      <c r="B290" s="12">
        <v>100108732</v>
      </c>
      <c r="C290" s="13" t="s">
        <v>495</v>
      </c>
      <c r="D290" s="13" t="s">
        <v>496</v>
      </c>
      <c r="E290" s="12">
        <v>9700083364</v>
      </c>
      <c r="F290" s="13" t="s">
        <v>510</v>
      </c>
      <c r="G290" s="12" t="s">
        <v>37</v>
      </c>
      <c r="H290" s="14">
        <v>125.67</v>
      </c>
      <c r="I290" s="15">
        <v>46017</v>
      </c>
      <c r="J290" s="12" t="str">
        <f t="shared" ca="1" si="5"/>
        <v>120 +</v>
      </c>
      <c r="K290" s="14">
        <v>125.67</v>
      </c>
      <c r="L290" s="16">
        <v>45987</v>
      </c>
      <c r="M290" s="13" t="s">
        <v>38</v>
      </c>
      <c r="N290" s="13" t="s">
        <v>39</v>
      </c>
      <c r="O290" s="13" t="s">
        <v>40</v>
      </c>
      <c r="P290" s="13"/>
      <c r="Q290" s="13" t="s">
        <v>41</v>
      </c>
      <c r="R290" s="13" t="s">
        <v>42</v>
      </c>
      <c r="S290" s="17">
        <v>0</v>
      </c>
      <c r="T290" s="17">
        <v>0</v>
      </c>
      <c r="U290" s="17">
        <v>0</v>
      </c>
      <c r="V290" s="17">
        <v>0</v>
      </c>
      <c r="W290" s="17">
        <v>461.52</v>
      </c>
      <c r="X290" s="17">
        <v>0</v>
      </c>
      <c r="Y290" s="17">
        <v>461.52</v>
      </c>
      <c r="Z290" s="17">
        <v>0</v>
      </c>
      <c r="AA290" s="13" t="s">
        <v>498</v>
      </c>
      <c r="AB290" s="13" t="s">
        <v>44</v>
      </c>
      <c r="AC290" s="13" t="s">
        <v>45</v>
      </c>
      <c r="AD290" s="13" t="s">
        <v>46</v>
      </c>
      <c r="AE290" s="17">
        <v>461.52</v>
      </c>
      <c r="AF290" s="17">
        <v>109.09</v>
      </c>
      <c r="AG290" s="47" t="s">
        <v>876</v>
      </c>
      <c r="AH290" s="20" t="s">
        <v>792</v>
      </c>
      <c r="AI290" s="19" t="b">
        <v>0</v>
      </c>
      <c r="AJ290" s="18" t="s">
        <v>868</v>
      </c>
      <c r="AK290" s="49" t="s">
        <v>792</v>
      </c>
    </row>
    <row r="291" spans="1:37" ht="16.5" x14ac:dyDescent="0.4">
      <c r="A291" s="3"/>
      <c r="B291" s="3"/>
      <c r="C291" s="4"/>
      <c r="D291" s="4" t="s">
        <v>496</v>
      </c>
      <c r="E291" s="3"/>
      <c r="F291" s="4"/>
      <c r="G291" s="4"/>
      <c r="H291" s="43">
        <f>SUM(H280:H290)</f>
        <v>9331.99</v>
      </c>
      <c r="I291" s="5"/>
      <c r="J291" s="45" t="str">
        <f t="shared" ca="1" si="5"/>
        <v/>
      </c>
      <c r="K291" s="43">
        <f>SUM(K280:K290)</f>
        <v>9331.99</v>
      </c>
      <c r="L291" s="9"/>
      <c r="M291" s="4"/>
      <c r="N291" s="4"/>
      <c r="O291" s="4"/>
      <c r="P291" s="4"/>
      <c r="Q291" s="4"/>
      <c r="R291" s="4" t="s">
        <v>42</v>
      </c>
      <c r="S291" s="6">
        <v>5142.16</v>
      </c>
      <c r="T291" s="6">
        <v>4326.21</v>
      </c>
      <c r="U291" s="6">
        <v>869.69</v>
      </c>
      <c r="V291" s="6">
        <v>0</v>
      </c>
      <c r="W291" s="6">
        <v>461.52</v>
      </c>
      <c r="X291" s="7"/>
      <c r="Y291" s="7"/>
      <c r="Z291" s="6">
        <v>0</v>
      </c>
      <c r="AA291" s="4"/>
      <c r="AB291" s="4"/>
      <c r="AC291" s="4"/>
      <c r="AD291" s="4"/>
      <c r="AE291" s="6">
        <v>34271.74</v>
      </c>
      <c r="AF291" s="6">
        <v>8259.06</v>
      </c>
      <c r="AG291" s="48"/>
      <c r="AH291" s="44" cm="1">
        <f t="array" ref="AH291">IFERROR(SUMPRODUCT(AF280:AF290*--(((AI280:AI290=TRUE)+(AI280:AI290=1))&gt;0)),0)</f>
        <v>0</v>
      </c>
      <c r="AI291" s="54">
        <f>SUMIF(AI280:AI290,TRUE,H280:H290)/H291</f>
        <v>0</v>
      </c>
      <c r="AJ291" s="6"/>
      <c r="AK291" s="50"/>
    </row>
    <row r="292" spans="1:37" x14ac:dyDescent="0.35">
      <c r="A292" s="12" t="s">
        <v>33</v>
      </c>
      <c r="B292" s="12">
        <v>100119928</v>
      </c>
      <c r="C292" s="13" t="s">
        <v>511</v>
      </c>
      <c r="D292" s="13" t="s">
        <v>512</v>
      </c>
      <c r="E292" s="12">
        <v>9700004046</v>
      </c>
      <c r="F292" s="13" t="s">
        <v>513</v>
      </c>
      <c r="G292" s="12" t="s">
        <v>37</v>
      </c>
      <c r="H292" s="14">
        <v>667.06</v>
      </c>
      <c r="I292" s="15">
        <v>46071</v>
      </c>
      <c r="J292" s="12" t="str">
        <f t="shared" ca="1" si="5"/>
        <v>61-90</v>
      </c>
      <c r="K292" s="14">
        <v>667.06</v>
      </c>
      <c r="L292" s="16">
        <v>46041</v>
      </c>
      <c r="M292" s="13" t="s">
        <v>38</v>
      </c>
      <c r="N292" s="13" t="s">
        <v>39</v>
      </c>
      <c r="O292" s="13" t="s">
        <v>40</v>
      </c>
      <c r="P292" s="13"/>
      <c r="Q292" s="13" t="s">
        <v>41</v>
      </c>
      <c r="R292" s="13" t="s">
        <v>42</v>
      </c>
      <c r="S292" s="17">
        <v>0</v>
      </c>
      <c r="T292" s="17">
        <v>0</v>
      </c>
      <c r="U292" s="17">
        <v>2449.7800000000002</v>
      </c>
      <c r="V292" s="17">
        <v>0</v>
      </c>
      <c r="W292" s="17">
        <v>0</v>
      </c>
      <c r="X292" s="17">
        <v>0</v>
      </c>
      <c r="Y292" s="17">
        <v>2449.7800000000002</v>
      </c>
      <c r="Z292" s="17">
        <v>0</v>
      </c>
      <c r="AA292" s="13" t="s">
        <v>514</v>
      </c>
      <c r="AB292" s="13" t="s">
        <v>44</v>
      </c>
      <c r="AC292" s="13" t="s">
        <v>45</v>
      </c>
      <c r="AD292" s="13" t="s">
        <v>46</v>
      </c>
      <c r="AE292" s="17">
        <v>2449.7800000000002</v>
      </c>
      <c r="AF292" s="17">
        <v>573.86</v>
      </c>
      <c r="AG292" s="47" t="s">
        <v>876</v>
      </c>
      <c r="AH292" s="20" t="s">
        <v>809</v>
      </c>
      <c r="AI292" s="19" t="b">
        <v>0</v>
      </c>
      <c r="AJ292" s="18" t="s">
        <v>875</v>
      </c>
      <c r="AK292" s="49" t="s">
        <v>917</v>
      </c>
    </row>
    <row r="293" spans="1:37" x14ac:dyDescent="0.35">
      <c r="A293" s="12" t="s">
        <v>33</v>
      </c>
      <c r="B293" s="12">
        <v>100119928</v>
      </c>
      <c r="C293" s="13" t="s">
        <v>511</v>
      </c>
      <c r="D293" s="13" t="s">
        <v>512</v>
      </c>
      <c r="E293" s="12">
        <v>9700022242</v>
      </c>
      <c r="F293" s="13" t="s">
        <v>515</v>
      </c>
      <c r="G293" s="12" t="s">
        <v>37</v>
      </c>
      <c r="H293" s="14">
        <v>667.06</v>
      </c>
      <c r="I293" s="15">
        <v>46127</v>
      </c>
      <c r="J293" s="12" t="str">
        <f t="shared" ca="1" si="5"/>
        <v>0-30</v>
      </c>
      <c r="K293" s="14">
        <v>667.06</v>
      </c>
      <c r="L293" s="16">
        <v>46097</v>
      </c>
      <c r="M293" s="13" t="s">
        <v>38</v>
      </c>
      <c r="N293" s="13" t="s">
        <v>39</v>
      </c>
      <c r="O293" s="13" t="s">
        <v>40</v>
      </c>
      <c r="P293" s="13"/>
      <c r="Q293" s="13" t="s">
        <v>41</v>
      </c>
      <c r="R293" s="13" t="s">
        <v>42</v>
      </c>
      <c r="S293" s="17">
        <v>2449.7800000000002</v>
      </c>
      <c r="T293" s="17">
        <v>0</v>
      </c>
      <c r="U293" s="17">
        <v>0</v>
      </c>
      <c r="V293" s="17">
        <v>0</v>
      </c>
      <c r="W293" s="17">
        <v>0</v>
      </c>
      <c r="X293" s="17">
        <v>0</v>
      </c>
      <c r="Y293" s="17">
        <v>0</v>
      </c>
      <c r="Z293" s="17">
        <v>0</v>
      </c>
      <c r="AA293" s="13" t="s">
        <v>514</v>
      </c>
      <c r="AB293" s="13" t="s">
        <v>44</v>
      </c>
      <c r="AC293" s="13" t="s">
        <v>45</v>
      </c>
      <c r="AD293" s="13" t="s">
        <v>46</v>
      </c>
      <c r="AE293" s="17">
        <v>2449.7800000000002</v>
      </c>
      <c r="AF293" s="17">
        <v>577.69000000000005</v>
      </c>
      <c r="AG293" s="47" t="s">
        <v>876</v>
      </c>
      <c r="AH293" s="20" t="e">
        <v>#N/A</v>
      </c>
      <c r="AI293" s="19" t="b">
        <v>0</v>
      </c>
      <c r="AJ293" s="18" t="s">
        <v>875</v>
      </c>
      <c r="AK293" s="49" t="s">
        <v>917</v>
      </c>
    </row>
    <row r="294" spans="1:37" x14ac:dyDescent="0.35">
      <c r="A294" s="12" t="s">
        <v>33</v>
      </c>
      <c r="B294" s="12">
        <v>100119928</v>
      </c>
      <c r="C294" s="13" t="s">
        <v>511</v>
      </c>
      <c r="D294" s="13" t="s">
        <v>512</v>
      </c>
      <c r="E294" s="12">
        <v>9700022243</v>
      </c>
      <c r="F294" s="13" t="s">
        <v>516</v>
      </c>
      <c r="G294" s="12" t="s">
        <v>37</v>
      </c>
      <c r="H294" s="14">
        <v>566.62</v>
      </c>
      <c r="I294" s="15">
        <v>46127</v>
      </c>
      <c r="J294" s="12" t="str">
        <f t="shared" ca="1" si="5"/>
        <v>0-30</v>
      </c>
      <c r="K294" s="14">
        <v>566.62</v>
      </c>
      <c r="L294" s="16">
        <v>46097</v>
      </c>
      <c r="M294" s="13" t="s">
        <v>38</v>
      </c>
      <c r="N294" s="13" t="s">
        <v>39</v>
      </c>
      <c r="O294" s="13" t="s">
        <v>40</v>
      </c>
      <c r="P294" s="13"/>
      <c r="Q294" s="13" t="s">
        <v>41</v>
      </c>
      <c r="R294" s="13" t="s">
        <v>42</v>
      </c>
      <c r="S294" s="17">
        <v>2080.91</v>
      </c>
      <c r="T294" s="17">
        <v>0</v>
      </c>
      <c r="U294" s="17">
        <v>0</v>
      </c>
      <c r="V294" s="17">
        <v>0</v>
      </c>
      <c r="W294" s="17">
        <v>0</v>
      </c>
      <c r="X294" s="17">
        <v>0</v>
      </c>
      <c r="Y294" s="17">
        <v>0</v>
      </c>
      <c r="Z294" s="17">
        <v>0</v>
      </c>
      <c r="AA294" s="13" t="s">
        <v>514</v>
      </c>
      <c r="AB294" s="13" t="s">
        <v>44</v>
      </c>
      <c r="AC294" s="13" t="s">
        <v>45</v>
      </c>
      <c r="AD294" s="13" t="s">
        <v>46</v>
      </c>
      <c r="AE294" s="17">
        <v>2080.91</v>
      </c>
      <c r="AF294" s="17">
        <v>490.71</v>
      </c>
      <c r="AG294" s="47" t="s">
        <v>876</v>
      </c>
      <c r="AH294" s="20" t="e">
        <v>#N/A</v>
      </c>
      <c r="AI294" s="19" t="b">
        <v>0</v>
      </c>
      <c r="AJ294" s="18" t="s">
        <v>875</v>
      </c>
      <c r="AK294" s="49" t="s">
        <v>917</v>
      </c>
    </row>
    <row r="295" spans="1:37" x14ac:dyDescent="0.35">
      <c r="A295" s="12" t="s">
        <v>33</v>
      </c>
      <c r="B295" s="12">
        <v>100119928</v>
      </c>
      <c r="C295" s="13" t="s">
        <v>511</v>
      </c>
      <c r="D295" s="13" t="s">
        <v>512</v>
      </c>
      <c r="E295" s="12">
        <v>9700022647</v>
      </c>
      <c r="F295" s="13" t="s">
        <v>517</v>
      </c>
      <c r="G295" s="12" t="s">
        <v>37</v>
      </c>
      <c r="H295" s="14">
        <v>519.75</v>
      </c>
      <c r="I295" s="15">
        <v>46128</v>
      </c>
      <c r="J295" s="12" t="str">
        <f t="shared" ca="1" si="5"/>
        <v>0-30</v>
      </c>
      <c r="K295" s="14">
        <v>519.75</v>
      </c>
      <c r="L295" s="16">
        <v>46098</v>
      </c>
      <c r="M295" s="13" t="s">
        <v>38</v>
      </c>
      <c r="N295" s="13" t="s">
        <v>39</v>
      </c>
      <c r="O295" s="13" t="s">
        <v>40</v>
      </c>
      <c r="P295" s="13"/>
      <c r="Q295" s="13" t="s">
        <v>41</v>
      </c>
      <c r="R295" s="13" t="s">
        <v>42</v>
      </c>
      <c r="S295" s="17">
        <v>1908.78</v>
      </c>
      <c r="T295" s="17">
        <v>0</v>
      </c>
      <c r="U295" s="17">
        <v>0</v>
      </c>
      <c r="V295" s="17">
        <v>0</v>
      </c>
      <c r="W295" s="17">
        <v>0</v>
      </c>
      <c r="X295" s="17">
        <v>0</v>
      </c>
      <c r="Y295" s="17">
        <v>0</v>
      </c>
      <c r="Z295" s="17">
        <v>0</v>
      </c>
      <c r="AA295" s="13" t="s">
        <v>518</v>
      </c>
      <c r="AB295" s="13" t="s">
        <v>44</v>
      </c>
      <c r="AC295" s="13" t="s">
        <v>45</v>
      </c>
      <c r="AD295" s="13" t="s">
        <v>46</v>
      </c>
      <c r="AE295" s="17">
        <v>1908.78</v>
      </c>
      <c r="AF295" s="17">
        <v>452.9</v>
      </c>
      <c r="AG295" s="47" t="s">
        <v>876</v>
      </c>
      <c r="AH295" s="20" t="e">
        <v>#N/A</v>
      </c>
      <c r="AI295" s="19" t="b">
        <v>0</v>
      </c>
      <c r="AJ295" s="18" t="s">
        <v>875</v>
      </c>
      <c r="AK295" s="49" t="s">
        <v>917</v>
      </c>
    </row>
    <row r="296" spans="1:37" x14ac:dyDescent="0.35">
      <c r="A296" s="12" t="s">
        <v>33</v>
      </c>
      <c r="B296" s="12">
        <v>100119928</v>
      </c>
      <c r="C296" s="13" t="s">
        <v>511</v>
      </c>
      <c r="D296" s="13" t="s">
        <v>512</v>
      </c>
      <c r="E296" s="12">
        <v>9700025792</v>
      </c>
      <c r="F296" s="13" t="s">
        <v>519</v>
      </c>
      <c r="G296" s="12" t="s">
        <v>37</v>
      </c>
      <c r="H296" s="14">
        <v>683.41</v>
      </c>
      <c r="I296" s="15">
        <v>46141</v>
      </c>
      <c r="J296" s="12" t="str">
        <f t="shared" ca="1" si="5"/>
        <v>Current</v>
      </c>
      <c r="K296" s="14">
        <v>683.41</v>
      </c>
      <c r="L296" s="16">
        <v>46111</v>
      </c>
      <c r="M296" s="13" t="s">
        <v>38</v>
      </c>
      <c r="N296" s="13" t="s">
        <v>39</v>
      </c>
      <c r="O296" s="13" t="s">
        <v>40</v>
      </c>
      <c r="P296" s="13"/>
      <c r="Q296" s="13" t="s">
        <v>41</v>
      </c>
      <c r="R296" s="13" t="s">
        <v>42</v>
      </c>
      <c r="S296" s="17">
        <v>2509.8200000000002</v>
      </c>
      <c r="T296" s="17">
        <v>0</v>
      </c>
      <c r="U296" s="17">
        <v>0</v>
      </c>
      <c r="V296" s="17">
        <v>0</v>
      </c>
      <c r="W296" s="17">
        <v>0</v>
      </c>
      <c r="X296" s="17">
        <v>0</v>
      </c>
      <c r="Y296" s="17">
        <v>0</v>
      </c>
      <c r="Z296" s="17">
        <v>0</v>
      </c>
      <c r="AA296" s="13" t="s">
        <v>518</v>
      </c>
      <c r="AB296" s="13" t="s">
        <v>44</v>
      </c>
      <c r="AC296" s="13" t="s">
        <v>45</v>
      </c>
      <c r="AD296" s="13" t="s">
        <v>46</v>
      </c>
      <c r="AE296" s="17">
        <v>2509.8200000000002</v>
      </c>
      <c r="AF296" s="17">
        <v>590.57000000000005</v>
      </c>
      <c r="AG296" s="47" t="s">
        <v>876</v>
      </c>
      <c r="AH296" s="20" t="e">
        <v>#N/A</v>
      </c>
      <c r="AI296" s="19" t="b">
        <v>0</v>
      </c>
      <c r="AJ296" s="18" t="s">
        <v>875</v>
      </c>
      <c r="AK296" s="49" t="s">
        <v>917</v>
      </c>
    </row>
    <row r="297" spans="1:37" x14ac:dyDescent="0.35">
      <c r="A297" s="12" t="s">
        <v>33</v>
      </c>
      <c r="B297" s="12">
        <v>100119928</v>
      </c>
      <c r="C297" s="13" t="s">
        <v>511</v>
      </c>
      <c r="D297" s="13" t="s">
        <v>512</v>
      </c>
      <c r="E297" s="12">
        <v>9700082958</v>
      </c>
      <c r="F297" s="13" t="s">
        <v>520</v>
      </c>
      <c r="G297" s="12" t="s">
        <v>37</v>
      </c>
      <c r="H297" s="14">
        <v>663.8</v>
      </c>
      <c r="I297" s="15">
        <v>46015</v>
      </c>
      <c r="J297" s="12" t="str">
        <f t="shared" ca="1" si="5"/>
        <v>120 +</v>
      </c>
      <c r="K297" s="14">
        <v>663.8</v>
      </c>
      <c r="L297" s="16">
        <v>45985</v>
      </c>
      <c r="M297" s="13" t="s">
        <v>38</v>
      </c>
      <c r="N297" s="13" t="s">
        <v>39</v>
      </c>
      <c r="O297" s="13" t="s">
        <v>40</v>
      </c>
      <c r="P297" s="13"/>
      <c r="Q297" s="13" t="s">
        <v>41</v>
      </c>
      <c r="R297" s="13" t="s">
        <v>42</v>
      </c>
      <c r="S297" s="17">
        <v>0</v>
      </c>
      <c r="T297" s="17">
        <v>0</v>
      </c>
      <c r="U297" s="17">
        <v>0</v>
      </c>
      <c r="V297" s="17">
        <v>0</v>
      </c>
      <c r="W297" s="17">
        <v>2437.81</v>
      </c>
      <c r="X297" s="17">
        <v>0</v>
      </c>
      <c r="Y297" s="17">
        <v>2437.81</v>
      </c>
      <c r="Z297" s="17">
        <v>0</v>
      </c>
      <c r="AA297" s="13" t="s">
        <v>514</v>
      </c>
      <c r="AB297" s="13" t="s">
        <v>44</v>
      </c>
      <c r="AC297" s="13" t="s">
        <v>45</v>
      </c>
      <c r="AD297" s="13" t="s">
        <v>46</v>
      </c>
      <c r="AE297" s="17">
        <v>2437.81</v>
      </c>
      <c r="AF297" s="17">
        <v>576.22</v>
      </c>
      <c r="AG297" s="47" t="s">
        <v>876</v>
      </c>
      <c r="AH297" s="20" t="s">
        <v>810</v>
      </c>
      <c r="AI297" s="19" t="b">
        <v>0</v>
      </c>
      <c r="AJ297" s="18" t="s">
        <v>875</v>
      </c>
      <c r="AK297" s="49" t="s">
        <v>810</v>
      </c>
    </row>
    <row r="298" spans="1:37" ht="16.5" x14ac:dyDescent="0.4">
      <c r="A298" s="3"/>
      <c r="B298" s="3"/>
      <c r="C298" s="4"/>
      <c r="D298" s="4" t="s">
        <v>512</v>
      </c>
      <c r="E298" s="3"/>
      <c r="F298" s="4"/>
      <c r="G298" s="4"/>
      <c r="H298" s="43">
        <f>SUM(H292:H297)</f>
        <v>3767.7</v>
      </c>
      <c r="I298" s="5"/>
      <c r="J298" s="45" t="str">
        <f t="shared" ca="1" si="5"/>
        <v/>
      </c>
      <c r="K298" s="43">
        <f>SUM(K292:K297)</f>
        <v>3767.7</v>
      </c>
      <c r="L298" s="9"/>
      <c r="M298" s="4"/>
      <c r="N298" s="4"/>
      <c r="O298" s="4"/>
      <c r="P298" s="4"/>
      <c r="Q298" s="4"/>
      <c r="R298" s="4" t="s">
        <v>42</v>
      </c>
      <c r="S298" s="6">
        <v>8949.2900000000009</v>
      </c>
      <c r="T298" s="6">
        <v>0</v>
      </c>
      <c r="U298" s="6">
        <v>2449.7800000000002</v>
      </c>
      <c r="V298" s="6">
        <v>0</v>
      </c>
      <c r="W298" s="6">
        <v>2437.81</v>
      </c>
      <c r="X298" s="7"/>
      <c r="Y298" s="7"/>
      <c r="Z298" s="6">
        <v>0</v>
      </c>
      <c r="AA298" s="4"/>
      <c r="AB298" s="4"/>
      <c r="AC298" s="4"/>
      <c r="AD298" s="4"/>
      <c r="AE298" s="6">
        <v>13836.88</v>
      </c>
      <c r="AF298" s="6">
        <v>3261.95</v>
      </c>
      <c r="AG298" s="48"/>
      <c r="AH298" s="44" cm="1">
        <f t="array" ref="AH298">IFERROR(SUMPRODUCT(AF292:AF297*--(((AI292:AI297=TRUE)+(AI292:AI297=1))&gt;0)),0)</f>
        <v>0</v>
      </c>
      <c r="AI298" s="54">
        <f>SUMIF(AI292:AI297,TRUE,H292:H297)/H298</f>
        <v>0</v>
      </c>
      <c r="AJ298" s="6"/>
      <c r="AK298" s="50"/>
    </row>
    <row r="299" spans="1:37" x14ac:dyDescent="0.35">
      <c r="A299" s="12" t="s">
        <v>33</v>
      </c>
      <c r="B299" s="12">
        <v>100113978</v>
      </c>
      <c r="C299" s="13" t="s">
        <v>521</v>
      </c>
      <c r="D299" s="13" t="s">
        <v>522</v>
      </c>
      <c r="E299" s="12">
        <v>9700003140</v>
      </c>
      <c r="F299" s="13" t="s">
        <v>523</v>
      </c>
      <c r="G299" s="12" t="s">
        <v>37</v>
      </c>
      <c r="H299" s="14">
        <v>1300.8499999999999</v>
      </c>
      <c r="I299" s="15">
        <v>46068</v>
      </c>
      <c r="J299" s="12" t="str">
        <f t="shared" ca="1" si="5"/>
        <v>61-90</v>
      </c>
      <c r="K299" s="14">
        <v>1300.8499999999999</v>
      </c>
      <c r="L299" s="16">
        <v>46038</v>
      </c>
      <c r="M299" s="13" t="s">
        <v>38</v>
      </c>
      <c r="N299" s="13" t="s">
        <v>39</v>
      </c>
      <c r="O299" s="13" t="s">
        <v>40</v>
      </c>
      <c r="P299" s="13"/>
      <c r="Q299" s="13" t="s">
        <v>41</v>
      </c>
      <c r="R299" s="13" t="s">
        <v>42</v>
      </c>
      <c r="S299" s="17">
        <v>0</v>
      </c>
      <c r="T299" s="17">
        <v>0</v>
      </c>
      <c r="U299" s="17">
        <v>4777.37</v>
      </c>
      <c r="V299" s="17">
        <v>0</v>
      </c>
      <c r="W299" s="17">
        <v>0</v>
      </c>
      <c r="X299" s="17">
        <v>0</v>
      </c>
      <c r="Y299" s="17">
        <v>4777.37</v>
      </c>
      <c r="Z299" s="17">
        <v>0</v>
      </c>
      <c r="AA299" s="13" t="s">
        <v>524</v>
      </c>
      <c r="AB299" s="13" t="s">
        <v>44</v>
      </c>
      <c r="AC299" s="13" t="s">
        <v>45</v>
      </c>
      <c r="AD299" s="13" t="s">
        <v>46</v>
      </c>
      <c r="AE299" s="17">
        <v>4777.37</v>
      </c>
      <c r="AF299" s="17">
        <v>1116.23</v>
      </c>
      <c r="AG299" s="47" t="s">
        <v>876</v>
      </c>
      <c r="AH299" s="20" t="s">
        <v>811</v>
      </c>
      <c r="AI299" s="19" t="b">
        <v>0</v>
      </c>
      <c r="AJ299" s="18" t="s">
        <v>875</v>
      </c>
      <c r="AK299" s="49" t="s">
        <v>916</v>
      </c>
    </row>
    <row r="300" spans="1:37" x14ac:dyDescent="0.35">
      <c r="A300" s="12" t="s">
        <v>33</v>
      </c>
      <c r="B300" s="12">
        <v>100113978</v>
      </c>
      <c r="C300" s="13" t="s">
        <v>521</v>
      </c>
      <c r="D300" s="13" t="s">
        <v>522</v>
      </c>
      <c r="E300" s="12">
        <v>9700003852</v>
      </c>
      <c r="F300" s="13" t="s">
        <v>525</v>
      </c>
      <c r="G300" s="12" t="s">
        <v>37</v>
      </c>
      <c r="H300" s="14">
        <v>1333.94</v>
      </c>
      <c r="I300" s="15">
        <v>46071</v>
      </c>
      <c r="J300" s="12" t="str">
        <f t="shared" ca="1" si="5"/>
        <v>61-90</v>
      </c>
      <c r="K300" s="14">
        <v>1333.94</v>
      </c>
      <c r="L300" s="16">
        <v>46041</v>
      </c>
      <c r="M300" s="13" t="s">
        <v>38</v>
      </c>
      <c r="N300" s="13" t="s">
        <v>39</v>
      </c>
      <c r="O300" s="13" t="s">
        <v>40</v>
      </c>
      <c r="P300" s="13"/>
      <c r="Q300" s="13" t="s">
        <v>41</v>
      </c>
      <c r="R300" s="13" t="s">
        <v>42</v>
      </c>
      <c r="S300" s="17">
        <v>0</v>
      </c>
      <c r="T300" s="17">
        <v>0</v>
      </c>
      <c r="U300" s="17">
        <v>4898.8900000000003</v>
      </c>
      <c r="V300" s="17">
        <v>0</v>
      </c>
      <c r="W300" s="17">
        <v>0</v>
      </c>
      <c r="X300" s="17">
        <v>0</v>
      </c>
      <c r="Y300" s="17">
        <v>4898.8900000000003</v>
      </c>
      <c r="Z300" s="17">
        <v>0</v>
      </c>
      <c r="AA300" s="13" t="s">
        <v>524</v>
      </c>
      <c r="AB300" s="13" t="s">
        <v>44</v>
      </c>
      <c r="AC300" s="13" t="s">
        <v>45</v>
      </c>
      <c r="AD300" s="13" t="s">
        <v>46</v>
      </c>
      <c r="AE300" s="17">
        <v>4898.8900000000003</v>
      </c>
      <c r="AF300" s="17">
        <v>1144.9100000000001</v>
      </c>
      <c r="AG300" s="47" t="s">
        <v>876</v>
      </c>
      <c r="AH300" s="20" t="s">
        <v>811</v>
      </c>
      <c r="AI300" s="19" t="b">
        <v>0</v>
      </c>
      <c r="AJ300" s="18" t="s">
        <v>875</v>
      </c>
      <c r="AK300" s="49" t="s">
        <v>916</v>
      </c>
    </row>
    <row r="301" spans="1:37" x14ac:dyDescent="0.35">
      <c r="A301" s="12" t="s">
        <v>33</v>
      </c>
      <c r="B301" s="12">
        <v>100113978</v>
      </c>
      <c r="C301" s="13" t="s">
        <v>521</v>
      </c>
      <c r="D301" s="13" t="s">
        <v>522</v>
      </c>
      <c r="E301" s="12">
        <v>9700022722</v>
      </c>
      <c r="F301" s="13" t="s">
        <v>526</v>
      </c>
      <c r="G301" s="12" t="s">
        <v>37</v>
      </c>
      <c r="H301" s="14">
        <v>1001.46</v>
      </c>
      <c r="I301" s="15">
        <v>46130</v>
      </c>
      <c r="J301" s="12" t="str">
        <f t="shared" ca="1" si="5"/>
        <v>0-30</v>
      </c>
      <c r="K301" s="14">
        <v>1001.46</v>
      </c>
      <c r="L301" s="16">
        <v>46100</v>
      </c>
      <c r="M301" s="13" t="s">
        <v>38</v>
      </c>
      <c r="N301" s="13" t="s">
        <v>39</v>
      </c>
      <c r="O301" s="13" t="s">
        <v>40</v>
      </c>
      <c r="P301" s="13"/>
      <c r="Q301" s="13" t="s">
        <v>41</v>
      </c>
      <c r="R301" s="13" t="s">
        <v>42</v>
      </c>
      <c r="S301" s="17">
        <v>3677.86</v>
      </c>
      <c r="T301" s="17">
        <v>0</v>
      </c>
      <c r="U301" s="17">
        <v>0</v>
      </c>
      <c r="V301" s="17">
        <v>0</v>
      </c>
      <c r="W301" s="17">
        <v>0</v>
      </c>
      <c r="X301" s="17">
        <v>0</v>
      </c>
      <c r="Y301" s="17">
        <v>0</v>
      </c>
      <c r="Z301" s="17">
        <v>0</v>
      </c>
      <c r="AA301" s="13" t="s">
        <v>527</v>
      </c>
      <c r="AB301" s="13" t="s">
        <v>44</v>
      </c>
      <c r="AC301" s="13" t="s">
        <v>45</v>
      </c>
      <c r="AD301" s="13" t="s">
        <v>46</v>
      </c>
      <c r="AE301" s="17">
        <v>3677.86</v>
      </c>
      <c r="AF301" s="17">
        <v>872.66</v>
      </c>
      <c r="AG301" s="47" t="s">
        <v>876</v>
      </c>
      <c r="AH301" s="20" t="e">
        <v>#N/A</v>
      </c>
      <c r="AI301" s="19" t="b">
        <v>0</v>
      </c>
      <c r="AJ301" s="18" t="s">
        <v>875</v>
      </c>
      <c r="AK301" s="49" t="s">
        <v>916</v>
      </c>
    </row>
    <row r="302" spans="1:37" x14ac:dyDescent="0.35">
      <c r="A302" s="12" t="s">
        <v>33</v>
      </c>
      <c r="B302" s="12">
        <v>100113978</v>
      </c>
      <c r="C302" s="13" t="s">
        <v>521</v>
      </c>
      <c r="D302" s="13" t="s">
        <v>522</v>
      </c>
      <c r="E302" s="12">
        <v>9700028966</v>
      </c>
      <c r="F302" s="13" t="s">
        <v>528</v>
      </c>
      <c r="G302" s="12" t="s">
        <v>37</v>
      </c>
      <c r="H302" s="14">
        <v>1538.48</v>
      </c>
      <c r="I302" s="15">
        <v>45805</v>
      </c>
      <c r="J302" s="12" t="str">
        <f t="shared" ca="1" si="5"/>
        <v>120 +</v>
      </c>
      <c r="K302" s="14">
        <v>1538.48</v>
      </c>
      <c r="L302" s="16">
        <v>45775</v>
      </c>
      <c r="M302" s="13" t="s">
        <v>38</v>
      </c>
      <c r="N302" s="13" t="s">
        <v>39</v>
      </c>
      <c r="O302" s="13" t="s">
        <v>40</v>
      </c>
      <c r="P302" s="13"/>
      <c r="Q302" s="13" t="s">
        <v>41</v>
      </c>
      <c r="R302" s="13" t="s">
        <v>42</v>
      </c>
      <c r="S302" s="17">
        <v>0</v>
      </c>
      <c r="T302" s="17">
        <v>0</v>
      </c>
      <c r="U302" s="17">
        <v>0</v>
      </c>
      <c r="V302" s="17">
        <v>0</v>
      </c>
      <c r="W302" s="17">
        <v>0</v>
      </c>
      <c r="X302" s="17">
        <v>5650.07</v>
      </c>
      <c r="Y302" s="17">
        <v>5650.07</v>
      </c>
      <c r="Z302" s="17">
        <v>0</v>
      </c>
      <c r="AA302" s="13" t="s">
        <v>529</v>
      </c>
      <c r="AB302" s="13" t="s">
        <v>44</v>
      </c>
      <c r="AC302" s="13" t="s">
        <v>45</v>
      </c>
      <c r="AD302" s="13" t="s">
        <v>46</v>
      </c>
      <c r="AE302" s="17">
        <v>5650.07</v>
      </c>
      <c r="AF302" s="17">
        <v>1347.77</v>
      </c>
      <c r="AG302" s="47" t="s">
        <v>883</v>
      </c>
      <c r="AH302" s="20" t="s">
        <v>811</v>
      </c>
      <c r="AI302" s="19" t="b">
        <v>0</v>
      </c>
      <c r="AJ302" s="18" t="s">
        <v>875</v>
      </c>
      <c r="AK302" s="49" t="s">
        <v>916</v>
      </c>
    </row>
    <row r="303" spans="1:37" x14ac:dyDescent="0.35">
      <c r="A303" s="12" t="s">
        <v>33</v>
      </c>
      <c r="B303" s="12">
        <v>100113978</v>
      </c>
      <c r="C303" s="13" t="s">
        <v>521</v>
      </c>
      <c r="D303" s="13" t="s">
        <v>522</v>
      </c>
      <c r="E303" s="12">
        <v>9700028971</v>
      </c>
      <c r="F303" s="13" t="s">
        <v>530</v>
      </c>
      <c r="G303" s="12" t="s">
        <v>37</v>
      </c>
      <c r="H303" s="14">
        <v>737.39</v>
      </c>
      <c r="I303" s="15">
        <v>45805</v>
      </c>
      <c r="J303" s="12" t="str">
        <f t="shared" ca="1" si="5"/>
        <v>120 +</v>
      </c>
      <c r="K303" s="14">
        <v>737.39</v>
      </c>
      <c r="L303" s="16">
        <v>45775</v>
      </c>
      <c r="M303" s="13" t="s">
        <v>38</v>
      </c>
      <c r="N303" s="13" t="s">
        <v>39</v>
      </c>
      <c r="O303" s="13" t="s">
        <v>40</v>
      </c>
      <c r="P303" s="13"/>
      <c r="Q303" s="13" t="s">
        <v>41</v>
      </c>
      <c r="R303" s="13" t="s">
        <v>42</v>
      </c>
      <c r="S303" s="17">
        <v>0</v>
      </c>
      <c r="T303" s="17">
        <v>0</v>
      </c>
      <c r="U303" s="17">
        <v>0</v>
      </c>
      <c r="V303" s="17">
        <v>0</v>
      </c>
      <c r="W303" s="17">
        <v>0</v>
      </c>
      <c r="X303" s="17">
        <v>2708.06</v>
      </c>
      <c r="Y303" s="17">
        <v>2708.06</v>
      </c>
      <c r="Z303" s="17">
        <v>0</v>
      </c>
      <c r="AA303" s="13" t="s">
        <v>531</v>
      </c>
      <c r="AB303" s="13" t="s">
        <v>44</v>
      </c>
      <c r="AC303" s="13" t="s">
        <v>45</v>
      </c>
      <c r="AD303" s="13" t="s">
        <v>46</v>
      </c>
      <c r="AE303" s="17">
        <v>2708.06</v>
      </c>
      <c r="AF303" s="17">
        <v>645.98</v>
      </c>
      <c r="AG303" s="47" t="s">
        <v>882</v>
      </c>
      <c r="AH303" s="20" t="s">
        <v>811</v>
      </c>
      <c r="AI303" s="19" t="b">
        <v>0</v>
      </c>
      <c r="AJ303" s="18" t="s">
        <v>875</v>
      </c>
      <c r="AK303" s="49" t="s">
        <v>916</v>
      </c>
    </row>
    <row r="304" spans="1:37" x14ac:dyDescent="0.35">
      <c r="A304" s="12" t="s">
        <v>33</v>
      </c>
      <c r="B304" s="12">
        <v>100113978</v>
      </c>
      <c r="C304" s="13" t="s">
        <v>521</v>
      </c>
      <c r="D304" s="13" t="s">
        <v>522</v>
      </c>
      <c r="E304" s="12">
        <v>9700028972</v>
      </c>
      <c r="F304" s="13" t="s">
        <v>532</v>
      </c>
      <c r="G304" s="12" t="s">
        <v>37</v>
      </c>
      <c r="H304" s="14">
        <v>560.65</v>
      </c>
      <c r="I304" s="15">
        <v>45805</v>
      </c>
      <c r="J304" s="12" t="str">
        <f t="shared" ca="1" si="5"/>
        <v>120 +</v>
      </c>
      <c r="K304" s="14">
        <v>560.65</v>
      </c>
      <c r="L304" s="16">
        <v>45775</v>
      </c>
      <c r="M304" s="13" t="s">
        <v>38</v>
      </c>
      <c r="N304" s="13" t="s">
        <v>39</v>
      </c>
      <c r="O304" s="13" t="s">
        <v>40</v>
      </c>
      <c r="P304" s="13"/>
      <c r="Q304" s="13" t="s">
        <v>41</v>
      </c>
      <c r="R304" s="13" t="s">
        <v>42</v>
      </c>
      <c r="S304" s="17">
        <v>0</v>
      </c>
      <c r="T304" s="17">
        <v>0</v>
      </c>
      <c r="U304" s="17">
        <v>0</v>
      </c>
      <c r="V304" s="17">
        <v>0</v>
      </c>
      <c r="W304" s="17">
        <v>0</v>
      </c>
      <c r="X304" s="17">
        <v>2058.9899999999998</v>
      </c>
      <c r="Y304" s="17">
        <v>2058.9899999999998</v>
      </c>
      <c r="Z304" s="17">
        <v>0</v>
      </c>
      <c r="AA304" s="13" t="s">
        <v>524</v>
      </c>
      <c r="AB304" s="13" t="s">
        <v>44</v>
      </c>
      <c r="AC304" s="13" t="s">
        <v>45</v>
      </c>
      <c r="AD304" s="13" t="s">
        <v>46</v>
      </c>
      <c r="AE304" s="17">
        <v>2058.9899999999998</v>
      </c>
      <c r="AF304" s="17">
        <v>491.15</v>
      </c>
      <c r="AG304" s="47" t="s">
        <v>876</v>
      </c>
      <c r="AH304" s="20" t="s">
        <v>811</v>
      </c>
      <c r="AI304" s="19" t="b">
        <v>0</v>
      </c>
      <c r="AJ304" s="18" t="s">
        <v>875</v>
      </c>
      <c r="AK304" s="49" t="s">
        <v>916</v>
      </c>
    </row>
    <row r="305" spans="1:37" x14ac:dyDescent="0.35">
      <c r="A305" s="12" t="s">
        <v>33</v>
      </c>
      <c r="B305" s="12">
        <v>100113978</v>
      </c>
      <c r="C305" s="13" t="s">
        <v>521</v>
      </c>
      <c r="D305" s="13" t="s">
        <v>522</v>
      </c>
      <c r="E305" s="12">
        <v>9700034348</v>
      </c>
      <c r="F305" s="13" t="s">
        <v>533</v>
      </c>
      <c r="G305" s="12" t="s">
        <v>37</v>
      </c>
      <c r="H305" s="14">
        <v>199.66</v>
      </c>
      <c r="I305" s="15">
        <v>45827</v>
      </c>
      <c r="J305" s="12" t="str">
        <f t="shared" ca="1" si="5"/>
        <v>120 +</v>
      </c>
      <c r="K305" s="14">
        <v>199.66</v>
      </c>
      <c r="L305" s="16">
        <v>45797</v>
      </c>
      <c r="M305" s="13" t="s">
        <v>38</v>
      </c>
      <c r="N305" s="13" t="s">
        <v>39</v>
      </c>
      <c r="O305" s="13" t="s">
        <v>40</v>
      </c>
      <c r="P305" s="13"/>
      <c r="Q305" s="13" t="s">
        <v>41</v>
      </c>
      <c r="R305" s="13" t="s">
        <v>42</v>
      </c>
      <c r="S305" s="17">
        <v>0</v>
      </c>
      <c r="T305" s="17">
        <v>0</v>
      </c>
      <c r="U305" s="17">
        <v>0</v>
      </c>
      <c r="V305" s="17">
        <v>0</v>
      </c>
      <c r="W305" s="17">
        <v>0</v>
      </c>
      <c r="X305" s="17">
        <v>733.25</v>
      </c>
      <c r="Y305" s="17">
        <v>733.25</v>
      </c>
      <c r="Z305" s="17">
        <v>0</v>
      </c>
      <c r="AA305" s="13" t="s">
        <v>524</v>
      </c>
      <c r="AB305" s="13" t="s">
        <v>44</v>
      </c>
      <c r="AC305" s="13" t="s">
        <v>45</v>
      </c>
      <c r="AD305" s="13" t="s">
        <v>46</v>
      </c>
      <c r="AE305" s="17">
        <v>733.25</v>
      </c>
      <c r="AF305" s="17">
        <v>178.51</v>
      </c>
      <c r="AG305" s="47" t="s">
        <v>876</v>
      </c>
      <c r="AH305" s="20" t="s">
        <v>811</v>
      </c>
      <c r="AI305" s="19" t="b">
        <v>0</v>
      </c>
      <c r="AJ305" s="18" t="s">
        <v>875</v>
      </c>
      <c r="AK305" s="49" t="s">
        <v>916</v>
      </c>
    </row>
    <row r="306" spans="1:37" x14ac:dyDescent="0.35">
      <c r="A306" s="12" t="s">
        <v>33</v>
      </c>
      <c r="B306" s="12">
        <v>100113978</v>
      </c>
      <c r="C306" s="13" t="s">
        <v>521</v>
      </c>
      <c r="D306" s="13" t="s">
        <v>522</v>
      </c>
      <c r="E306" s="12">
        <v>9700034919</v>
      </c>
      <c r="F306" s="13" t="s">
        <v>534</v>
      </c>
      <c r="G306" s="12" t="s">
        <v>37</v>
      </c>
      <c r="H306" s="14">
        <v>1001.59</v>
      </c>
      <c r="I306" s="15">
        <v>45828</v>
      </c>
      <c r="J306" s="12" t="str">
        <f t="shared" ca="1" si="5"/>
        <v>120 +</v>
      </c>
      <c r="K306" s="14">
        <v>1001.59</v>
      </c>
      <c r="L306" s="16">
        <v>45798</v>
      </c>
      <c r="M306" s="13" t="s">
        <v>38</v>
      </c>
      <c r="N306" s="13" t="s">
        <v>39</v>
      </c>
      <c r="O306" s="13" t="s">
        <v>40</v>
      </c>
      <c r="P306" s="13"/>
      <c r="Q306" s="13" t="s">
        <v>41</v>
      </c>
      <c r="R306" s="13" t="s">
        <v>42</v>
      </c>
      <c r="S306" s="17">
        <v>0</v>
      </c>
      <c r="T306" s="17">
        <v>0</v>
      </c>
      <c r="U306" s="17">
        <v>0</v>
      </c>
      <c r="V306" s="17">
        <v>0</v>
      </c>
      <c r="W306" s="17">
        <v>0</v>
      </c>
      <c r="X306" s="17">
        <v>3678.34</v>
      </c>
      <c r="Y306" s="17">
        <v>3678.34</v>
      </c>
      <c r="Z306" s="17">
        <v>0</v>
      </c>
      <c r="AA306" s="13" t="s">
        <v>524</v>
      </c>
      <c r="AB306" s="13" t="s">
        <v>44</v>
      </c>
      <c r="AC306" s="13" t="s">
        <v>45</v>
      </c>
      <c r="AD306" s="13" t="s">
        <v>46</v>
      </c>
      <c r="AE306" s="17">
        <v>3678.34</v>
      </c>
      <c r="AF306" s="17">
        <v>894.76</v>
      </c>
      <c r="AG306" s="47" t="s">
        <v>876</v>
      </c>
      <c r="AH306" s="20" t="s">
        <v>811</v>
      </c>
      <c r="AI306" s="19" t="b">
        <v>0</v>
      </c>
      <c r="AJ306" s="18" t="s">
        <v>875</v>
      </c>
      <c r="AK306" s="49" t="s">
        <v>916</v>
      </c>
    </row>
    <row r="307" spans="1:37" x14ac:dyDescent="0.35">
      <c r="A307" s="12" t="s">
        <v>33</v>
      </c>
      <c r="B307" s="12">
        <v>100113978</v>
      </c>
      <c r="C307" s="13" t="s">
        <v>521</v>
      </c>
      <c r="D307" s="13" t="s">
        <v>522</v>
      </c>
      <c r="E307" s="12">
        <v>9700041232</v>
      </c>
      <c r="F307" s="13" t="s">
        <v>535</v>
      </c>
      <c r="G307" s="12" t="s">
        <v>37</v>
      </c>
      <c r="H307" s="14">
        <v>983.58</v>
      </c>
      <c r="I307" s="15">
        <v>45856</v>
      </c>
      <c r="J307" s="12" t="str">
        <f t="shared" ca="1" si="5"/>
        <v>120 +</v>
      </c>
      <c r="K307" s="14">
        <v>983.58</v>
      </c>
      <c r="L307" s="16">
        <v>45826</v>
      </c>
      <c r="M307" s="13" t="s">
        <v>38</v>
      </c>
      <c r="N307" s="13" t="s">
        <v>39</v>
      </c>
      <c r="O307" s="13" t="s">
        <v>40</v>
      </c>
      <c r="P307" s="13"/>
      <c r="Q307" s="13" t="s">
        <v>41</v>
      </c>
      <c r="R307" s="13" t="s">
        <v>42</v>
      </c>
      <c r="S307" s="17">
        <v>0</v>
      </c>
      <c r="T307" s="17">
        <v>0</v>
      </c>
      <c r="U307" s="17">
        <v>0</v>
      </c>
      <c r="V307" s="17">
        <v>0</v>
      </c>
      <c r="W307" s="17">
        <v>0</v>
      </c>
      <c r="X307" s="17">
        <v>3612.2</v>
      </c>
      <c r="Y307" s="17">
        <v>3612.2</v>
      </c>
      <c r="Z307" s="17">
        <v>0</v>
      </c>
      <c r="AA307" s="13" t="s">
        <v>524</v>
      </c>
      <c r="AB307" s="13" t="s">
        <v>44</v>
      </c>
      <c r="AC307" s="13" t="s">
        <v>45</v>
      </c>
      <c r="AD307" s="13" t="s">
        <v>46</v>
      </c>
      <c r="AE307" s="17">
        <v>3612.2</v>
      </c>
      <c r="AF307" s="17">
        <v>849.82</v>
      </c>
      <c r="AG307" s="47" t="s">
        <v>876</v>
      </c>
      <c r="AH307" s="20" t="s">
        <v>811</v>
      </c>
      <c r="AI307" s="19" t="b">
        <v>0</v>
      </c>
      <c r="AJ307" s="18" t="s">
        <v>875</v>
      </c>
      <c r="AK307" s="49" t="s">
        <v>916</v>
      </c>
    </row>
    <row r="308" spans="1:37" x14ac:dyDescent="0.35">
      <c r="A308" s="12" t="s">
        <v>33</v>
      </c>
      <c r="B308" s="12">
        <v>100113978</v>
      </c>
      <c r="C308" s="13" t="s">
        <v>521</v>
      </c>
      <c r="D308" s="13" t="s">
        <v>522</v>
      </c>
      <c r="E308" s="12">
        <v>9700047443</v>
      </c>
      <c r="F308" s="13" t="s">
        <v>536</v>
      </c>
      <c r="G308" s="12" t="s">
        <v>37</v>
      </c>
      <c r="H308" s="14">
        <v>941.93</v>
      </c>
      <c r="I308" s="15">
        <v>45885</v>
      </c>
      <c r="J308" s="12" t="str">
        <f t="shared" ca="1" si="5"/>
        <v>120 +</v>
      </c>
      <c r="K308" s="14">
        <v>941.93</v>
      </c>
      <c r="L308" s="16">
        <v>45855</v>
      </c>
      <c r="M308" s="13" t="s">
        <v>38</v>
      </c>
      <c r="N308" s="13" t="s">
        <v>39</v>
      </c>
      <c r="O308" s="13" t="s">
        <v>40</v>
      </c>
      <c r="P308" s="13"/>
      <c r="Q308" s="13" t="s">
        <v>41</v>
      </c>
      <c r="R308" s="13" t="s">
        <v>42</v>
      </c>
      <c r="S308" s="17">
        <v>0</v>
      </c>
      <c r="T308" s="17">
        <v>0</v>
      </c>
      <c r="U308" s="17">
        <v>0</v>
      </c>
      <c r="V308" s="17">
        <v>0</v>
      </c>
      <c r="W308" s="17">
        <v>0</v>
      </c>
      <c r="X308" s="17">
        <v>3459.24</v>
      </c>
      <c r="Y308" s="17">
        <v>3459.24</v>
      </c>
      <c r="Z308" s="17">
        <v>0</v>
      </c>
      <c r="AA308" s="13" t="s">
        <v>524</v>
      </c>
      <c r="AB308" s="13" t="s">
        <v>44</v>
      </c>
      <c r="AC308" s="13" t="s">
        <v>45</v>
      </c>
      <c r="AD308" s="13" t="s">
        <v>46</v>
      </c>
      <c r="AE308" s="17">
        <v>3459.24</v>
      </c>
      <c r="AF308" s="17">
        <v>805.76</v>
      </c>
      <c r="AG308" s="47" t="s">
        <v>876</v>
      </c>
      <c r="AH308" s="20" t="s">
        <v>811</v>
      </c>
      <c r="AI308" s="19" t="b">
        <v>0</v>
      </c>
      <c r="AJ308" s="18" t="s">
        <v>875</v>
      </c>
      <c r="AK308" s="49" t="s">
        <v>916</v>
      </c>
    </row>
    <row r="309" spans="1:37" x14ac:dyDescent="0.35">
      <c r="A309" s="12" t="s">
        <v>33</v>
      </c>
      <c r="B309" s="12">
        <v>100113978</v>
      </c>
      <c r="C309" s="13" t="s">
        <v>521</v>
      </c>
      <c r="D309" s="13" t="s">
        <v>522</v>
      </c>
      <c r="E309" s="12">
        <v>9700061829</v>
      </c>
      <c r="F309" s="13" t="s">
        <v>537</v>
      </c>
      <c r="G309" s="12" t="s">
        <v>37</v>
      </c>
      <c r="H309" s="14">
        <v>1386.56</v>
      </c>
      <c r="I309" s="15">
        <v>45940</v>
      </c>
      <c r="J309" s="12" t="str">
        <f t="shared" ca="1" si="5"/>
        <v>120 +</v>
      </c>
      <c r="K309" s="14">
        <v>1386.56</v>
      </c>
      <c r="L309" s="16">
        <v>45910</v>
      </c>
      <c r="M309" s="13" t="s">
        <v>38</v>
      </c>
      <c r="N309" s="13" t="s">
        <v>39</v>
      </c>
      <c r="O309" s="13" t="s">
        <v>40</v>
      </c>
      <c r="P309" s="13"/>
      <c r="Q309" s="13" t="s">
        <v>41</v>
      </c>
      <c r="R309" s="13" t="s">
        <v>42</v>
      </c>
      <c r="S309" s="17">
        <v>0</v>
      </c>
      <c r="T309" s="17">
        <v>0</v>
      </c>
      <c r="U309" s="17">
        <v>0</v>
      </c>
      <c r="V309" s="17">
        <v>0</v>
      </c>
      <c r="W309" s="17">
        <v>0</v>
      </c>
      <c r="X309" s="17">
        <v>5092.1400000000003</v>
      </c>
      <c r="Y309" s="17">
        <v>5092.1400000000003</v>
      </c>
      <c r="Z309" s="17">
        <v>0</v>
      </c>
      <c r="AA309" s="13" t="s">
        <v>524</v>
      </c>
      <c r="AB309" s="13" t="s">
        <v>44</v>
      </c>
      <c r="AC309" s="13" t="s">
        <v>45</v>
      </c>
      <c r="AD309" s="13" t="s">
        <v>46</v>
      </c>
      <c r="AE309" s="17">
        <v>5092.1400000000003</v>
      </c>
      <c r="AF309" s="17">
        <v>1180.6500000000001</v>
      </c>
      <c r="AG309" s="47" t="s">
        <v>876</v>
      </c>
      <c r="AH309" s="20" t="s">
        <v>811</v>
      </c>
      <c r="AI309" s="19" t="b">
        <v>0</v>
      </c>
      <c r="AJ309" s="18" t="s">
        <v>875</v>
      </c>
      <c r="AK309" s="49" t="s">
        <v>916</v>
      </c>
    </row>
    <row r="310" spans="1:37" x14ac:dyDescent="0.35">
      <c r="A310" s="12" t="s">
        <v>33</v>
      </c>
      <c r="B310" s="12">
        <v>100113978</v>
      </c>
      <c r="C310" s="13" t="s">
        <v>521</v>
      </c>
      <c r="D310" s="13" t="s">
        <v>522</v>
      </c>
      <c r="E310" s="12">
        <v>9700064323</v>
      </c>
      <c r="F310" s="13" t="s">
        <v>538</v>
      </c>
      <c r="G310" s="12" t="s">
        <v>37</v>
      </c>
      <c r="H310" s="14">
        <v>1347.97</v>
      </c>
      <c r="I310" s="15">
        <v>45949</v>
      </c>
      <c r="J310" s="12" t="str">
        <f t="shared" ca="1" si="5"/>
        <v>120 +</v>
      </c>
      <c r="K310" s="14">
        <v>1347.97</v>
      </c>
      <c r="L310" s="16">
        <v>45919</v>
      </c>
      <c r="M310" s="13" t="s">
        <v>38</v>
      </c>
      <c r="N310" s="13" t="s">
        <v>39</v>
      </c>
      <c r="O310" s="13" t="s">
        <v>40</v>
      </c>
      <c r="P310" s="13"/>
      <c r="Q310" s="13" t="s">
        <v>41</v>
      </c>
      <c r="R310" s="13" t="s">
        <v>42</v>
      </c>
      <c r="S310" s="17">
        <v>0</v>
      </c>
      <c r="T310" s="17">
        <v>0</v>
      </c>
      <c r="U310" s="17">
        <v>0</v>
      </c>
      <c r="V310" s="17">
        <v>0</v>
      </c>
      <c r="W310" s="17">
        <v>0</v>
      </c>
      <c r="X310" s="17">
        <v>4950.42</v>
      </c>
      <c r="Y310" s="17">
        <v>4950.42</v>
      </c>
      <c r="Z310" s="17">
        <v>0</v>
      </c>
      <c r="AA310" s="13" t="s">
        <v>524</v>
      </c>
      <c r="AB310" s="13" t="s">
        <v>44</v>
      </c>
      <c r="AC310" s="13" t="s">
        <v>45</v>
      </c>
      <c r="AD310" s="13" t="s">
        <v>46</v>
      </c>
      <c r="AE310" s="17">
        <v>4950.42</v>
      </c>
      <c r="AF310" s="17">
        <v>1141.67</v>
      </c>
      <c r="AG310" s="47" t="s">
        <v>876</v>
      </c>
      <c r="AH310" s="20" t="s">
        <v>811</v>
      </c>
      <c r="AI310" s="19" t="b">
        <v>0</v>
      </c>
      <c r="AJ310" s="18" t="s">
        <v>875</v>
      </c>
      <c r="AK310" s="49" t="s">
        <v>916</v>
      </c>
    </row>
    <row r="311" spans="1:37" x14ac:dyDescent="0.35">
      <c r="A311" s="12" t="s">
        <v>33</v>
      </c>
      <c r="B311" s="12">
        <v>100113978</v>
      </c>
      <c r="C311" s="13" t="s">
        <v>521</v>
      </c>
      <c r="D311" s="13" t="s">
        <v>522</v>
      </c>
      <c r="E311" s="12">
        <v>9700071249</v>
      </c>
      <c r="F311" s="13" t="s">
        <v>539</v>
      </c>
      <c r="G311" s="12" t="s">
        <v>37</v>
      </c>
      <c r="H311" s="14">
        <v>1312.38</v>
      </c>
      <c r="I311" s="15">
        <v>45976</v>
      </c>
      <c r="J311" s="12" t="str">
        <f t="shared" ca="1" si="5"/>
        <v>120 +</v>
      </c>
      <c r="K311" s="14">
        <v>1312.38</v>
      </c>
      <c r="L311" s="16">
        <v>45946</v>
      </c>
      <c r="M311" s="13" t="s">
        <v>38</v>
      </c>
      <c r="N311" s="13" t="s">
        <v>39</v>
      </c>
      <c r="O311" s="13" t="s">
        <v>40</v>
      </c>
      <c r="P311" s="13"/>
      <c r="Q311" s="13" t="s">
        <v>41</v>
      </c>
      <c r="R311" s="13" t="s">
        <v>42</v>
      </c>
      <c r="S311" s="17">
        <v>0</v>
      </c>
      <c r="T311" s="17">
        <v>0</v>
      </c>
      <c r="U311" s="17">
        <v>0</v>
      </c>
      <c r="V311" s="17">
        <v>0</v>
      </c>
      <c r="W311" s="17">
        <v>0</v>
      </c>
      <c r="X311" s="17">
        <v>4819.72</v>
      </c>
      <c r="Y311" s="17">
        <v>4819.72</v>
      </c>
      <c r="Z311" s="17">
        <v>0</v>
      </c>
      <c r="AA311" s="13" t="s">
        <v>524</v>
      </c>
      <c r="AB311" s="13" t="s">
        <v>44</v>
      </c>
      <c r="AC311" s="13" t="s">
        <v>45</v>
      </c>
      <c r="AD311" s="13" t="s">
        <v>46</v>
      </c>
      <c r="AE311" s="17">
        <v>4819.72</v>
      </c>
      <c r="AF311" s="17">
        <v>1134.3900000000001</v>
      </c>
      <c r="AG311" s="47" t="s">
        <v>876</v>
      </c>
      <c r="AH311" s="20" t="s">
        <v>811</v>
      </c>
      <c r="AI311" s="19" t="b">
        <v>0</v>
      </c>
      <c r="AJ311" s="18" t="s">
        <v>875</v>
      </c>
      <c r="AK311" s="49" t="s">
        <v>916</v>
      </c>
    </row>
    <row r="312" spans="1:37" x14ac:dyDescent="0.35">
      <c r="A312" s="12" t="s">
        <v>33</v>
      </c>
      <c r="B312" s="12">
        <v>100113978</v>
      </c>
      <c r="C312" s="13" t="s">
        <v>521</v>
      </c>
      <c r="D312" s="13" t="s">
        <v>522</v>
      </c>
      <c r="E312" s="12">
        <v>9700082639</v>
      </c>
      <c r="F312" s="13" t="s">
        <v>540</v>
      </c>
      <c r="G312" s="12" t="s">
        <v>37</v>
      </c>
      <c r="H312" s="14">
        <v>1351.11</v>
      </c>
      <c r="I312" s="15">
        <v>46015</v>
      </c>
      <c r="J312" s="12" t="str">
        <f t="shared" ca="1" si="5"/>
        <v>120 +</v>
      </c>
      <c r="K312" s="14">
        <v>1351.11</v>
      </c>
      <c r="L312" s="16">
        <v>45985</v>
      </c>
      <c r="M312" s="13" t="s">
        <v>38</v>
      </c>
      <c r="N312" s="13" t="s">
        <v>39</v>
      </c>
      <c r="O312" s="13" t="s">
        <v>40</v>
      </c>
      <c r="P312" s="13"/>
      <c r="Q312" s="13" t="s">
        <v>41</v>
      </c>
      <c r="R312" s="13" t="s">
        <v>42</v>
      </c>
      <c r="S312" s="17">
        <v>0</v>
      </c>
      <c r="T312" s="17">
        <v>0</v>
      </c>
      <c r="U312" s="17">
        <v>0</v>
      </c>
      <c r="V312" s="17">
        <v>0</v>
      </c>
      <c r="W312" s="17">
        <v>4961.95</v>
      </c>
      <c r="X312" s="17">
        <v>0</v>
      </c>
      <c r="Y312" s="17">
        <v>4961.95</v>
      </c>
      <c r="Z312" s="17">
        <v>0</v>
      </c>
      <c r="AA312" s="13" t="s">
        <v>524</v>
      </c>
      <c r="AB312" s="13" t="s">
        <v>44</v>
      </c>
      <c r="AC312" s="13" t="s">
        <v>45</v>
      </c>
      <c r="AD312" s="13" t="s">
        <v>46</v>
      </c>
      <c r="AE312" s="17">
        <v>4961.95</v>
      </c>
      <c r="AF312" s="17">
        <v>1173.45</v>
      </c>
      <c r="AG312" s="47" t="s">
        <v>876</v>
      </c>
      <c r="AH312" s="20" t="s">
        <v>811</v>
      </c>
      <c r="AI312" s="19" t="b">
        <v>0</v>
      </c>
      <c r="AJ312" s="18" t="s">
        <v>875</v>
      </c>
      <c r="AK312" s="49" t="s">
        <v>916</v>
      </c>
    </row>
    <row r="313" spans="1:37" ht="16.5" x14ac:dyDescent="0.4">
      <c r="A313" s="3"/>
      <c r="B313" s="3"/>
      <c r="C313" s="4"/>
      <c r="D313" s="4" t="s">
        <v>522</v>
      </c>
      <c r="E313" s="3"/>
      <c r="F313" s="4"/>
      <c r="G313" s="4"/>
      <c r="H313" s="43">
        <f>SUM(H299:H312)</f>
        <v>14997.55</v>
      </c>
      <c r="I313" s="5"/>
      <c r="J313" s="45" t="str">
        <f t="shared" ca="1" si="5"/>
        <v/>
      </c>
      <c r="K313" s="43">
        <f>SUM(K299:K312)</f>
        <v>14997.55</v>
      </c>
      <c r="L313" s="9"/>
      <c r="M313" s="4"/>
      <c r="N313" s="4"/>
      <c r="O313" s="4"/>
      <c r="P313" s="4"/>
      <c r="Q313" s="4"/>
      <c r="R313" s="4" t="s">
        <v>42</v>
      </c>
      <c r="S313" s="6">
        <v>3677.86</v>
      </c>
      <c r="T313" s="6">
        <v>0</v>
      </c>
      <c r="U313" s="6">
        <v>9676.26</v>
      </c>
      <c r="V313" s="6">
        <v>0</v>
      </c>
      <c r="W313" s="6">
        <v>4961.95</v>
      </c>
      <c r="X313" s="7"/>
      <c r="Y313" s="7"/>
      <c r="Z313" s="6">
        <v>0</v>
      </c>
      <c r="AA313" s="4"/>
      <c r="AB313" s="4"/>
      <c r="AC313" s="4"/>
      <c r="AD313" s="4"/>
      <c r="AE313" s="6">
        <v>55078.5</v>
      </c>
      <c r="AF313" s="6">
        <v>12977.71</v>
      </c>
      <c r="AG313" s="48"/>
      <c r="AH313" s="44" cm="1">
        <f t="array" ref="AH313">IFERROR(SUMPRODUCT(AF299:AF312*--(((AI299:AI312=TRUE)+(AI299:AI312=1))&gt;0)),0)</f>
        <v>0</v>
      </c>
      <c r="AI313" s="54">
        <f>SUMIF(AI299:AI312,TRUE,H299:H312)/H313</f>
        <v>0</v>
      </c>
      <c r="AJ313" s="6"/>
      <c r="AK313" s="50"/>
    </row>
    <row r="314" spans="1:37" x14ac:dyDescent="0.35">
      <c r="A314" s="12" t="s">
        <v>33</v>
      </c>
      <c r="B314" s="12">
        <v>100111977</v>
      </c>
      <c r="C314" s="13" t="s">
        <v>541</v>
      </c>
      <c r="D314" s="13" t="s">
        <v>542</v>
      </c>
      <c r="E314" s="12">
        <v>9700025806</v>
      </c>
      <c r="F314" s="13" t="s">
        <v>543</v>
      </c>
      <c r="G314" s="12" t="s">
        <v>37</v>
      </c>
      <c r="H314" s="14">
        <v>5801.2</v>
      </c>
      <c r="I314" s="15">
        <v>46141</v>
      </c>
      <c r="J314" s="12" t="str">
        <f t="shared" ca="1" si="5"/>
        <v>Current</v>
      </c>
      <c r="K314" s="14">
        <v>5801.2</v>
      </c>
      <c r="L314" s="16">
        <v>46111</v>
      </c>
      <c r="M314" s="13" t="s">
        <v>38</v>
      </c>
      <c r="N314" s="13" t="s">
        <v>39</v>
      </c>
      <c r="O314" s="13" t="s">
        <v>40</v>
      </c>
      <c r="P314" s="13"/>
      <c r="Q314" s="13" t="s">
        <v>41</v>
      </c>
      <c r="R314" s="13" t="s">
        <v>42</v>
      </c>
      <c r="S314" s="17">
        <v>21304.91</v>
      </c>
      <c r="T314" s="17">
        <v>0</v>
      </c>
      <c r="U314" s="17">
        <v>0</v>
      </c>
      <c r="V314" s="17">
        <v>0</v>
      </c>
      <c r="W314" s="17">
        <v>0</v>
      </c>
      <c r="X314" s="17">
        <v>0</v>
      </c>
      <c r="Y314" s="17">
        <v>0</v>
      </c>
      <c r="Z314" s="17">
        <v>0</v>
      </c>
      <c r="AA314" s="13" t="s">
        <v>544</v>
      </c>
      <c r="AB314" s="13" t="s">
        <v>44</v>
      </c>
      <c r="AC314" s="13" t="s">
        <v>45</v>
      </c>
      <c r="AD314" s="13" t="s">
        <v>46</v>
      </c>
      <c r="AE314" s="17">
        <v>21304.91</v>
      </c>
      <c r="AF314" s="17">
        <v>5004.49</v>
      </c>
      <c r="AG314" s="47" t="s">
        <v>896</v>
      </c>
      <c r="AH314" s="20" t="e">
        <v>#N/A</v>
      </c>
      <c r="AI314" s="19" t="b">
        <v>1</v>
      </c>
      <c r="AJ314" s="18" t="s">
        <v>874</v>
      </c>
      <c r="AK314" s="49" t="s">
        <v>815</v>
      </c>
    </row>
    <row r="315" spans="1:37" ht="16.5" x14ac:dyDescent="0.4">
      <c r="A315" s="3"/>
      <c r="B315" s="3"/>
      <c r="C315" s="4"/>
      <c r="D315" s="4" t="s">
        <v>542</v>
      </c>
      <c r="E315" s="3"/>
      <c r="F315" s="4"/>
      <c r="G315" s="4"/>
      <c r="H315" s="43">
        <f>SUM(H314:H314)</f>
        <v>5801.2</v>
      </c>
      <c r="I315" s="5"/>
      <c r="J315" s="45" t="str">
        <f t="shared" ca="1" si="5"/>
        <v/>
      </c>
      <c r="K315" s="43">
        <f>SUM(K314:K314)</f>
        <v>5801.2</v>
      </c>
      <c r="L315" s="9"/>
      <c r="M315" s="4"/>
      <c r="N315" s="4"/>
      <c r="O315" s="4"/>
      <c r="P315" s="4"/>
      <c r="Q315" s="4"/>
      <c r="R315" s="4" t="s">
        <v>42</v>
      </c>
      <c r="S315" s="6">
        <v>21304.91</v>
      </c>
      <c r="T315" s="6">
        <v>0</v>
      </c>
      <c r="U315" s="6">
        <v>0</v>
      </c>
      <c r="V315" s="6">
        <v>0</v>
      </c>
      <c r="W315" s="6">
        <v>0</v>
      </c>
      <c r="X315" s="7"/>
      <c r="Y315" s="7"/>
      <c r="Z315" s="6">
        <v>0</v>
      </c>
      <c r="AA315" s="4"/>
      <c r="AB315" s="4"/>
      <c r="AC315" s="4"/>
      <c r="AD315" s="4"/>
      <c r="AE315" s="6">
        <v>21304.91</v>
      </c>
      <c r="AF315" s="6">
        <v>5004.49</v>
      </c>
      <c r="AG315" s="48"/>
      <c r="AH315" s="44" cm="1">
        <f t="array" ref="AH315">IFERROR(SUMPRODUCT(AF314:AF314*--(((AI314:AI314=TRUE)+(AI314:AI314=1))&gt;0)),0)</f>
        <v>5004.49</v>
      </c>
      <c r="AI315" s="54">
        <f>SUMIF(AI314:AI314,TRUE,H314:H314)/H315</f>
        <v>1</v>
      </c>
      <c r="AJ315" s="6"/>
      <c r="AK315" s="50"/>
    </row>
    <row r="316" spans="1:37" x14ac:dyDescent="0.35">
      <c r="A316" s="12" t="s">
        <v>33</v>
      </c>
      <c r="B316" s="12">
        <v>100113966</v>
      </c>
      <c r="C316" s="13" t="s">
        <v>545</v>
      </c>
      <c r="D316" s="13" t="s">
        <v>546</v>
      </c>
      <c r="E316" s="12">
        <v>9700002993</v>
      </c>
      <c r="F316" s="13" t="s">
        <v>547</v>
      </c>
      <c r="G316" s="12" t="s">
        <v>37</v>
      </c>
      <c r="H316" s="14">
        <v>516.69000000000005</v>
      </c>
      <c r="I316" s="15">
        <v>46068</v>
      </c>
      <c r="J316" s="12" t="str">
        <f t="shared" ca="1" si="5"/>
        <v>61-90</v>
      </c>
      <c r="K316" s="14">
        <v>516.69000000000005</v>
      </c>
      <c r="L316" s="16">
        <v>46038</v>
      </c>
      <c r="M316" s="13" t="s">
        <v>38</v>
      </c>
      <c r="N316" s="13" t="s">
        <v>39</v>
      </c>
      <c r="O316" s="13" t="s">
        <v>40</v>
      </c>
      <c r="P316" s="13"/>
      <c r="Q316" s="13" t="s">
        <v>41</v>
      </c>
      <c r="R316" s="13" t="s">
        <v>42</v>
      </c>
      <c r="S316" s="17">
        <v>0</v>
      </c>
      <c r="T316" s="17">
        <v>0</v>
      </c>
      <c r="U316" s="17">
        <v>1897.54</v>
      </c>
      <c r="V316" s="17">
        <v>0</v>
      </c>
      <c r="W316" s="17">
        <v>0</v>
      </c>
      <c r="X316" s="17">
        <v>0</v>
      </c>
      <c r="Y316" s="17">
        <v>1897.54</v>
      </c>
      <c r="Z316" s="17">
        <v>0</v>
      </c>
      <c r="AA316" s="13" t="s">
        <v>548</v>
      </c>
      <c r="AB316" s="13" t="s">
        <v>44</v>
      </c>
      <c r="AC316" s="13" t="s">
        <v>45</v>
      </c>
      <c r="AD316" s="13" t="s">
        <v>46</v>
      </c>
      <c r="AE316" s="17">
        <v>1897.54</v>
      </c>
      <c r="AF316" s="17">
        <v>443.36</v>
      </c>
      <c r="AG316" s="47" t="s">
        <v>884</v>
      </c>
      <c r="AH316" s="20" t="s">
        <v>812</v>
      </c>
      <c r="AI316" s="19" t="b">
        <v>1</v>
      </c>
      <c r="AJ316" s="18" t="s">
        <v>874</v>
      </c>
      <c r="AK316" s="49" t="s">
        <v>815</v>
      </c>
    </row>
    <row r="317" spans="1:37" x14ac:dyDescent="0.35">
      <c r="A317" s="12" t="s">
        <v>33</v>
      </c>
      <c r="B317" s="12">
        <v>100113966</v>
      </c>
      <c r="C317" s="13" t="s">
        <v>545</v>
      </c>
      <c r="D317" s="13" t="s">
        <v>546</v>
      </c>
      <c r="E317" s="12">
        <v>9700003948</v>
      </c>
      <c r="F317" s="13" t="s">
        <v>549</v>
      </c>
      <c r="G317" s="12" t="s">
        <v>37</v>
      </c>
      <c r="H317" s="14">
        <v>388.26</v>
      </c>
      <c r="I317" s="15">
        <v>46071</v>
      </c>
      <c r="J317" s="12" t="str">
        <f t="shared" ca="1" si="5"/>
        <v>61-90</v>
      </c>
      <c r="K317" s="14">
        <v>388.26</v>
      </c>
      <c r="L317" s="16">
        <v>46041</v>
      </c>
      <c r="M317" s="13" t="s">
        <v>38</v>
      </c>
      <c r="N317" s="13" t="s">
        <v>39</v>
      </c>
      <c r="O317" s="13" t="s">
        <v>40</v>
      </c>
      <c r="P317" s="13"/>
      <c r="Q317" s="13" t="s">
        <v>41</v>
      </c>
      <c r="R317" s="13" t="s">
        <v>42</v>
      </c>
      <c r="S317" s="17">
        <v>0</v>
      </c>
      <c r="T317" s="17">
        <v>0</v>
      </c>
      <c r="U317" s="17">
        <v>1425.88</v>
      </c>
      <c r="V317" s="17">
        <v>0</v>
      </c>
      <c r="W317" s="17">
        <v>0</v>
      </c>
      <c r="X317" s="17">
        <v>0</v>
      </c>
      <c r="Y317" s="17">
        <v>1425.88</v>
      </c>
      <c r="Z317" s="17">
        <v>0</v>
      </c>
      <c r="AA317" s="13" t="s">
        <v>548</v>
      </c>
      <c r="AB317" s="13" t="s">
        <v>44</v>
      </c>
      <c r="AC317" s="13" t="s">
        <v>45</v>
      </c>
      <c r="AD317" s="13" t="s">
        <v>46</v>
      </c>
      <c r="AE317" s="17">
        <v>1425.88</v>
      </c>
      <c r="AF317" s="17">
        <v>334.02</v>
      </c>
      <c r="AG317" s="47" t="s">
        <v>884</v>
      </c>
      <c r="AH317" s="20" t="s">
        <v>812</v>
      </c>
      <c r="AI317" s="19" t="b">
        <v>1</v>
      </c>
      <c r="AJ317" s="18" t="s">
        <v>874</v>
      </c>
      <c r="AK317" s="49" t="s">
        <v>815</v>
      </c>
    </row>
    <row r="318" spans="1:37" x14ac:dyDescent="0.35">
      <c r="A318" s="12" t="s">
        <v>33</v>
      </c>
      <c r="B318" s="12">
        <v>100113966</v>
      </c>
      <c r="C318" s="13" t="s">
        <v>545</v>
      </c>
      <c r="D318" s="13" t="s">
        <v>546</v>
      </c>
      <c r="E318" s="12">
        <v>9700017318</v>
      </c>
      <c r="F318" s="13" t="s">
        <v>550</v>
      </c>
      <c r="G318" s="12" t="s">
        <v>37</v>
      </c>
      <c r="H318" s="14">
        <v>9796.86</v>
      </c>
      <c r="I318" s="15">
        <v>46107</v>
      </c>
      <c r="J318" s="12" t="str">
        <f t="shared" ca="1" si="5"/>
        <v>31-60</v>
      </c>
      <c r="K318" s="14">
        <v>9796.86</v>
      </c>
      <c r="L318" s="16">
        <v>46077</v>
      </c>
      <c r="M318" s="13" t="s">
        <v>38</v>
      </c>
      <c r="N318" s="13" t="s">
        <v>39</v>
      </c>
      <c r="O318" s="13" t="s">
        <v>40</v>
      </c>
      <c r="P318" s="13"/>
      <c r="Q318" s="13" t="s">
        <v>41</v>
      </c>
      <c r="R318" s="13" t="s">
        <v>42</v>
      </c>
      <c r="S318" s="17">
        <v>0</v>
      </c>
      <c r="T318" s="17">
        <v>35978.97</v>
      </c>
      <c r="U318" s="17">
        <v>0</v>
      </c>
      <c r="V318" s="17">
        <v>0</v>
      </c>
      <c r="W318" s="17">
        <v>0</v>
      </c>
      <c r="X318" s="17">
        <v>0</v>
      </c>
      <c r="Y318" s="17">
        <v>35978.97</v>
      </c>
      <c r="Z318" s="17">
        <v>0</v>
      </c>
      <c r="AA318" s="13" t="s">
        <v>551</v>
      </c>
      <c r="AB318" s="13" t="s">
        <v>44</v>
      </c>
      <c r="AC318" s="13" t="s">
        <v>45</v>
      </c>
      <c r="AD318" s="13" t="s">
        <v>46</v>
      </c>
      <c r="AE318" s="17">
        <v>35978.97</v>
      </c>
      <c r="AF318" s="17">
        <v>8325.7099999999991</v>
      </c>
      <c r="AG318" s="47" t="s">
        <v>897</v>
      </c>
      <c r="AH318" s="20" t="s">
        <v>806</v>
      </c>
      <c r="AI318" s="19" t="b">
        <v>0</v>
      </c>
      <c r="AJ318" s="18" t="s">
        <v>865</v>
      </c>
      <c r="AK318" s="49" t="s">
        <v>1028</v>
      </c>
    </row>
    <row r="319" spans="1:37" x14ac:dyDescent="0.35">
      <c r="A319" s="12" t="s">
        <v>33</v>
      </c>
      <c r="B319" s="12">
        <v>100113966</v>
      </c>
      <c r="C319" s="13" t="s">
        <v>545</v>
      </c>
      <c r="D319" s="13" t="s">
        <v>546</v>
      </c>
      <c r="E319" s="12">
        <v>9700017319</v>
      </c>
      <c r="F319" s="13" t="s">
        <v>552</v>
      </c>
      <c r="G319" s="12" t="s">
        <v>37</v>
      </c>
      <c r="H319" s="14">
        <v>831.15</v>
      </c>
      <c r="I319" s="15">
        <v>46107</v>
      </c>
      <c r="J319" s="12" t="str">
        <f t="shared" ca="1" si="5"/>
        <v>31-60</v>
      </c>
      <c r="K319" s="14">
        <v>831.15</v>
      </c>
      <c r="L319" s="16">
        <v>46077</v>
      </c>
      <c r="M319" s="13" t="s">
        <v>38</v>
      </c>
      <c r="N319" s="13" t="s">
        <v>39</v>
      </c>
      <c r="O319" s="13" t="s">
        <v>40</v>
      </c>
      <c r="P319" s="13"/>
      <c r="Q319" s="13" t="s">
        <v>41</v>
      </c>
      <c r="R319" s="13" t="s">
        <v>42</v>
      </c>
      <c r="S319" s="17">
        <v>0</v>
      </c>
      <c r="T319" s="17">
        <v>3052.4</v>
      </c>
      <c r="U319" s="17">
        <v>0</v>
      </c>
      <c r="V319" s="17">
        <v>0</v>
      </c>
      <c r="W319" s="17">
        <v>0</v>
      </c>
      <c r="X319" s="17">
        <v>0</v>
      </c>
      <c r="Y319" s="17">
        <v>3052.4</v>
      </c>
      <c r="Z319" s="17">
        <v>0</v>
      </c>
      <c r="AA319" s="13" t="s">
        <v>553</v>
      </c>
      <c r="AB319" s="13" t="s">
        <v>44</v>
      </c>
      <c r="AC319" s="13" t="s">
        <v>45</v>
      </c>
      <c r="AD319" s="13" t="s">
        <v>46</v>
      </c>
      <c r="AE319" s="17">
        <v>3052.4</v>
      </c>
      <c r="AF319" s="17">
        <v>706.34</v>
      </c>
      <c r="AG319" s="47" t="s">
        <v>884</v>
      </c>
      <c r="AH319" s="20" t="s">
        <v>806</v>
      </c>
      <c r="AI319" s="19" t="b">
        <v>1</v>
      </c>
      <c r="AJ319" s="18" t="s">
        <v>874</v>
      </c>
      <c r="AK319" s="49" t="s">
        <v>815</v>
      </c>
    </row>
    <row r="320" spans="1:37" x14ac:dyDescent="0.35">
      <c r="A320" s="12" t="s">
        <v>33</v>
      </c>
      <c r="B320" s="12">
        <v>100113966</v>
      </c>
      <c r="C320" s="13" t="s">
        <v>545</v>
      </c>
      <c r="D320" s="13" t="s">
        <v>546</v>
      </c>
      <c r="E320" s="12">
        <v>9700023861</v>
      </c>
      <c r="F320" s="13" t="s">
        <v>554</v>
      </c>
      <c r="G320" s="12" t="s">
        <v>37</v>
      </c>
      <c r="H320" s="14">
        <v>40596.32</v>
      </c>
      <c r="I320" s="15">
        <v>46129</v>
      </c>
      <c r="J320" s="12" t="str">
        <f t="shared" ca="1" si="5"/>
        <v>0-30</v>
      </c>
      <c r="K320" s="14">
        <v>40596.32</v>
      </c>
      <c r="L320" s="16">
        <v>46099</v>
      </c>
      <c r="M320" s="13" t="s">
        <v>38</v>
      </c>
      <c r="N320" s="13" t="s">
        <v>39</v>
      </c>
      <c r="O320" s="13" t="s">
        <v>40</v>
      </c>
      <c r="P320" s="13"/>
      <c r="Q320" s="13" t="s">
        <v>41</v>
      </c>
      <c r="R320" s="13" t="s">
        <v>42</v>
      </c>
      <c r="S320" s="17">
        <v>149089.99</v>
      </c>
      <c r="T320" s="17">
        <v>0</v>
      </c>
      <c r="U320" s="17">
        <v>0</v>
      </c>
      <c r="V320" s="17">
        <v>0</v>
      </c>
      <c r="W320" s="17">
        <v>0</v>
      </c>
      <c r="X320" s="17">
        <v>0</v>
      </c>
      <c r="Y320" s="17">
        <v>0</v>
      </c>
      <c r="Z320" s="17">
        <v>0</v>
      </c>
      <c r="AA320" s="13" t="s">
        <v>551</v>
      </c>
      <c r="AB320" s="13" t="s">
        <v>44</v>
      </c>
      <c r="AC320" s="13" t="s">
        <v>45</v>
      </c>
      <c r="AD320" s="13" t="s">
        <v>46</v>
      </c>
      <c r="AE320" s="17">
        <v>149089.99</v>
      </c>
      <c r="AF320" s="17">
        <v>35206.239999999998</v>
      </c>
      <c r="AG320" s="47" t="s">
        <v>897</v>
      </c>
      <c r="AH320" s="20" t="e">
        <v>#N/A</v>
      </c>
      <c r="AI320" s="19" t="b">
        <v>0</v>
      </c>
      <c r="AJ320" s="18" t="s">
        <v>865</v>
      </c>
      <c r="AK320" s="49" t="s">
        <v>1028</v>
      </c>
    </row>
    <row r="321" spans="1:37" ht="16.5" x14ac:dyDescent="0.4">
      <c r="A321" s="3"/>
      <c r="B321" s="3"/>
      <c r="C321" s="4"/>
      <c r="D321" s="4" t="s">
        <v>546</v>
      </c>
      <c r="E321" s="3"/>
      <c r="F321" s="4"/>
      <c r="G321" s="4"/>
      <c r="H321" s="43">
        <f>SUM(H316:H320)</f>
        <v>52129.279999999999</v>
      </c>
      <c r="I321" s="5"/>
      <c r="J321" s="45" t="str">
        <f t="shared" ca="1" si="5"/>
        <v/>
      </c>
      <c r="K321" s="43">
        <f>SUM(K316:K320)</f>
        <v>52129.279999999999</v>
      </c>
      <c r="L321" s="9"/>
      <c r="M321" s="4"/>
      <c r="N321" s="4"/>
      <c r="O321" s="4"/>
      <c r="P321" s="4"/>
      <c r="Q321" s="4"/>
      <c r="R321" s="4" t="s">
        <v>42</v>
      </c>
      <c r="S321" s="6">
        <v>149089.99</v>
      </c>
      <c r="T321" s="6">
        <v>39031.370000000003</v>
      </c>
      <c r="U321" s="6">
        <v>3323.42</v>
      </c>
      <c r="V321" s="6">
        <v>0</v>
      </c>
      <c r="W321" s="6">
        <v>0</v>
      </c>
      <c r="X321" s="7"/>
      <c r="Y321" s="7"/>
      <c r="Z321" s="6">
        <v>0</v>
      </c>
      <c r="AA321" s="4"/>
      <c r="AB321" s="4"/>
      <c r="AC321" s="4"/>
      <c r="AD321" s="4"/>
      <c r="AE321" s="6">
        <v>191444.78</v>
      </c>
      <c r="AF321" s="6">
        <v>45015.67</v>
      </c>
      <c r="AG321" s="48"/>
      <c r="AH321" s="44" cm="1">
        <f t="array" ref="AH321">IFERROR(SUMPRODUCT(AF316:AF320*--(((AI316:AI320=TRUE)+(AI316:AI320=1))&gt;0)),0)</f>
        <v>1483.72</v>
      </c>
      <c r="AI321" s="54">
        <f>SUMIF(AI316:AI320,TRUE,H316:H320)/H321</f>
        <v>3.3303740239650347E-2</v>
      </c>
      <c r="AJ321" s="6"/>
      <c r="AK321" s="50"/>
    </row>
    <row r="322" spans="1:37" x14ac:dyDescent="0.35">
      <c r="A322" s="12" t="s">
        <v>33</v>
      </c>
      <c r="B322" s="12">
        <v>100108811</v>
      </c>
      <c r="C322" s="13" t="s">
        <v>555</v>
      </c>
      <c r="D322" s="13" t="s">
        <v>556</v>
      </c>
      <c r="E322" s="12">
        <v>9700003183</v>
      </c>
      <c r="F322" s="13" t="s">
        <v>557</v>
      </c>
      <c r="G322" s="12" t="s">
        <v>37</v>
      </c>
      <c r="H322" s="14">
        <v>17776.830000000002</v>
      </c>
      <c r="I322" s="15">
        <v>46068</v>
      </c>
      <c r="J322" s="12" t="str">
        <f t="shared" ca="1" si="5"/>
        <v>61-90</v>
      </c>
      <c r="K322" s="14">
        <v>17776.830000000002</v>
      </c>
      <c r="L322" s="16">
        <v>46038</v>
      </c>
      <c r="M322" s="13" t="s">
        <v>38</v>
      </c>
      <c r="N322" s="13" t="s">
        <v>39</v>
      </c>
      <c r="O322" s="13" t="s">
        <v>40</v>
      </c>
      <c r="P322" s="13"/>
      <c r="Q322" s="13" t="s">
        <v>41</v>
      </c>
      <c r="R322" s="13" t="s">
        <v>42</v>
      </c>
      <c r="S322" s="17">
        <v>0</v>
      </c>
      <c r="T322" s="17">
        <v>0</v>
      </c>
      <c r="U322" s="17">
        <v>65285.41</v>
      </c>
      <c r="V322" s="17">
        <v>0</v>
      </c>
      <c r="W322" s="17">
        <v>0</v>
      </c>
      <c r="X322" s="17">
        <v>0</v>
      </c>
      <c r="Y322" s="17">
        <v>65285.41</v>
      </c>
      <c r="Z322" s="17">
        <v>0</v>
      </c>
      <c r="AA322" s="13" t="s">
        <v>558</v>
      </c>
      <c r="AB322" s="13" t="s">
        <v>44</v>
      </c>
      <c r="AC322" s="13" t="s">
        <v>45</v>
      </c>
      <c r="AD322" s="13" t="s">
        <v>46</v>
      </c>
      <c r="AE322" s="17">
        <v>65285.41</v>
      </c>
      <c r="AF322" s="17">
        <v>15253.84</v>
      </c>
      <c r="AG322" s="47" t="e">
        <v>#N/A</v>
      </c>
      <c r="AH322" s="20" t="s">
        <v>813</v>
      </c>
      <c r="AI322" s="19" t="b">
        <v>0</v>
      </c>
      <c r="AJ322" s="18" t="s">
        <v>865</v>
      </c>
      <c r="AK322" s="49" t="s">
        <v>1019</v>
      </c>
    </row>
    <row r="323" spans="1:37" x14ac:dyDescent="0.35">
      <c r="A323" s="12" t="s">
        <v>33</v>
      </c>
      <c r="B323" s="12">
        <v>100108811</v>
      </c>
      <c r="C323" s="13" t="s">
        <v>555</v>
      </c>
      <c r="D323" s="13" t="s">
        <v>556</v>
      </c>
      <c r="E323" s="12">
        <v>9700017786</v>
      </c>
      <c r="F323" s="13" t="s">
        <v>559</v>
      </c>
      <c r="G323" s="12" t="s">
        <v>37</v>
      </c>
      <c r="H323" s="14">
        <v>17125.57</v>
      </c>
      <c r="I323" s="15">
        <v>46109</v>
      </c>
      <c r="J323" s="12" t="str">
        <f t="shared" ca="1" si="5"/>
        <v>31-60</v>
      </c>
      <c r="K323" s="14">
        <v>17125.57</v>
      </c>
      <c r="L323" s="16">
        <v>46079</v>
      </c>
      <c r="M323" s="13" t="s">
        <v>38</v>
      </c>
      <c r="N323" s="13" t="s">
        <v>39</v>
      </c>
      <c r="O323" s="13" t="s">
        <v>40</v>
      </c>
      <c r="P323" s="13"/>
      <c r="Q323" s="13" t="s">
        <v>41</v>
      </c>
      <c r="R323" s="13" t="s">
        <v>42</v>
      </c>
      <c r="S323" s="17">
        <v>0</v>
      </c>
      <c r="T323" s="17">
        <v>62893.66</v>
      </c>
      <c r="U323" s="17">
        <v>0</v>
      </c>
      <c r="V323" s="17">
        <v>0</v>
      </c>
      <c r="W323" s="17">
        <v>0</v>
      </c>
      <c r="X323" s="17">
        <v>0</v>
      </c>
      <c r="Y323" s="17">
        <v>62893.66</v>
      </c>
      <c r="Z323" s="17">
        <v>0</v>
      </c>
      <c r="AA323" s="13" t="s">
        <v>560</v>
      </c>
      <c r="AB323" s="13" t="s">
        <v>44</v>
      </c>
      <c r="AC323" s="13" t="s">
        <v>45</v>
      </c>
      <c r="AD323" s="13" t="s">
        <v>46</v>
      </c>
      <c r="AE323" s="17">
        <v>62893.66</v>
      </c>
      <c r="AF323" s="17">
        <v>14553.9</v>
      </c>
      <c r="AG323" s="47" t="s">
        <v>898</v>
      </c>
      <c r="AH323" s="20" t="s">
        <v>788</v>
      </c>
      <c r="AI323" s="19" t="b">
        <v>1</v>
      </c>
      <c r="AJ323" s="18" t="s">
        <v>911</v>
      </c>
      <c r="AK323" s="49" t="s">
        <v>945</v>
      </c>
    </row>
    <row r="324" spans="1:37" x14ac:dyDescent="0.35">
      <c r="A324" s="12" t="s">
        <v>33</v>
      </c>
      <c r="B324" s="12">
        <v>100108811</v>
      </c>
      <c r="C324" s="13" t="s">
        <v>555</v>
      </c>
      <c r="D324" s="13" t="s">
        <v>556</v>
      </c>
      <c r="E324" s="12">
        <v>9700018278</v>
      </c>
      <c r="F324" s="13" t="s">
        <v>561</v>
      </c>
      <c r="G324" s="12" t="s">
        <v>37</v>
      </c>
      <c r="H324" s="14">
        <v>8174.69</v>
      </c>
      <c r="I324" s="15">
        <v>46108</v>
      </c>
      <c r="J324" s="12" t="str">
        <f t="shared" ca="1" si="5"/>
        <v>31-60</v>
      </c>
      <c r="K324" s="14">
        <v>8174.69</v>
      </c>
      <c r="L324" s="16">
        <v>46078</v>
      </c>
      <c r="M324" s="13" t="s">
        <v>38</v>
      </c>
      <c r="N324" s="13" t="s">
        <v>39</v>
      </c>
      <c r="O324" s="13" t="s">
        <v>40</v>
      </c>
      <c r="P324" s="13"/>
      <c r="Q324" s="13" t="s">
        <v>41</v>
      </c>
      <c r="R324" s="13" t="s">
        <v>42</v>
      </c>
      <c r="S324" s="17">
        <v>0</v>
      </c>
      <c r="T324" s="17">
        <v>30021.55</v>
      </c>
      <c r="U324" s="17">
        <v>0</v>
      </c>
      <c r="V324" s="17">
        <v>0</v>
      </c>
      <c r="W324" s="17">
        <v>0</v>
      </c>
      <c r="X324" s="17">
        <v>0</v>
      </c>
      <c r="Y324" s="17">
        <v>30021.55</v>
      </c>
      <c r="Z324" s="17">
        <v>0</v>
      </c>
      <c r="AA324" s="13" t="s">
        <v>558</v>
      </c>
      <c r="AB324" s="13" t="s">
        <v>44</v>
      </c>
      <c r="AC324" s="13" t="s">
        <v>45</v>
      </c>
      <c r="AD324" s="13" t="s">
        <v>46</v>
      </c>
      <c r="AE324" s="17">
        <v>30021.55</v>
      </c>
      <c r="AF324" s="17">
        <v>6937.11</v>
      </c>
      <c r="AG324" s="47" t="s">
        <v>899</v>
      </c>
      <c r="AH324" s="20" t="s">
        <v>788</v>
      </c>
      <c r="AI324" s="19" t="b">
        <v>1</v>
      </c>
      <c r="AJ324" s="18" t="s">
        <v>911</v>
      </c>
      <c r="AK324" s="49" t="s">
        <v>945</v>
      </c>
    </row>
    <row r="325" spans="1:37" x14ac:dyDescent="0.35">
      <c r="A325" s="12" t="s">
        <v>33</v>
      </c>
      <c r="B325" s="12">
        <v>100108811</v>
      </c>
      <c r="C325" s="13" t="s">
        <v>555</v>
      </c>
      <c r="D325" s="13" t="s">
        <v>556</v>
      </c>
      <c r="E325" s="12">
        <v>9700018279</v>
      </c>
      <c r="F325" s="13" t="s">
        <v>562</v>
      </c>
      <c r="G325" s="12" t="s">
        <v>37</v>
      </c>
      <c r="H325" s="14">
        <v>2689.43</v>
      </c>
      <c r="I325" s="15">
        <v>46108</v>
      </c>
      <c r="J325" s="12" t="str">
        <f t="shared" ca="1" si="5"/>
        <v>31-60</v>
      </c>
      <c r="K325" s="14">
        <v>2689.43</v>
      </c>
      <c r="L325" s="16">
        <v>46078</v>
      </c>
      <c r="M325" s="13" t="s">
        <v>38</v>
      </c>
      <c r="N325" s="13" t="s">
        <v>39</v>
      </c>
      <c r="O325" s="13" t="s">
        <v>40</v>
      </c>
      <c r="P325" s="13"/>
      <c r="Q325" s="13" t="s">
        <v>41</v>
      </c>
      <c r="R325" s="13" t="s">
        <v>42</v>
      </c>
      <c r="S325" s="17">
        <v>0</v>
      </c>
      <c r="T325" s="17">
        <v>9876.93</v>
      </c>
      <c r="U325" s="17">
        <v>0</v>
      </c>
      <c r="V325" s="17">
        <v>0</v>
      </c>
      <c r="W325" s="17">
        <v>0</v>
      </c>
      <c r="X325" s="17">
        <v>0</v>
      </c>
      <c r="Y325" s="17">
        <v>9876.93</v>
      </c>
      <c r="Z325" s="17">
        <v>0</v>
      </c>
      <c r="AA325" s="13" t="s">
        <v>558</v>
      </c>
      <c r="AB325" s="13" t="s">
        <v>44</v>
      </c>
      <c r="AC325" s="13" t="s">
        <v>45</v>
      </c>
      <c r="AD325" s="13" t="s">
        <v>46</v>
      </c>
      <c r="AE325" s="17">
        <v>9876.93</v>
      </c>
      <c r="AF325" s="17">
        <v>2282.27</v>
      </c>
      <c r="AG325" s="47" t="s">
        <v>899</v>
      </c>
      <c r="AH325" s="20" t="s">
        <v>788</v>
      </c>
      <c r="AI325" s="19" t="b">
        <v>1</v>
      </c>
      <c r="AJ325" s="18" t="s">
        <v>911</v>
      </c>
      <c r="AK325" s="49" t="s">
        <v>945</v>
      </c>
    </row>
    <row r="326" spans="1:37" x14ac:dyDescent="0.35">
      <c r="A326" s="12" t="s">
        <v>33</v>
      </c>
      <c r="B326" s="12">
        <v>100108811</v>
      </c>
      <c r="C326" s="13" t="s">
        <v>555</v>
      </c>
      <c r="D326" s="13" t="s">
        <v>556</v>
      </c>
      <c r="E326" s="12">
        <v>9700023217</v>
      </c>
      <c r="F326" s="13" t="s">
        <v>563</v>
      </c>
      <c r="G326" s="12" t="s">
        <v>37</v>
      </c>
      <c r="H326" s="14">
        <v>1239.78</v>
      </c>
      <c r="I326" s="15">
        <v>46130</v>
      </c>
      <c r="J326" s="12" t="str">
        <f t="shared" ca="1" si="5"/>
        <v>0-30</v>
      </c>
      <c r="K326" s="14">
        <v>1239.78</v>
      </c>
      <c r="L326" s="16">
        <v>46100</v>
      </c>
      <c r="M326" s="13" t="s">
        <v>38</v>
      </c>
      <c r="N326" s="13" t="s">
        <v>39</v>
      </c>
      <c r="O326" s="13" t="s">
        <v>40</v>
      </c>
      <c r="P326" s="13"/>
      <c r="Q326" s="13" t="s">
        <v>41</v>
      </c>
      <c r="R326" s="13" t="s">
        <v>42</v>
      </c>
      <c r="S326" s="17">
        <v>4553.09</v>
      </c>
      <c r="T326" s="17">
        <v>0</v>
      </c>
      <c r="U326" s="17">
        <v>0</v>
      </c>
      <c r="V326" s="17">
        <v>0</v>
      </c>
      <c r="W326" s="17">
        <v>0</v>
      </c>
      <c r="X326" s="17">
        <v>0</v>
      </c>
      <c r="Y326" s="17">
        <v>0</v>
      </c>
      <c r="Z326" s="17">
        <v>0</v>
      </c>
      <c r="AA326" s="13" t="s">
        <v>560</v>
      </c>
      <c r="AB326" s="13" t="s">
        <v>44</v>
      </c>
      <c r="AC326" s="13" t="s">
        <v>45</v>
      </c>
      <c r="AD326" s="13" t="s">
        <v>46</v>
      </c>
      <c r="AE326" s="17">
        <v>4553.09</v>
      </c>
      <c r="AF326" s="17">
        <v>1080.1400000000001</v>
      </c>
      <c r="AG326" s="47" t="s">
        <v>900</v>
      </c>
      <c r="AH326" s="20" t="e">
        <v>#N/A</v>
      </c>
      <c r="AI326" s="19" t="b">
        <v>0</v>
      </c>
      <c r="AJ326" s="18" t="s">
        <v>788</v>
      </c>
      <c r="AK326" s="49" t="s">
        <v>788</v>
      </c>
    </row>
    <row r="327" spans="1:37" x14ac:dyDescent="0.35">
      <c r="A327" s="12" t="s">
        <v>33</v>
      </c>
      <c r="B327" s="12">
        <v>100108811</v>
      </c>
      <c r="C327" s="13" t="s">
        <v>555</v>
      </c>
      <c r="D327" s="13" t="s">
        <v>556</v>
      </c>
      <c r="E327" s="12">
        <v>9700023218</v>
      </c>
      <c r="F327" s="13" t="s">
        <v>564</v>
      </c>
      <c r="G327" s="12" t="s">
        <v>37</v>
      </c>
      <c r="H327" s="14">
        <v>11746.9</v>
      </c>
      <c r="I327" s="15">
        <v>46130</v>
      </c>
      <c r="J327" s="12" t="str">
        <f t="shared" ca="1" si="5"/>
        <v>0-30</v>
      </c>
      <c r="K327" s="14">
        <v>11746.9</v>
      </c>
      <c r="L327" s="16">
        <v>46100</v>
      </c>
      <c r="M327" s="13" t="s">
        <v>38</v>
      </c>
      <c r="N327" s="13" t="s">
        <v>39</v>
      </c>
      <c r="O327" s="13" t="s">
        <v>40</v>
      </c>
      <c r="P327" s="13"/>
      <c r="Q327" s="13" t="s">
        <v>41</v>
      </c>
      <c r="R327" s="13" t="s">
        <v>42</v>
      </c>
      <c r="S327" s="17">
        <v>43140.49</v>
      </c>
      <c r="T327" s="17">
        <v>0</v>
      </c>
      <c r="U327" s="17">
        <v>0</v>
      </c>
      <c r="V327" s="17">
        <v>0</v>
      </c>
      <c r="W327" s="17">
        <v>0</v>
      </c>
      <c r="X327" s="17">
        <v>0</v>
      </c>
      <c r="Y327" s="17">
        <v>0</v>
      </c>
      <c r="Z327" s="17">
        <v>0</v>
      </c>
      <c r="AA327" s="13" t="s">
        <v>560</v>
      </c>
      <c r="AB327" s="13" t="s">
        <v>44</v>
      </c>
      <c r="AC327" s="13" t="s">
        <v>45</v>
      </c>
      <c r="AD327" s="13" t="s">
        <v>46</v>
      </c>
      <c r="AE327" s="17">
        <v>43140.49</v>
      </c>
      <c r="AF327" s="17">
        <v>10234.27</v>
      </c>
      <c r="AG327" s="47" t="s">
        <v>900</v>
      </c>
      <c r="AH327" s="20" t="e">
        <v>#N/A</v>
      </c>
      <c r="AI327" s="19" t="b">
        <v>0</v>
      </c>
      <c r="AJ327" s="18" t="s">
        <v>788</v>
      </c>
      <c r="AK327" s="49" t="s">
        <v>788</v>
      </c>
    </row>
    <row r="328" spans="1:37" x14ac:dyDescent="0.35">
      <c r="A328" s="12" t="s">
        <v>33</v>
      </c>
      <c r="B328" s="12">
        <v>100108811</v>
      </c>
      <c r="C328" s="13" t="s">
        <v>555</v>
      </c>
      <c r="D328" s="13" t="s">
        <v>556</v>
      </c>
      <c r="E328" s="12">
        <v>9700023367</v>
      </c>
      <c r="F328" s="13" t="s">
        <v>565</v>
      </c>
      <c r="G328" s="12" t="s">
        <v>37</v>
      </c>
      <c r="H328" s="14">
        <v>3567.17</v>
      </c>
      <c r="I328" s="15">
        <v>46129</v>
      </c>
      <c r="J328" s="12" t="str">
        <f t="shared" ca="1" si="5"/>
        <v>0-30</v>
      </c>
      <c r="K328" s="14">
        <v>3567.17</v>
      </c>
      <c r="L328" s="16">
        <v>46099</v>
      </c>
      <c r="M328" s="13" t="s">
        <v>38</v>
      </c>
      <c r="N328" s="13" t="s">
        <v>39</v>
      </c>
      <c r="O328" s="13" t="s">
        <v>40</v>
      </c>
      <c r="P328" s="13"/>
      <c r="Q328" s="13" t="s">
        <v>41</v>
      </c>
      <c r="R328" s="13" t="s">
        <v>42</v>
      </c>
      <c r="S328" s="17">
        <v>13100.43</v>
      </c>
      <c r="T328" s="17">
        <v>0</v>
      </c>
      <c r="U328" s="17">
        <v>0</v>
      </c>
      <c r="V328" s="17">
        <v>0</v>
      </c>
      <c r="W328" s="17">
        <v>0</v>
      </c>
      <c r="X328" s="17">
        <v>0</v>
      </c>
      <c r="Y328" s="17">
        <v>0</v>
      </c>
      <c r="Z328" s="17">
        <v>0</v>
      </c>
      <c r="AA328" s="13" t="s">
        <v>558</v>
      </c>
      <c r="AB328" s="13" t="s">
        <v>44</v>
      </c>
      <c r="AC328" s="13" t="s">
        <v>45</v>
      </c>
      <c r="AD328" s="13" t="s">
        <v>46</v>
      </c>
      <c r="AE328" s="17">
        <v>13100.43</v>
      </c>
      <c r="AF328" s="17">
        <v>3107.83</v>
      </c>
      <c r="AG328" s="47" t="s">
        <v>899</v>
      </c>
      <c r="AH328" s="20" t="e">
        <v>#N/A</v>
      </c>
      <c r="AI328" s="19" t="b">
        <v>0</v>
      </c>
      <c r="AJ328" s="18" t="s">
        <v>788</v>
      </c>
      <c r="AK328" s="49" t="s">
        <v>788</v>
      </c>
    </row>
    <row r="329" spans="1:37" x14ac:dyDescent="0.35">
      <c r="A329" s="12" t="s">
        <v>33</v>
      </c>
      <c r="B329" s="12">
        <v>100108811</v>
      </c>
      <c r="C329" s="13" t="s">
        <v>555</v>
      </c>
      <c r="D329" s="13" t="s">
        <v>556</v>
      </c>
      <c r="E329" s="12">
        <v>9700023368</v>
      </c>
      <c r="F329" s="13" t="s">
        <v>566</v>
      </c>
      <c r="G329" s="12" t="s">
        <v>37</v>
      </c>
      <c r="H329" s="14">
        <v>3819.78</v>
      </c>
      <c r="I329" s="15">
        <v>46129</v>
      </c>
      <c r="J329" s="12" t="str">
        <f t="shared" ca="1" si="5"/>
        <v>0-30</v>
      </c>
      <c r="K329" s="14">
        <v>3819.78</v>
      </c>
      <c r="L329" s="16">
        <v>46099</v>
      </c>
      <c r="M329" s="13" t="s">
        <v>38</v>
      </c>
      <c r="N329" s="13" t="s">
        <v>39</v>
      </c>
      <c r="O329" s="13" t="s">
        <v>40</v>
      </c>
      <c r="P329" s="13"/>
      <c r="Q329" s="13" t="s">
        <v>41</v>
      </c>
      <c r="R329" s="13" t="s">
        <v>42</v>
      </c>
      <c r="S329" s="17">
        <v>14028.14</v>
      </c>
      <c r="T329" s="17">
        <v>0</v>
      </c>
      <c r="U329" s="17">
        <v>0</v>
      </c>
      <c r="V329" s="17">
        <v>0</v>
      </c>
      <c r="W329" s="17">
        <v>0</v>
      </c>
      <c r="X329" s="17">
        <v>0</v>
      </c>
      <c r="Y329" s="17">
        <v>0</v>
      </c>
      <c r="Z329" s="17">
        <v>0</v>
      </c>
      <c r="AA329" s="13" t="s">
        <v>558</v>
      </c>
      <c r="AB329" s="13" t="s">
        <v>44</v>
      </c>
      <c r="AC329" s="13" t="s">
        <v>45</v>
      </c>
      <c r="AD329" s="13" t="s">
        <v>46</v>
      </c>
      <c r="AE329" s="17">
        <v>14028.14</v>
      </c>
      <c r="AF329" s="17">
        <v>3327.91</v>
      </c>
      <c r="AG329" s="47" t="s">
        <v>899</v>
      </c>
      <c r="AH329" s="20" t="e">
        <v>#N/A</v>
      </c>
      <c r="AI329" s="19" t="b">
        <v>0</v>
      </c>
      <c r="AJ329" s="18" t="s">
        <v>788</v>
      </c>
      <c r="AK329" s="49" t="s">
        <v>788</v>
      </c>
    </row>
    <row r="330" spans="1:37" x14ac:dyDescent="0.35">
      <c r="A330" s="12" t="s">
        <v>33</v>
      </c>
      <c r="B330" s="12">
        <v>100108811</v>
      </c>
      <c r="C330" s="13" t="s">
        <v>555</v>
      </c>
      <c r="D330" s="13" t="s">
        <v>556</v>
      </c>
      <c r="E330" s="12">
        <v>9700023392</v>
      </c>
      <c r="F330" s="13" t="s">
        <v>567</v>
      </c>
      <c r="G330" s="12" t="s">
        <v>37</v>
      </c>
      <c r="H330" s="14">
        <v>13533.02</v>
      </c>
      <c r="I330" s="15">
        <v>46129</v>
      </c>
      <c r="J330" s="12" t="str">
        <f t="shared" ca="1" si="5"/>
        <v>0-30</v>
      </c>
      <c r="K330" s="14">
        <v>13533.02</v>
      </c>
      <c r="L330" s="16">
        <v>46099</v>
      </c>
      <c r="M330" s="13" t="s">
        <v>38</v>
      </c>
      <c r="N330" s="13" t="s">
        <v>39</v>
      </c>
      <c r="O330" s="13" t="s">
        <v>40</v>
      </c>
      <c r="P330" s="13"/>
      <c r="Q330" s="13" t="s">
        <v>41</v>
      </c>
      <c r="R330" s="13" t="s">
        <v>42</v>
      </c>
      <c r="S330" s="17">
        <v>49700.02</v>
      </c>
      <c r="T330" s="17">
        <v>0</v>
      </c>
      <c r="U330" s="17">
        <v>0</v>
      </c>
      <c r="V330" s="17">
        <v>0</v>
      </c>
      <c r="W330" s="17">
        <v>0</v>
      </c>
      <c r="X330" s="17">
        <v>0</v>
      </c>
      <c r="Y330" s="17">
        <v>0</v>
      </c>
      <c r="Z330" s="17">
        <v>0</v>
      </c>
      <c r="AA330" s="13" t="s">
        <v>558</v>
      </c>
      <c r="AB330" s="13" t="s">
        <v>44</v>
      </c>
      <c r="AC330" s="13" t="s">
        <v>45</v>
      </c>
      <c r="AD330" s="13" t="s">
        <v>46</v>
      </c>
      <c r="AE330" s="17">
        <v>49700.02</v>
      </c>
      <c r="AF330" s="17">
        <v>11790.4</v>
      </c>
      <c r="AG330" s="47" t="s">
        <v>899</v>
      </c>
      <c r="AH330" s="20" t="e">
        <v>#N/A</v>
      </c>
      <c r="AI330" s="19" t="b">
        <v>0</v>
      </c>
      <c r="AJ330" s="18" t="s">
        <v>788</v>
      </c>
      <c r="AK330" s="49" t="s">
        <v>788</v>
      </c>
    </row>
    <row r="331" spans="1:37" x14ac:dyDescent="0.35">
      <c r="A331" s="12" t="s">
        <v>33</v>
      </c>
      <c r="B331" s="12">
        <v>100108811</v>
      </c>
      <c r="C331" s="13" t="s">
        <v>555</v>
      </c>
      <c r="D331" s="13" t="s">
        <v>556</v>
      </c>
      <c r="E331" s="12">
        <v>9700023393</v>
      </c>
      <c r="F331" s="13" t="s">
        <v>568</v>
      </c>
      <c r="G331" s="12" t="s">
        <v>37</v>
      </c>
      <c r="H331" s="14">
        <v>6403.85</v>
      </c>
      <c r="I331" s="15">
        <v>46129</v>
      </c>
      <c r="J331" s="12" t="str">
        <f t="shared" ca="1" si="5"/>
        <v>0-30</v>
      </c>
      <c r="K331" s="14">
        <v>6403.85</v>
      </c>
      <c r="L331" s="16">
        <v>46099</v>
      </c>
      <c r="M331" s="13" t="s">
        <v>38</v>
      </c>
      <c r="N331" s="13" t="s">
        <v>39</v>
      </c>
      <c r="O331" s="13" t="s">
        <v>40</v>
      </c>
      <c r="P331" s="13"/>
      <c r="Q331" s="13" t="s">
        <v>41</v>
      </c>
      <c r="R331" s="13" t="s">
        <v>42</v>
      </c>
      <c r="S331" s="17">
        <v>23518.14</v>
      </c>
      <c r="T331" s="17">
        <v>0</v>
      </c>
      <c r="U331" s="17">
        <v>0</v>
      </c>
      <c r="V331" s="17">
        <v>0</v>
      </c>
      <c r="W331" s="17">
        <v>0</v>
      </c>
      <c r="X331" s="17">
        <v>0</v>
      </c>
      <c r="Y331" s="17">
        <v>0</v>
      </c>
      <c r="Z331" s="17">
        <v>0</v>
      </c>
      <c r="AA331" s="13" t="s">
        <v>558</v>
      </c>
      <c r="AB331" s="13" t="s">
        <v>44</v>
      </c>
      <c r="AC331" s="13" t="s">
        <v>45</v>
      </c>
      <c r="AD331" s="13" t="s">
        <v>46</v>
      </c>
      <c r="AE331" s="17">
        <v>23518.14</v>
      </c>
      <c r="AF331" s="17">
        <v>5579.24</v>
      </c>
      <c r="AG331" s="47" t="s">
        <v>899</v>
      </c>
      <c r="AH331" s="20" t="e">
        <v>#N/A</v>
      </c>
      <c r="AI331" s="19" t="b">
        <v>0</v>
      </c>
      <c r="AJ331" s="18" t="s">
        <v>788</v>
      </c>
      <c r="AK331" s="49" t="s">
        <v>788</v>
      </c>
    </row>
    <row r="332" spans="1:37" x14ac:dyDescent="0.35">
      <c r="A332" s="12" t="s">
        <v>33</v>
      </c>
      <c r="B332" s="12">
        <v>100108811</v>
      </c>
      <c r="C332" s="13" t="s">
        <v>555</v>
      </c>
      <c r="D332" s="13" t="s">
        <v>556</v>
      </c>
      <c r="E332" s="12">
        <v>9700024344</v>
      </c>
      <c r="F332" s="13" t="s">
        <v>569</v>
      </c>
      <c r="G332" s="12" t="s">
        <v>37</v>
      </c>
      <c r="H332" s="14">
        <v>1377.86</v>
      </c>
      <c r="I332" s="15">
        <v>46134</v>
      </c>
      <c r="J332" s="12" t="str">
        <f t="shared" ca="1" si="5"/>
        <v>0-30</v>
      </c>
      <c r="K332" s="14">
        <v>1377.86</v>
      </c>
      <c r="L332" s="16">
        <v>46104</v>
      </c>
      <c r="M332" s="13" t="s">
        <v>38</v>
      </c>
      <c r="N332" s="13" t="s">
        <v>39</v>
      </c>
      <c r="O332" s="13" t="s">
        <v>40</v>
      </c>
      <c r="P332" s="13"/>
      <c r="Q332" s="13" t="s">
        <v>41</v>
      </c>
      <c r="R332" s="13" t="s">
        <v>42</v>
      </c>
      <c r="S332" s="17">
        <v>5060.1899999999996</v>
      </c>
      <c r="T332" s="17">
        <v>0</v>
      </c>
      <c r="U332" s="17">
        <v>0</v>
      </c>
      <c r="V332" s="17">
        <v>0</v>
      </c>
      <c r="W332" s="17">
        <v>0</v>
      </c>
      <c r="X332" s="17">
        <v>0</v>
      </c>
      <c r="Y332" s="17">
        <v>0</v>
      </c>
      <c r="Z332" s="17">
        <v>0</v>
      </c>
      <c r="AA332" s="13" t="s">
        <v>560</v>
      </c>
      <c r="AB332" s="13" t="s">
        <v>44</v>
      </c>
      <c r="AC332" s="13" t="s">
        <v>45</v>
      </c>
      <c r="AD332" s="13" t="s">
        <v>46</v>
      </c>
      <c r="AE332" s="17">
        <v>5060.1899999999996</v>
      </c>
      <c r="AF332" s="17">
        <v>1192.44</v>
      </c>
      <c r="AG332" s="47" t="s">
        <v>898</v>
      </c>
      <c r="AH332" s="20" t="e">
        <v>#N/A</v>
      </c>
      <c r="AI332" s="19" t="b">
        <v>0</v>
      </c>
      <c r="AJ332" s="18" t="s">
        <v>788</v>
      </c>
      <c r="AK332" s="49" t="s">
        <v>788</v>
      </c>
    </row>
    <row r="333" spans="1:37" x14ac:dyDescent="0.35">
      <c r="A333" s="12" t="s">
        <v>33</v>
      </c>
      <c r="B333" s="12">
        <v>100108811</v>
      </c>
      <c r="C333" s="13" t="s">
        <v>555</v>
      </c>
      <c r="D333" s="13" t="s">
        <v>556</v>
      </c>
      <c r="E333" s="12">
        <v>9700024345</v>
      </c>
      <c r="F333" s="13" t="s">
        <v>570</v>
      </c>
      <c r="G333" s="12" t="s">
        <v>37</v>
      </c>
      <c r="H333" s="14">
        <v>30394.66</v>
      </c>
      <c r="I333" s="15">
        <v>46134</v>
      </c>
      <c r="J333" s="12" t="str">
        <f t="shared" ca="1" si="5"/>
        <v>0-30</v>
      </c>
      <c r="K333" s="14">
        <v>30394.66</v>
      </c>
      <c r="L333" s="16">
        <v>46104</v>
      </c>
      <c r="M333" s="13" t="s">
        <v>38</v>
      </c>
      <c r="N333" s="13" t="s">
        <v>39</v>
      </c>
      <c r="O333" s="13" t="s">
        <v>40</v>
      </c>
      <c r="P333" s="13"/>
      <c r="Q333" s="13" t="s">
        <v>41</v>
      </c>
      <c r="R333" s="13" t="s">
        <v>42</v>
      </c>
      <c r="S333" s="17">
        <v>111624.39</v>
      </c>
      <c r="T333" s="17">
        <v>0</v>
      </c>
      <c r="U333" s="17">
        <v>0</v>
      </c>
      <c r="V333" s="17">
        <v>0</v>
      </c>
      <c r="W333" s="17">
        <v>0</v>
      </c>
      <c r="X333" s="17">
        <v>0</v>
      </c>
      <c r="Y333" s="17">
        <v>0</v>
      </c>
      <c r="Z333" s="17">
        <v>0</v>
      </c>
      <c r="AA333" s="13" t="s">
        <v>560</v>
      </c>
      <c r="AB333" s="13" t="s">
        <v>44</v>
      </c>
      <c r="AC333" s="13" t="s">
        <v>45</v>
      </c>
      <c r="AD333" s="13" t="s">
        <v>46</v>
      </c>
      <c r="AE333" s="17">
        <v>111624.39</v>
      </c>
      <c r="AF333" s="17">
        <v>26304.34</v>
      </c>
      <c r="AG333" s="47" t="s">
        <v>900</v>
      </c>
      <c r="AH333" s="20" t="e">
        <v>#N/A</v>
      </c>
      <c r="AI333" s="19" t="b">
        <v>1</v>
      </c>
      <c r="AJ333" s="18" t="s">
        <v>911</v>
      </c>
      <c r="AK333" s="49" t="s">
        <v>945</v>
      </c>
    </row>
    <row r="334" spans="1:37" x14ac:dyDescent="0.35">
      <c r="A334" s="12" t="s">
        <v>33</v>
      </c>
      <c r="B334" s="12">
        <v>100108811</v>
      </c>
      <c r="C334" s="13" t="s">
        <v>555</v>
      </c>
      <c r="D334" s="13" t="s">
        <v>556</v>
      </c>
      <c r="E334" s="12">
        <v>9700024346</v>
      </c>
      <c r="F334" s="13" t="s">
        <v>571</v>
      </c>
      <c r="G334" s="12" t="s">
        <v>37</v>
      </c>
      <c r="H334" s="14">
        <v>13172.46</v>
      </c>
      <c r="I334" s="15">
        <v>46134</v>
      </c>
      <c r="J334" s="12" t="str">
        <f t="shared" ca="1" si="5"/>
        <v>0-30</v>
      </c>
      <c r="K334" s="14">
        <v>13172.46</v>
      </c>
      <c r="L334" s="16">
        <v>46104</v>
      </c>
      <c r="M334" s="13" t="s">
        <v>38</v>
      </c>
      <c r="N334" s="13" t="s">
        <v>39</v>
      </c>
      <c r="O334" s="13" t="s">
        <v>40</v>
      </c>
      <c r="P334" s="13"/>
      <c r="Q334" s="13" t="s">
        <v>41</v>
      </c>
      <c r="R334" s="13" t="s">
        <v>42</v>
      </c>
      <c r="S334" s="17">
        <v>48375.86</v>
      </c>
      <c r="T334" s="17">
        <v>0</v>
      </c>
      <c r="U334" s="17">
        <v>0</v>
      </c>
      <c r="V334" s="17">
        <v>0</v>
      </c>
      <c r="W334" s="17">
        <v>0</v>
      </c>
      <c r="X334" s="17">
        <v>0</v>
      </c>
      <c r="Y334" s="17">
        <v>0</v>
      </c>
      <c r="Z334" s="17">
        <v>0</v>
      </c>
      <c r="AA334" s="13" t="s">
        <v>560</v>
      </c>
      <c r="AB334" s="13" t="s">
        <v>44</v>
      </c>
      <c r="AC334" s="13" t="s">
        <v>45</v>
      </c>
      <c r="AD334" s="13" t="s">
        <v>46</v>
      </c>
      <c r="AE334" s="17">
        <v>48375.86</v>
      </c>
      <c r="AF334" s="17">
        <v>11399.79</v>
      </c>
      <c r="AG334" s="47" t="s">
        <v>900</v>
      </c>
      <c r="AH334" s="20" t="e">
        <v>#N/A</v>
      </c>
      <c r="AI334" s="19" t="b">
        <v>0</v>
      </c>
      <c r="AJ334" s="18" t="s">
        <v>788</v>
      </c>
      <c r="AK334" s="49" t="s">
        <v>788</v>
      </c>
    </row>
    <row r="335" spans="1:37" x14ac:dyDescent="0.35">
      <c r="A335" s="12" t="s">
        <v>33</v>
      </c>
      <c r="B335" s="12">
        <v>100108811</v>
      </c>
      <c r="C335" s="13" t="s">
        <v>555</v>
      </c>
      <c r="D335" s="13" t="s">
        <v>556</v>
      </c>
      <c r="E335" s="12">
        <v>9700024347</v>
      </c>
      <c r="F335" s="13" t="s">
        <v>572</v>
      </c>
      <c r="G335" s="12" t="s">
        <v>37</v>
      </c>
      <c r="H335" s="14">
        <v>2103.5500000000002</v>
      </c>
      <c r="I335" s="15">
        <v>46134</v>
      </c>
      <c r="J335" s="12" t="str">
        <f t="shared" ca="1" si="5"/>
        <v>0-30</v>
      </c>
      <c r="K335" s="14">
        <v>2103.5500000000002</v>
      </c>
      <c r="L335" s="16">
        <v>46104</v>
      </c>
      <c r="M335" s="13" t="s">
        <v>38</v>
      </c>
      <c r="N335" s="13" t="s">
        <v>39</v>
      </c>
      <c r="O335" s="13" t="s">
        <v>40</v>
      </c>
      <c r="P335" s="13"/>
      <c r="Q335" s="13" t="s">
        <v>41</v>
      </c>
      <c r="R335" s="13" t="s">
        <v>42</v>
      </c>
      <c r="S335" s="17">
        <v>7725.29</v>
      </c>
      <c r="T335" s="17">
        <v>0</v>
      </c>
      <c r="U335" s="17">
        <v>0</v>
      </c>
      <c r="V335" s="17">
        <v>0</v>
      </c>
      <c r="W335" s="17">
        <v>0</v>
      </c>
      <c r="X335" s="17">
        <v>0</v>
      </c>
      <c r="Y335" s="17">
        <v>0</v>
      </c>
      <c r="Z335" s="17">
        <v>0</v>
      </c>
      <c r="AA335" s="13" t="s">
        <v>560</v>
      </c>
      <c r="AB335" s="13" t="s">
        <v>44</v>
      </c>
      <c r="AC335" s="13" t="s">
        <v>45</v>
      </c>
      <c r="AD335" s="13" t="s">
        <v>46</v>
      </c>
      <c r="AE335" s="17">
        <v>7725.29</v>
      </c>
      <c r="AF335" s="17">
        <v>1820.47</v>
      </c>
      <c r="AG335" s="47" t="s">
        <v>900</v>
      </c>
      <c r="AH335" s="20" t="e">
        <v>#N/A</v>
      </c>
      <c r="AI335" s="19" t="b">
        <v>0</v>
      </c>
      <c r="AJ335" s="18" t="s">
        <v>788</v>
      </c>
      <c r="AK335" s="49" t="s">
        <v>788</v>
      </c>
    </row>
    <row r="336" spans="1:37" x14ac:dyDescent="0.35">
      <c r="A336" s="12" t="s">
        <v>33</v>
      </c>
      <c r="B336" s="12">
        <v>100108811</v>
      </c>
      <c r="C336" s="13" t="s">
        <v>555</v>
      </c>
      <c r="D336" s="13" t="s">
        <v>556</v>
      </c>
      <c r="E336" s="12">
        <v>9700025777</v>
      </c>
      <c r="F336" s="13" t="s">
        <v>573</v>
      </c>
      <c r="G336" s="12" t="s">
        <v>37</v>
      </c>
      <c r="H336" s="14">
        <v>293.8</v>
      </c>
      <c r="I336" s="15">
        <v>46136</v>
      </c>
      <c r="J336" s="12" t="str">
        <f t="shared" ca="1" si="5"/>
        <v>0-30</v>
      </c>
      <c r="K336" s="14">
        <v>293.8</v>
      </c>
      <c r="L336" s="16">
        <v>46106</v>
      </c>
      <c r="M336" s="13" t="s">
        <v>38</v>
      </c>
      <c r="N336" s="13" t="s">
        <v>39</v>
      </c>
      <c r="O336" s="13" t="s">
        <v>40</v>
      </c>
      <c r="P336" s="13"/>
      <c r="Q336" s="13" t="s">
        <v>41</v>
      </c>
      <c r="R336" s="13" t="s">
        <v>42</v>
      </c>
      <c r="S336" s="17">
        <v>1078.98</v>
      </c>
      <c r="T336" s="17">
        <v>0</v>
      </c>
      <c r="U336" s="17">
        <v>0</v>
      </c>
      <c r="V336" s="17">
        <v>0</v>
      </c>
      <c r="W336" s="17">
        <v>0</v>
      </c>
      <c r="X336" s="17">
        <v>0</v>
      </c>
      <c r="Y336" s="17">
        <v>0</v>
      </c>
      <c r="Z336" s="17">
        <v>0</v>
      </c>
      <c r="AA336" s="13" t="s">
        <v>574</v>
      </c>
      <c r="AB336" s="13" t="s">
        <v>44</v>
      </c>
      <c r="AC336" s="13" t="s">
        <v>45</v>
      </c>
      <c r="AD336" s="13" t="s">
        <v>46</v>
      </c>
      <c r="AE336" s="17">
        <v>1078.98</v>
      </c>
      <c r="AF336" s="17">
        <v>253.89</v>
      </c>
      <c r="AG336" s="47" t="s">
        <v>876</v>
      </c>
      <c r="AH336" s="20" t="e">
        <v>#N/A</v>
      </c>
      <c r="AI336" s="19" t="b">
        <v>0</v>
      </c>
      <c r="AJ336" s="18" t="s">
        <v>788</v>
      </c>
      <c r="AK336" s="49" t="s">
        <v>788</v>
      </c>
    </row>
    <row r="337" spans="1:37" ht="16.5" x14ac:dyDescent="0.4">
      <c r="A337" s="3"/>
      <c r="B337" s="3"/>
      <c r="C337" s="4"/>
      <c r="D337" s="4" t="s">
        <v>556</v>
      </c>
      <c r="E337" s="3"/>
      <c r="F337" s="4"/>
      <c r="G337" s="4"/>
      <c r="H337" s="43">
        <f>SUM(H322:H336)</f>
        <v>133419.35</v>
      </c>
      <c r="I337" s="5"/>
      <c r="J337" s="45" t="str">
        <f t="shared" ca="1" si="5"/>
        <v/>
      </c>
      <c r="K337" s="43">
        <f>SUM(K322:K336)</f>
        <v>133419.35</v>
      </c>
      <c r="L337" s="9"/>
      <c r="M337" s="4"/>
      <c r="N337" s="4"/>
      <c r="O337" s="4"/>
      <c r="P337" s="4"/>
      <c r="Q337" s="4"/>
      <c r="R337" s="4" t="s">
        <v>42</v>
      </c>
      <c r="S337" s="6">
        <v>321905.02</v>
      </c>
      <c r="T337" s="6">
        <v>102792.14</v>
      </c>
      <c r="U337" s="6">
        <v>65285.41</v>
      </c>
      <c r="V337" s="6">
        <v>0</v>
      </c>
      <c r="W337" s="6">
        <v>0</v>
      </c>
      <c r="X337" s="7"/>
      <c r="Y337" s="7"/>
      <c r="Z337" s="6">
        <v>0</v>
      </c>
      <c r="AA337" s="4"/>
      <c r="AB337" s="4"/>
      <c r="AC337" s="4"/>
      <c r="AD337" s="4"/>
      <c r="AE337" s="6">
        <v>489982.57</v>
      </c>
      <c r="AF337" s="6">
        <v>115117.84</v>
      </c>
      <c r="AG337" s="48"/>
      <c r="AH337" s="44" cm="1">
        <f t="array" ref="AH337">IFERROR(SUMPRODUCT(AF322:AF336*--(((AI322:AI336=TRUE)+(AI322:AI336=1))&gt;0)),0)</f>
        <v>50077.619999999995</v>
      </c>
      <c r="AI337" s="54">
        <f>SUMIF(AI322:AI336,TRUE,H322:H336)/H337</f>
        <v>0.43760031809478905</v>
      </c>
      <c r="AJ337" s="6"/>
      <c r="AK337" s="50"/>
    </row>
    <row r="338" spans="1:37" x14ac:dyDescent="0.35">
      <c r="A338" s="12" t="s">
        <v>33</v>
      </c>
      <c r="B338" s="12">
        <v>100108704</v>
      </c>
      <c r="C338" s="13" t="s">
        <v>575</v>
      </c>
      <c r="D338" s="13" t="s">
        <v>576</v>
      </c>
      <c r="E338" s="12">
        <v>9700002777</v>
      </c>
      <c r="F338" s="13" t="s">
        <v>577</v>
      </c>
      <c r="G338" s="12" t="s">
        <v>37</v>
      </c>
      <c r="H338" s="14">
        <v>2922.77</v>
      </c>
      <c r="I338" s="15">
        <v>46068</v>
      </c>
      <c r="J338" s="12" t="str">
        <f t="shared" ca="1" si="5"/>
        <v>61-90</v>
      </c>
      <c r="K338" s="14">
        <v>2922.77</v>
      </c>
      <c r="L338" s="16">
        <v>46038</v>
      </c>
      <c r="M338" s="13" t="s">
        <v>38</v>
      </c>
      <c r="N338" s="13" t="s">
        <v>39</v>
      </c>
      <c r="O338" s="13" t="s">
        <v>40</v>
      </c>
      <c r="P338" s="13"/>
      <c r="Q338" s="13" t="s">
        <v>41</v>
      </c>
      <c r="R338" s="13" t="s">
        <v>42</v>
      </c>
      <c r="S338" s="17">
        <v>0</v>
      </c>
      <c r="T338" s="17">
        <v>0</v>
      </c>
      <c r="U338" s="17">
        <v>10733.87</v>
      </c>
      <c r="V338" s="17">
        <v>0</v>
      </c>
      <c r="W338" s="17">
        <v>0</v>
      </c>
      <c r="X338" s="17">
        <v>0</v>
      </c>
      <c r="Y338" s="17">
        <v>10733.87</v>
      </c>
      <c r="Z338" s="17">
        <v>0</v>
      </c>
      <c r="AA338" s="13" t="s">
        <v>578</v>
      </c>
      <c r="AB338" s="13" t="s">
        <v>44</v>
      </c>
      <c r="AC338" s="13" t="s">
        <v>45</v>
      </c>
      <c r="AD338" s="13" t="s">
        <v>46</v>
      </c>
      <c r="AE338" s="17">
        <v>10733.87</v>
      </c>
      <c r="AF338" s="17">
        <v>2507.9499999999998</v>
      </c>
      <c r="AG338" s="47" t="s">
        <v>876</v>
      </c>
      <c r="AH338" s="20" t="s">
        <v>792</v>
      </c>
      <c r="AI338" s="19" t="b">
        <v>0</v>
      </c>
      <c r="AJ338" s="18" t="s">
        <v>868</v>
      </c>
      <c r="AK338" s="49" t="s">
        <v>792</v>
      </c>
    </row>
    <row r="339" spans="1:37" x14ac:dyDescent="0.35">
      <c r="A339" s="12" t="s">
        <v>33</v>
      </c>
      <c r="B339" s="12">
        <v>100108704</v>
      </c>
      <c r="C339" s="13" t="s">
        <v>575</v>
      </c>
      <c r="D339" s="13" t="s">
        <v>576</v>
      </c>
      <c r="E339" s="12">
        <v>9700003989</v>
      </c>
      <c r="F339" s="13" t="s">
        <v>579</v>
      </c>
      <c r="G339" s="12" t="s">
        <v>37</v>
      </c>
      <c r="H339" s="14">
        <v>2924.23</v>
      </c>
      <c r="I339" s="15">
        <v>46071</v>
      </c>
      <c r="J339" s="12" t="str">
        <f t="shared" ca="1" si="5"/>
        <v>61-90</v>
      </c>
      <c r="K339" s="14">
        <v>2924.23</v>
      </c>
      <c r="L339" s="16">
        <v>46041</v>
      </c>
      <c r="M339" s="13" t="s">
        <v>38</v>
      </c>
      <c r="N339" s="13" t="s">
        <v>39</v>
      </c>
      <c r="O339" s="13" t="s">
        <v>40</v>
      </c>
      <c r="P339" s="13"/>
      <c r="Q339" s="13" t="s">
        <v>41</v>
      </c>
      <c r="R339" s="13" t="s">
        <v>42</v>
      </c>
      <c r="S339" s="17">
        <v>0</v>
      </c>
      <c r="T339" s="17">
        <v>0</v>
      </c>
      <c r="U339" s="17">
        <v>10739.23</v>
      </c>
      <c r="V339" s="17">
        <v>0</v>
      </c>
      <c r="W339" s="17">
        <v>0</v>
      </c>
      <c r="X339" s="17">
        <v>0</v>
      </c>
      <c r="Y339" s="17">
        <v>10739.23</v>
      </c>
      <c r="Z339" s="17">
        <v>0</v>
      </c>
      <c r="AA339" s="13" t="s">
        <v>578</v>
      </c>
      <c r="AB339" s="13" t="s">
        <v>44</v>
      </c>
      <c r="AC339" s="13" t="s">
        <v>45</v>
      </c>
      <c r="AD339" s="13" t="s">
        <v>46</v>
      </c>
      <c r="AE339" s="17">
        <v>10739.23</v>
      </c>
      <c r="AF339" s="17">
        <v>2515.6799999999998</v>
      </c>
      <c r="AG339" s="47" t="s">
        <v>876</v>
      </c>
      <c r="AH339" s="20" t="s">
        <v>792</v>
      </c>
      <c r="AI339" s="19" t="b">
        <v>0</v>
      </c>
      <c r="AJ339" s="18" t="s">
        <v>868</v>
      </c>
      <c r="AK339" s="49" t="s">
        <v>792</v>
      </c>
    </row>
    <row r="340" spans="1:37" x14ac:dyDescent="0.35">
      <c r="A340" s="12" t="s">
        <v>33</v>
      </c>
      <c r="B340" s="12">
        <v>100108704</v>
      </c>
      <c r="C340" s="13" t="s">
        <v>575</v>
      </c>
      <c r="D340" s="13" t="s">
        <v>576</v>
      </c>
      <c r="E340" s="12">
        <v>9700012318</v>
      </c>
      <c r="F340" s="13" t="s">
        <v>580</v>
      </c>
      <c r="G340" s="12" t="s">
        <v>37</v>
      </c>
      <c r="H340" s="14">
        <v>6137.44</v>
      </c>
      <c r="I340" s="15">
        <v>45737</v>
      </c>
      <c r="J340" s="12" t="str">
        <f t="shared" ca="1" si="5"/>
        <v>120 +</v>
      </c>
      <c r="K340" s="14">
        <v>6137.44</v>
      </c>
      <c r="L340" s="16">
        <v>45707</v>
      </c>
      <c r="M340" s="13" t="s">
        <v>38</v>
      </c>
      <c r="N340" s="13" t="s">
        <v>39</v>
      </c>
      <c r="O340" s="13" t="s">
        <v>40</v>
      </c>
      <c r="P340" s="13"/>
      <c r="Q340" s="13" t="s">
        <v>41</v>
      </c>
      <c r="R340" s="13" t="s">
        <v>42</v>
      </c>
      <c r="S340" s="17">
        <v>0</v>
      </c>
      <c r="T340" s="17">
        <v>0</v>
      </c>
      <c r="U340" s="17">
        <v>0</v>
      </c>
      <c r="V340" s="17">
        <v>0</v>
      </c>
      <c r="W340" s="17">
        <v>0</v>
      </c>
      <c r="X340" s="17">
        <v>22539.75</v>
      </c>
      <c r="Y340" s="17">
        <v>22539.75</v>
      </c>
      <c r="Z340" s="17">
        <v>0</v>
      </c>
      <c r="AA340" s="13" t="s">
        <v>581</v>
      </c>
      <c r="AB340" s="13" t="s">
        <v>44</v>
      </c>
      <c r="AC340" s="13" t="s">
        <v>45</v>
      </c>
      <c r="AD340" s="13" t="s">
        <v>46</v>
      </c>
      <c r="AE340" s="17">
        <v>22539.75</v>
      </c>
      <c r="AF340" s="17">
        <v>5857.45</v>
      </c>
      <c r="AG340" s="47" t="s">
        <v>882</v>
      </c>
      <c r="AH340" s="20" t="s">
        <v>792</v>
      </c>
      <c r="AI340" s="19" t="b">
        <v>0</v>
      </c>
      <c r="AJ340" s="18" t="s">
        <v>868</v>
      </c>
      <c r="AK340" s="49" t="s">
        <v>792</v>
      </c>
    </row>
    <row r="341" spans="1:37" x14ac:dyDescent="0.35">
      <c r="A341" s="12" t="s">
        <v>33</v>
      </c>
      <c r="B341" s="12">
        <v>100108704</v>
      </c>
      <c r="C341" s="13" t="s">
        <v>575</v>
      </c>
      <c r="D341" s="13" t="s">
        <v>576</v>
      </c>
      <c r="E341" s="12">
        <v>9700017803</v>
      </c>
      <c r="F341" s="13" t="s">
        <v>582</v>
      </c>
      <c r="G341" s="12" t="s">
        <v>37</v>
      </c>
      <c r="H341" s="14">
        <v>3453.37</v>
      </c>
      <c r="I341" s="15">
        <v>46109</v>
      </c>
      <c r="J341" s="12" t="str">
        <f t="shared" ca="1" si="5"/>
        <v>31-60</v>
      </c>
      <c r="K341" s="14">
        <v>3453.37</v>
      </c>
      <c r="L341" s="16">
        <v>46079</v>
      </c>
      <c r="M341" s="13" t="s">
        <v>38</v>
      </c>
      <c r="N341" s="13" t="s">
        <v>39</v>
      </c>
      <c r="O341" s="13" t="s">
        <v>40</v>
      </c>
      <c r="P341" s="13"/>
      <c r="Q341" s="13" t="s">
        <v>41</v>
      </c>
      <c r="R341" s="13" t="s">
        <v>42</v>
      </c>
      <c r="S341" s="17">
        <v>0</v>
      </c>
      <c r="T341" s="17">
        <v>12682.5</v>
      </c>
      <c r="U341" s="17">
        <v>0</v>
      </c>
      <c r="V341" s="17">
        <v>0</v>
      </c>
      <c r="W341" s="17">
        <v>0</v>
      </c>
      <c r="X341" s="17">
        <v>0</v>
      </c>
      <c r="Y341" s="17">
        <v>12682.5</v>
      </c>
      <c r="Z341" s="17">
        <v>0</v>
      </c>
      <c r="AA341" s="13" t="s">
        <v>583</v>
      </c>
      <c r="AB341" s="13" t="s">
        <v>44</v>
      </c>
      <c r="AC341" s="13" t="s">
        <v>45</v>
      </c>
      <c r="AD341" s="13" t="s">
        <v>46</v>
      </c>
      <c r="AE341" s="17">
        <v>12682.5</v>
      </c>
      <c r="AF341" s="17">
        <v>2934.79</v>
      </c>
      <c r="AG341" s="47" t="s">
        <v>876</v>
      </c>
      <c r="AH341" s="20" t="s">
        <v>792</v>
      </c>
      <c r="AI341" s="19" t="b">
        <v>0</v>
      </c>
      <c r="AJ341" s="18" t="s">
        <v>868</v>
      </c>
      <c r="AK341" s="49" t="s">
        <v>792</v>
      </c>
    </row>
    <row r="342" spans="1:37" x14ac:dyDescent="0.35">
      <c r="A342" s="12" t="s">
        <v>33</v>
      </c>
      <c r="B342" s="12">
        <v>100108704</v>
      </c>
      <c r="C342" s="13" t="s">
        <v>575</v>
      </c>
      <c r="D342" s="13" t="s">
        <v>576</v>
      </c>
      <c r="E342" s="12">
        <v>9700025761</v>
      </c>
      <c r="F342" s="13" t="s">
        <v>584</v>
      </c>
      <c r="G342" s="12" t="s">
        <v>37</v>
      </c>
      <c r="H342" s="14">
        <v>7228.34</v>
      </c>
      <c r="I342" s="15">
        <v>45794</v>
      </c>
      <c r="J342" s="12" t="str">
        <f t="shared" ca="1" si="5"/>
        <v>120 +</v>
      </c>
      <c r="K342" s="14">
        <v>7228.34</v>
      </c>
      <c r="L342" s="16">
        <v>45764</v>
      </c>
      <c r="M342" s="13" t="s">
        <v>38</v>
      </c>
      <c r="N342" s="13" t="s">
        <v>39</v>
      </c>
      <c r="O342" s="13" t="s">
        <v>40</v>
      </c>
      <c r="P342" s="13"/>
      <c r="Q342" s="13" t="s">
        <v>41</v>
      </c>
      <c r="R342" s="13" t="s">
        <v>42</v>
      </c>
      <c r="S342" s="17">
        <v>0</v>
      </c>
      <c r="T342" s="17">
        <v>0</v>
      </c>
      <c r="U342" s="17">
        <v>0</v>
      </c>
      <c r="V342" s="17">
        <v>0</v>
      </c>
      <c r="W342" s="17">
        <v>0</v>
      </c>
      <c r="X342" s="17">
        <v>26546.080000000002</v>
      </c>
      <c r="Y342" s="17">
        <v>26546.080000000002</v>
      </c>
      <c r="Z342" s="17">
        <v>0</v>
      </c>
      <c r="AA342" s="13" t="s">
        <v>578</v>
      </c>
      <c r="AB342" s="13" t="s">
        <v>44</v>
      </c>
      <c r="AC342" s="13" t="s">
        <v>45</v>
      </c>
      <c r="AD342" s="13" t="s">
        <v>46</v>
      </c>
      <c r="AE342" s="17">
        <v>26546.080000000002</v>
      </c>
      <c r="AF342" s="17">
        <v>6353.47</v>
      </c>
      <c r="AG342" s="47" t="s">
        <v>876</v>
      </c>
      <c r="AH342" s="20" t="s">
        <v>792</v>
      </c>
      <c r="AI342" s="19" t="b">
        <v>0</v>
      </c>
      <c r="AJ342" s="18" t="s">
        <v>868</v>
      </c>
      <c r="AK342" s="49" t="s">
        <v>792</v>
      </c>
    </row>
    <row r="343" spans="1:37" x14ac:dyDescent="0.35">
      <c r="A343" s="12" t="s">
        <v>33</v>
      </c>
      <c r="B343" s="12">
        <v>100108704</v>
      </c>
      <c r="C343" s="13" t="s">
        <v>575</v>
      </c>
      <c r="D343" s="13" t="s">
        <v>576</v>
      </c>
      <c r="E343" s="12">
        <v>9700029641</v>
      </c>
      <c r="F343" s="13" t="s">
        <v>585</v>
      </c>
      <c r="G343" s="12" t="s">
        <v>37</v>
      </c>
      <c r="H343" s="14">
        <v>3986.37</v>
      </c>
      <c r="I343" s="15">
        <v>45805</v>
      </c>
      <c r="J343" s="12" t="str">
        <f t="shared" ca="1" si="5"/>
        <v>120 +</v>
      </c>
      <c r="K343" s="14">
        <v>3986.37</v>
      </c>
      <c r="L343" s="16">
        <v>45775</v>
      </c>
      <c r="M343" s="13" t="s">
        <v>38</v>
      </c>
      <c r="N343" s="13" t="s">
        <v>39</v>
      </c>
      <c r="O343" s="13" t="s">
        <v>40</v>
      </c>
      <c r="P343" s="13"/>
      <c r="Q343" s="13" t="s">
        <v>41</v>
      </c>
      <c r="R343" s="13" t="s">
        <v>42</v>
      </c>
      <c r="S343" s="17">
        <v>0</v>
      </c>
      <c r="T343" s="17">
        <v>0</v>
      </c>
      <c r="U343" s="17">
        <v>0</v>
      </c>
      <c r="V343" s="17">
        <v>0</v>
      </c>
      <c r="W343" s="17">
        <v>0</v>
      </c>
      <c r="X343" s="17">
        <v>14639.94</v>
      </c>
      <c r="Y343" s="17">
        <v>14639.94</v>
      </c>
      <c r="Z343" s="17">
        <v>0</v>
      </c>
      <c r="AA343" s="13" t="s">
        <v>578</v>
      </c>
      <c r="AB343" s="13" t="s">
        <v>44</v>
      </c>
      <c r="AC343" s="13" t="s">
        <v>45</v>
      </c>
      <c r="AD343" s="13" t="s">
        <v>46</v>
      </c>
      <c r="AE343" s="17">
        <v>14639.94</v>
      </c>
      <c r="AF343" s="17">
        <v>3510.06</v>
      </c>
      <c r="AG343" s="47" t="s">
        <v>876</v>
      </c>
      <c r="AH343" s="20" t="s">
        <v>792</v>
      </c>
      <c r="AI343" s="19" t="b">
        <v>0</v>
      </c>
      <c r="AJ343" s="18" t="s">
        <v>868</v>
      </c>
      <c r="AK343" s="49" t="s">
        <v>792</v>
      </c>
    </row>
    <row r="344" spans="1:37" x14ac:dyDescent="0.35">
      <c r="A344" s="12" t="s">
        <v>33</v>
      </c>
      <c r="B344" s="12">
        <v>100108704</v>
      </c>
      <c r="C344" s="13" t="s">
        <v>575</v>
      </c>
      <c r="D344" s="13" t="s">
        <v>576</v>
      </c>
      <c r="E344" s="12">
        <v>9700034867</v>
      </c>
      <c r="F344" s="13" t="s">
        <v>586</v>
      </c>
      <c r="G344" s="12" t="s">
        <v>37</v>
      </c>
      <c r="H344" s="14">
        <v>3067.64</v>
      </c>
      <c r="I344" s="15">
        <v>45829</v>
      </c>
      <c r="J344" s="12" t="str">
        <f t="shared" ca="1" si="5"/>
        <v>120 +</v>
      </c>
      <c r="K344" s="14">
        <v>3067.64</v>
      </c>
      <c r="L344" s="16">
        <v>45799</v>
      </c>
      <c r="M344" s="13" t="s">
        <v>38</v>
      </c>
      <c r="N344" s="13" t="s">
        <v>39</v>
      </c>
      <c r="O344" s="13" t="s">
        <v>40</v>
      </c>
      <c r="P344" s="13"/>
      <c r="Q344" s="13" t="s">
        <v>41</v>
      </c>
      <c r="R344" s="13" t="s">
        <v>42</v>
      </c>
      <c r="S344" s="17">
        <v>0</v>
      </c>
      <c r="T344" s="17">
        <v>0</v>
      </c>
      <c r="U344" s="17">
        <v>0</v>
      </c>
      <c r="V344" s="17">
        <v>0</v>
      </c>
      <c r="W344" s="17">
        <v>0</v>
      </c>
      <c r="X344" s="17">
        <v>11265.91</v>
      </c>
      <c r="Y344" s="17">
        <v>11265.91</v>
      </c>
      <c r="Z344" s="17">
        <v>0</v>
      </c>
      <c r="AA344" s="13" t="s">
        <v>578</v>
      </c>
      <c r="AB344" s="13" t="s">
        <v>44</v>
      </c>
      <c r="AC344" s="13" t="s">
        <v>45</v>
      </c>
      <c r="AD344" s="13" t="s">
        <v>46</v>
      </c>
      <c r="AE344" s="17">
        <v>11265.91</v>
      </c>
      <c r="AF344" s="17">
        <v>2740.43</v>
      </c>
      <c r="AG344" s="47" t="s">
        <v>876</v>
      </c>
      <c r="AH344" s="20" t="s">
        <v>792</v>
      </c>
      <c r="AI344" s="19" t="b">
        <v>0</v>
      </c>
      <c r="AJ344" s="18" t="s">
        <v>868</v>
      </c>
      <c r="AK344" s="49" t="s">
        <v>792</v>
      </c>
    </row>
    <row r="345" spans="1:37" x14ac:dyDescent="0.35">
      <c r="A345" s="12" t="s">
        <v>33</v>
      </c>
      <c r="B345" s="12">
        <v>100108704</v>
      </c>
      <c r="C345" s="13" t="s">
        <v>575</v>
      </c>
      <c r="D345" s="13" t="s">
        <v>576</v>
      </c>
      <c r="E345" s="12">
        <v>9700044858</v>
      </c>
      <c r="F345" s="13" t="s">
        <v>587</v>
      </c>
      <c r="G345" s="12" t="s">
        <v>37</v>
      </c>
      <c r="H345" s="14">
        <v>3272.74</v>
      </c>
      <c r="I345" s="15">
        <v>45871</v>
      </c>
      <c r="J345" s="12" t="str">
        <f t="shared" ca="1" si="5"/>
        <v>120 +</v>
      </c>
      <c r="K345" s="14">
        <v>3272.74</v>
      </c>
      <c r="L345" s="16">
        <v>45841</v>
      </c>
      <c r="M345" s="13" t="s">
        <v>38</v>
      </c>
      <c r="N345" s="13" t="s">
        <v>39</v>
      </c>
      <c r="O345" s="13" t="s">
        <v>40</v>
      </c>
      <c r="P345" s="13"/>
      <c r="Q345" s="13" t="s">
        <v>41</v>
      </c>
      <c r="R345" s="13" t="s">
        <v>42</v>
      </c>
      <c r="S345" s="17">
        <v>0</v>
      </c>
      <c r="T345" s="17">
        <v>0</v>
      </c>
      <c r="U345" s="17">
        <v>0</v>
      </c>
      <c r="V345" s="17">
        <v>0</v>
      </c>
      <c r="W345" s="17">
        <v>0</v>
      </c>
      <c r="X345" s="17">
        <v>12019.14</v>
      </c>
      <c r="Y345" s="17">
        <v>12019.14</v>
      </c>
      <c r="Z345" s="17">
        <v>0</v>
      </c>
      <c r="AA345" s="13" t="s">
        <v>578</v>
      </c>
      <c r="AB345" s="13" t="s">
        <v>44</v>
      </c>
      <c r="AC345" s="13" t="s">
        <v>45</v>
      </c>
      <c r="AD345" s="13" t="s">
        <v>46</v>
      </c>
      <c r="AE345" s="17">
        <v>12019.14</v>
      </c>
      <c r="AF345" s="17">
        <v>2792.44</v>
      </c>
      <c r="AG345" s="47" t="s">
        <v>876</v>
      </c>
      <c r="AH345" s="20" t="s">
        <v>792</v>
      </c>
      <c r="AI345" s="19" t="b">
        <v>0</v>
      </c>
      <c r="AJ345" s="18" t="s">
        <v>868</v>
      </c>
      <c r="AK345" s="49" t="s">
        <v>792</v>
      </c>
    </row>
    <row r="346" spans="1:37" x14ac:dyDescent="0.35">
      <c r="A346" s="12" t="s">
        <v>33</v>
      </c>
      <c r="B346" s="12">
        <v>100108704</v>
      </c>
      <c r="C346" s="13" t="s">
        <v>575</v>
      </c>
      <c r="D346" s="13" t="s">
        <v>576</v>
      </c>
      <c r="E346" s="12">
        <v>9700048616</v>
      </c>
      <c r="F346" s="13" t="s">
        <v>588</v>
      </c>
      <c r="G346" s="12" t="s">
        <v>37</v>
      </c>
      <c r="H346" s="14">
        <v>3067.57</v>
      </c>
      <c r="I346" s="15">
        <v>45891</v>
      </c>
      <c r="J346" s="12" t="str">
        <f t="shared" ca="1" si="5"/>
        <v>120 +</v>
      </c>
      <c r="K346" s="14">
        <v>3067.57</v>
      </c>
      <c r="L346" s="16">
        <v>45861</v>
      </c>
      <c r="M346" s="13" t="s">
        <v>38</v>
      </c>
      <c r="N346" s="13" t="s">
        <v>39</v>
      </c>
      <c r="O346" s="13" t="s">
        <v>40</v>
      </c>
      <c r="P346" s="13"/>
      <c r="Q346" s="13" t="s">
        <v>41</v>
      </c>
      <c r="R346" s="13" t="s">
        <v>42</v>
      </c>
      <c r="S346" s="17">
        <v>0</v>
      </c>
      <c r="T346" s="17">
        <v>0</v>
      </c>
      <c r="U346" s="17">
        <v>0</v>
      </c>
      <c r="V346" s="17">
        <v>0</v>
      </c>
      <c r="W346" s="17">
        <v>0</v>
      </c>
      <c r="X346" s="17">
        <v>11265.65</v>
      </c>
      <c r="Y346" s="17">
        <v>11265.65</v>
      </c>
      <c r="Z346" s="17">
        <v>0</v>
      </c>
      <c r="AA346" s="13" t="s">
        <v>578</v>
      </c>
      <c r="AB346" s="13" t="s">
        <v>44</v>
      </c>
      <c r="AC346" s="13" t="s">
        <v>45</v>
      </c>
      <c r="AD346" s="13" t="s">
        <v>46</v>
      </c>
      <c r="AE346" s="17">
        <v>11265.65</v>
      </c>
      <c r="AF346" s="17">
        <v>2633.11</v>
      </c>
      <c r="AG346" s="47" t="s">
        <v>876</v>
      </c>
      <c r="AH346" s="20" t="s">
        <v>792</v>
      </c>
      <c r="AI346" s="19" t="b">
        <v>0</v>
      </c>
      <c r="AJ346" s="18" t="s">
        <v>868</v>
      </c>
      <c r="AK346" s="49" t="s">
        <v>792</v>
      </c>
    </row>
    <row r="347" spans="1:37" x14ac:dyDescent="0.35">
      <c r="A347" s="12" t="s">
        <v>33</v>
      </c>
      <c r="B347" s="12">
        <v>100108704</v>
      </c>
      <c r="C347" s="13" t="s">
        <v>575</v>
      </c>
      <c r="D347" s="13" t="s">
        <v>576</v>
      </c>
      <c r="E347" s="12">
        <v>9700062024</v>
      </c>
      <c r="F347" s="13" t="s">
        <v>589</v>
      </c>
      <c r="G347" s="12" t="s">
        <v>37</v>
      </c>
      <c r="H347" s="14">
        <v>5764.22</v>
      </c>
      <c r="I347" s="15">
        <v>45940</v>
      </c>
      <c r="J347" s="12" t="str">
        <f t="shared" ref="J347:J410" ca="1" si="6">IF($E347="","",IF($I347="","",IF($I347&gt;=TODAY(),"Current",IF(TODAY()-$I347&lt;=30,"0-30",IF(TODAY()-$I347&lt;=60,"31-60",IF(TODAY()-$I347&lt;=90,"61-90",IF(TODAY()-$I347&lt;=120,"91-120","120 +")))))))</f>
        <v>120 +</v>
      </c>
      <c r="K347" s="14">
        <v>5764.22</v>
      </c>
      <c r="L347" s="16">
        <v>45910</v>
      </c>
      <c r="M347" s="13" t="s">
        <v>38</v>
      </c>
      <c r="N347" s="13" t="s">
        <v>39</v>
      </c>
      <c r="O347" s="13" t="s">
        <v>40</v>
      </c>
      <c r="P347" s="13"/>
      <c r="Q347" s="13" t="s">
        <v>41</v>
      </c>
      <c r="R347" s="13" t="s">
        <v>42</v>
      </c>
      <c r="S347" s="17">
        <v>0</v>
      </c>
      <c r="T347" s="17">
        <v>0</v>
      </c>
      <c r="U347" s="17">
        <v>0</v>
      </c>
      <c r="V347" s="17">
        <v>0</v>
      </c>
      <c r="W347" s="17">
        <v>0</v>
      </c>
      <c r="X347" s="17">
        <v>21169.1</v>
      </c>
      <c r="Y347" s="17">
        <v>21169.1</v>
      </c>
      <c r="Z347" s="17">
        <v>0</v>
      </c>
      <c r="AA347" s="13" t="s">
        <v>578</v>
      </c>
      <c r="AB347" s="13" t="s">
        <v>44</v>
      </c>
      <c r="AC347" s="13" t="s">
        <v>45</v>
      </c>
      <c r="AD347" s="13" t="s">
        <v>46</v>
      </c>
      <c r="AE347" s="17">
        <v>21169.1</v>
      </c>
      <c r="AF347" s="17">
        <v>4908.2299999999996</v>
      </c>
      <c r="AG347" s="47" t="s">
        <v>876</v>
      </c>
      <c r="AH347" s="20" t="s">
        <v>792</v>
      </c>
      <c r="AI347" s="19" t="b">
        <v>0</v>
      </c>
      <c r="AJ347" s="18" t="s">
        <v>868</v>
      </c>
      <c r="AK347" s="49" t="s">
        <v>792</v>
      </c>
    </row>
    <row r="348" spans="1:37" x14ac:dyDescent="0.35">
      <c r="A348" s="12" t="s">
        <v>33</v>
      </c>
      <c r="B348" s="12">
        <v>100108704</v>
      </c>
      <c r="C348" s="13" t="s">
        <v>575</v>
      </c>
      <c r="D348" s="13" t="s">
        <v>576</v>
      </c>
      <c r="E348" s="12">
        <v>9700069620</v>
      </c>
      <c r="F348" s="13" t="s">
        <v>590</v>
      </c>
      <c r="G348" s="12" t="s">
        <v>37</v>
      </c>
      <c r="H348" s="14">
        <v>3065.26</v>
      </c>
      <c r="I348" s="15">
        <v>45972</v>
      </c>
      <c r="J348" s="12" t="str">
        <f t="shared" ca="1" si="6"/>
        <v>120 +</v>
      </c>
      <c r="K348" s="14">
        <v>3065.26</v>
      </c>
      <c r="L348" s="16">
        <v>45942</v>
      </c>
      <c r="M348" s="13" t="s">
        <v>38</v>
      </c>
      <c r="N348" s="13" t="s">
        <v>39</v>
      </c>
      <c r="O348" s="13" t="s">
        <v>40</v>
      </c>
      <c r="P348" s="13"/>
      <c r="Q348" s="13" t="s">
        <v>41</v>
      </c>
      <c r="R348" s="13" t="s">
        <v>42</v>
      </c>
      <c r="S348" s="17">
        <v>0</v>
      </c>
      <c r="T348" s="17">
        <v>0</v>
      </c>
      <c r="U348" s="17">
        <v>0</v>
      </c>
      <c r="V348" s="17">
        <v>0</v>
      </c>
      <c r="W348" s="17">
        <v>0</v>
      </c>
      <c r="X348" s="17">
        <v>11257.17</v>
      </c>
      <c r="Y348" s="17">
        <v>11257.17</v>
      </c>
      <c r="Z348" s="17">
        <v>0</v>
      </c>
      <c r="AA348" s="13" t="s">
        <v>578</v>
      </c>
      <c r="AB348" s="13" t="s">
        <v>44</v>
      </c>
      <c r="AC348" s="13" t="s">
        <v>45</v>
      </c>
      <c r="AD348" s="13" t="s">
        <v>46</v>
      </c>
      <c r="AE348" s="17">
        <v>11257.17</v>
      </c>
      <c r="AF348" s="17">
        <v>2627.52</v>
      </c>
      <c r="AG348" s="47" t="s">
        <v>876</v>
      </c>
      <c r="AH348" s="20" t="s">
        <v>792</v>
      </c>
      <c r="AI348" s="19" t="b">
        <v>0</v>
      </c>
      <c r="AJ348" s="18" t="s">
        <v>868</v>
      </c>
      <c r="AK348" s="49" t="s">
        <v>792</v>
      </c>
    </row>
    <row r="349" spans="1:37" x14ac:dyDescent="0.35">
      <c r="A349" s="12" t="s">
        <v>33</v>
      </c>
      <c r="B349" s="12">
        <v>100108704</v>
      </c>
      <c r="C349" s="13" t="s">
        <v>575</v>
      </c>
      <c r="D349" s="13" t="s">
        <v>576</v>
      </c>
      <c r="E349" s="12">
        <v>9700073240</v>
      </c>
      <c r="F349" s="13" t="s">
        <v>591</v>
      </c>
      <c r="G349" s="12" t="s">
        <v>37</v>
      </c>
      <c r="H349" s="14">
        <v>9851.14</v>
      </c>
      <c r="I349" s="15">
        <v>45648</v>
      </c>
      <c r="J349" s="12" t="str">
        <f t="shared" ca="1" si="6"/>
        <v>120 +</v>
      </c>
      <c r="K349" s="14">
        <v>9851.14</v>
      </c>
      <c r="L349" s="16">
        <v>45618</v>
      </c>
      <c r="M349" s="13" t="s">
        <v>38</v>
      </c>
      <c r="N349" s="13" t="s">
        <v>39</v>
      </c>
      <c r="O349" s="13" t="s">
        <v>40</v>
      </c>
      <c r="P349" s="13"/>
      <c r="Q349" s="13" t="s">
        <v>41</v>
      </c>
      <c r="R349" s="13" t="s">
        <v>42</v>
      </c>
      <c r="S349" s="17">
        <v>0</v>
      </c>
      <c r="T349" s="17">
        <v>0</v>
      </c>
      <c r="U349" s="17">
        <v>0</v>
      </c>
      <c r="V349" s="17">
        <v>0</v>
      </c>
      <c r="W349" s="17">
        <v>0</v>
      </c>
      <c r="X349" s="17">
        <v>36178.31</v>
      </c>
      <c r="Y349" s="17">
        <v>36178.31</v>
      </c>
      <c r="Z349" s="17">
        <v>0</v>
      </c>
      <c r="AA349" s="13" t="s">
        <v>592</v>
      </c>
      <c r="AB349" s="13" t="s">
        <v>44</v>
      </c>
      <c r="AC349" s="13" t="s">
        <v>45</v>
      </c>
      <c r="AD349" s="13" t="s">
        <v>46</v>
      </c>
      <c r="AE349" s="17">
        <v>36178.31</v>
      </c>
      <c r="AF349" s="17">
        <v>9312.86</v>
      </c>
      <c r="AG349" s="47" t="s">
        <v>883</v>
      </c>
      <c r="AH349" s="20" t="s">
        <v>792</v>
      </c>
      <c r="AI349" s="19" t="b">
        <v>0</v>
      </c>
      <c r="AJ349" s="18" t="s">
        <v>868</v>
      </c>
      <c r="AK349" s="49" t="s">
        <v>792</v>
      </c>
    </row>
    <row r="350" spans="1:37" x14ac:dyDescent="0.35">
      <c r="A350" s="12" t="s">
        <v>33</v>
      </c>
      <c r="B350" s="12">
        <v>100108704</v>
      </c>
      <c r="C350" s="13" t="s">
        <v>575</v>
      </c>
      <c r="D350" s="13" t="s">
        <v>576</v>
      </c>
      <c r="E350" s="12">
        <v>9700080862</v>
      </c>
      <c r="F350" s="13" t="s">
        <v>593</v>
      </c>
      <c r="G350" s="12" t="s">
        <v>37</v>
      </c>
      <c r="H350" s="14">
        <v>3282.04</v>
      </c>
      <c r="I350" s="15">
        <v>45674</v>
      </c>
      <c r="J350" s="12" t="str">
        <f t="shared" ca="1" si="6"/>
        <v>120 +</v>
      </c>
      <c r="K350" s="14">
        <v>3282.04</v>
      </c>
      <c r="L350" s="16">
        <v>45644</v>
      </c>
      <c r="M350" s="13" t="s">
        <v>38</v>
      </c>
      <c r="N350" s="13" t="s">
        <v>39</v>
      </c>
      <c r="O350" s="13" t="s">
        <v>40</v>
      </c>
      <c r="P350" s="13"/>
      <c r="Q350" s="13" t="s">
        <v>41</v>
      </c>
      <c r="R350" s="13" t="s">
        <v>42</v>
      </c>
      <c r="S350" s="17">
        <v>0</v>
      </c>
      <c r="T350" s="17">
        <v>0</v>
      </c>
      <c r="U350" s="17">
        <v>0</v>
      </c>
      <c r="V350" s="17">
        <v>0</v>
      </c>
      <c r="W350" s="17">
        <v>0</v>
      </c>
      <c r="X350" s="17">
        <v>12053.29</v>
      </c>
      <c r="Y350" s="17">
        <v>12053.29</v>
      </c>
      <c r="Z350" s="17">
        <v>0</v>
      </c>
      <c r="AA350" s="13" t="s">
        <v>592</v>
      </c>
      <c r="AB350" s="13" t="s">
        <v>44</v>
      </c>
      <c r="AC350" s="13" t="s">
        <v>45</v>
      </c>
      <c r="AD350" s="13" t="s">
        <v>46</v>
      </c>
      <c r="AE350" s="17">
        <v>12053.29</v>
      </c>
      <c r="AF350" s="17">
        <v>3126.65</v>
      </c>
      <c r="AG350" s="47" t="s">
        <v>883</v>
      </c>
      <c r="AH350" s="20" t="s">
        <v>792</v>
      </c>
      <c r="AI350" s="19" t="b">
        <v>0</v>
      </c>
      <c r="AJ350" s="18" t="s">
        <v>868</v>
      </c>
      <c r="AK350" s="49" t="s">
        <v>792</v>
      </c>
    </row>
    <row r="351" spans="1:37" x14ac:dyDescent="0.35">
      <c r="A351" s="12" t="s">
        <v>33</v>
      </c>
      <c r="B351" s="12">
        <v>100108704</v>
      </c>
      <c r="C351" s="13" t="s">
        <v>575</v>
      </c>
      <c r="D351" s="13" t="s">
        <v>576</v>
      </c>
      <c r="E351" s="12">
        <v>9700084169</v>
      </c>
      <c r="F351" s="13" t="s">
        <v>594</v>
      </c>
      <c r="G351" s="12" t="s">
        <v>37</v>
      </c>
      <c r="H351" s="14">
        <v>3021.32</v>
      </c>
      <c r="I351" s="15">
        <v>46017</v>
      </c>
      <c r="J351" s="12" t="str">
        <f t="shared" ca="1" si="6"/>
        <v>120 +</v>
      </c>
      <c r="K351" s="14">
        <v>3021.32</v>
      </c>
      <c r="L351" s="16">
        <v>45987</v>
      </c>
      <c r="M351" s="13" t="s">
        <v>38</v>
      </c>
      <c r="N351" s="13" t="s">
        <v>39</v>
      </c>
      <c r="O351" s="13" t="s">
        <v>40</v>
      </c>
      <c r="P351" s="13"/>
      <c r="Q351" s="13" t="s">
        <v>41</v>
      </c>
      <c r="R351" s="13" t="s">
        <v>42</v>
      </c>
      <c r="S351" s="17">
        <v>0</v>
      </c>
      <c r="T351" s="17">
        <v>0</v>
      </c>
      <c r="U351" s="17">
        <v>0</v>
      </c>
      <c r="V351" s="17">
        <v>0</v>
      </c>
      <c r="W351" s="17">
        <v>11095.8</v>
      </c>
      <c r="X351" s="17">
        <v>0</v>
      </c>
      <c r="Y351" s="17">
        <v>11095.8</v>
      </c>
      <c r="Z351" s="17">
        <v>0</v>
      </c>
      <c r="AA351" s="13" t="s">
        <v>578</v>
      </c>
      <c r="AB351" s="13" t="s">
        <v>44</v>
      </c>
      <c r="AC351" s="13" t="s">
        <v>45</v>
      </c>
      <c r="AD351" s="13" t="s">
        <v>46</v>
      </c>
      <c r="AE351" s="17">
        <v>11095.8</v>
      </c>
      <c r="AF351" s="17">
        <v>2617.2199999999998</v>
      </c>
      <c r="AG351" s="47" t="s">
        <v>876</v>
      </c>
      <c r="AH351" s="20" t="s">
        <v>792</v>
      </c>
      <c r="AI351" s="19" t="b">
        <v>0</v>
      </c>
      <c r="AJ351" s="18" t="s">
        <v>868</v>
      </c>
      <c r="AK351" s="49" t="s">
        <v>792</v>
      </c>
    </row>
    <row r="352" spans="1:37" ht="16.5" x14ac:dyDescent="0.4">
      <c r="A352" s="3"/>
      <c r="B352" s="3"/>
      <c r="C352" s="4"/>
      <c r="D352" s="4" t="s">
        <v>576</v>
      </c>
      <c r="E352" s="3"/>
      <c r="F352" s="4"/>
      <c r="G352" s="4"/>
      <c r="H352" s="43">
        <f>SUM(H338:H351)</f>
        <v>61044.45</v>
      </c>
      <c r="I352" s="5"/>
      <c r="J352" s="45" t="str">
        <f t="shared" ca="1" si="6"/>
        <v/>
      </c>
      <c r="K352" s="43">
        <f>SUM(K338:K351)</f>
        <v>61044.45</v>
      </c>
      <c r="L352" s="9"/>
      <c r="M352" s="4"/>
      <c r="N352" s="4"/>
      <c r="O352" s="4"/>
      <c r="P352" s="4"/>
      <c r="Q352" s="4"/>
      <c r="R352" s="4" t="s">
        <v>42</v>
      </c>
      <c r="S352" s="6">
        <v>0</v>
      </c>
      <c r="T352" s="6">
        <v>12682.5</v>
      </c>
      <c r="U352" s="6">
        <v>21473.1</v>
      </c>
      <c r="V352" s="6">
        <v>0</v>
      </c>
      <c r="W352" s="6">
        <v>11095.8</v>
      </c>
      <c r="X352" s="7"/>
      <c r="Y352" s="7"/>
      <c r="Z352" s="6">
        <v>0</v>
      </c>
      <c r="AA352" s="4"/>
      <c r="AB352" s="4"/>
      <c r="AC352" s="4"/>
      <c r="AD352" s="4"/>
      <c r="AE352" s="6">
        <v>224185.74</v>
      </c>
      <c r="AF352" s="6">
        <v>54437.86</v>
      </c>
      <c r="AG352" s="48"/>
      <c r="AH352" s="44" cm="1">
        <f t="array" ref="AH352">IFERROR(SUMPRODUCT(AF338:AF351*--(((AI338:AI351=TRUE)+(AI338:AI351=1))&gt;0)),0)</f>
        <v>0</v>
      </c>
      <c r="AI352" s="54">
        <f>SUMIF(AI338:AI351,TRUE,H338:H351)/H352</f>
        <v>0</v>
      </c>
      <c r="AJ352" s="6"/>
      <c r="AK352" s="50"/>
    </row>
    <row r="353" spans="1:37" x14ac:dyDescent="0.35">
      <c r="A353" s="12" t="s">
        <v>33</v>
      </c>
      <c r="B353" s="12">
        <v>100117529</v>
      </c>
      <c r="C353" s="13" t="s">
        <v>595</v>
      </c>
      <c r="D353" s="13" t="s">
        <v>596</v>
      </c>
      <c r="E353" s="12">
        <v>9700025731</v>
      </c>
      <c r="F353" s="13" t="s">
        <v>597</v>
      </c>
      <c r="G353" s="12" t="s">
        <v>37</v>
      </c>
      <c r="H353" s="14">
        <v>14290.81</v>
      </c>
      <c r="I353" s="15">
        <v>46141</v>
      </c>
      <c r="J353" s="12" t="str">
        <f t="shared" ca="1" si="6"/>
        <v>Current</v>
      </c>
      <c r="K353" s="14">
        <v>14290.81</v>
      </c>
      <c r="L353" s="16">
        <v>46111</v>
      </c>
      <c r="M353" s="13" t="s">
        <v>38</v>
      </c>
      <c r="N353" s="13" t="s">
        <v>39</v>
      </c>
      <c r="O353" s="13" t="s">
        <v>40</v>
      </c>
      <c r="P353" s="13"/>
      <c r="Q353" s="13" t="s">
        <v>41</v>
      </c>
      <c r="R353" s="13" t="s">
        <v>42</v>
      </c>
      <c r="S353" s="17">
        <v>52483</v>
      </c>
      <c r="T353" s="17">
        <v>0</v>
      </c>
      <c r="U353" s="17">
        <v>0</v>
      </c>
      <c r="V353" s="17">
        <v>0</v>
      </c>
      <c r="W353" s="17">
        <v>0</v>
      </c>
      <c r="X353" s="17">
        <v>0</v>
      </c>
      <c r="Y353" s="17">
        <v>0</v>
      </c>
      <c r="Z353" s="17">
        <v>0</v>
      </c>
      <c r="AA353" s="13" t="s">
        <v>598</v>
      </c>
      <c r="AB353" s="13" t="s">
        <v>44</v>
      </c>
      <c r="AC353" s="13" t="s">
        <v>45</v>
      </c>
      <c r="AD353" s="13" t="s">
        <v>46</v>
      </c>
      <c r="AE353" s="17">
        <v>52483</v>
      </c>
      <c r="AF353" s="17">
        <v>12349.47</v>
      </c>
      <c r="AG353" s="47" t="s">
        <v>876</v>
      </c>
      <c r="AH353" s="20" t="e">
        <v>#N/A</v>
      </c>
      <c r="AI353" s="19" t="b">
        <v>1</v>
      </c>
      <c r="AJ353" s="18" t="s">
        <v>874</v>
      </c>
      <c r="AK353" s="49" t="s">
        <v>815</v>
      </c>
    </row>
    <row r="354" spans="1:37" ht="16.5" x14ac:dyDescent="0.4">
      <c r="A354" s="3"/>
      <c r="B354" s="3"/>
      <c r="C354" s="4"/>
      <c r="D354" s="4" t="s">
        <v>596</v>
      </c>
      <c r="E354" s="3"/>
      <c r="F354" s="4"/>
      <c r="G354" s="4"/>
      <c r="H354" s="43">
        <f>SUM(H353:H353)</f>
        <v>14290.81</v>
      </c>
      <c r="I354" s="5"/>
      <c r="J354" s="45" t="str">
        <f t="shared" ca="1" si="6"/>
        <v/>
      </c>
      <c r="K354" s="43">
        <f>SUM(K353:K353)</f>
        <v>14290.81</v>
      </c>
      <c r="L354" s="9"/>
      <c r="M354" s="4"/>
      <c r="N354" s="4"/>
      <c r="O354" s="4"/>
      <c r="P354" s="4"/>
      <c r="Q354" s="4"/>
      <c r="R354" s="4" t="s">
        <v>42</v>
      </c>
      <c r="S354" s="6">
        <v>52483</v>
      </c>
      <c r="T354" s="6">
        <v>0</v>
      </c>
      <c r="U354" s="6">
        <v>0</v>
      </c>
      <c r="V354" s="6">
        <v>0</v>
      </c>
      <c r="W354" s="6">
        <v>0</v>
      </c>
      <c r="X354" s="7"/>
      <c r="Y354" s="7"/>
      <c r="Z354" s="6">
        <v>0</v>
      </c>
      <c r="AA354" s="4"/>
      <c r="AB354" s="4"/>
      <c r="AC354" s="4"/>
      <c r="AD354" s="4"/>
      <c r="AE354" s="6">
        <v>52483</v>
      </c>
      <c r="AF354" s="6">
        <v>12349.47</v>
      </c>
      <c r="AG354" s="48"/>
      <c r="AH354" s="44" cm="1">
        <f t="array" ref="AH354">IFERROR(SUMPRODUCT(AF353:AF353*--(((AI353:AI353=TRUE)+(AI353:AI353=1))&gt;0)),0)</f>
        <v>12349.47</v>
      </c>
      <c r="AI354" s="54">
        <f>SUMIF(AI353:AI353,TRUE,H353:H353)/H354</f>
        <v>1</v>
      </c>
      <c r="AJ354" s="6"/>
      <c r="AK354" s="50"/>
    </row>
    <row r="355" spans="1:37" x14ac:dyDescent="0.35">
      <c r="A355" s="12" t="s">
        <v>33</v>
      </c>
      <c r="B355" s="12">
        <v>100114317</v>
      </c>
      <c r="C355" s="13" t="s">
        <v>599</v>
      </c>
      <c r="D355" s="13" t="s">
        <v>600</v>
      </c>
      <c r="E355" s="12">
        <v>9700003816</v>
      </c>
      <c r="F355" s="13" t="s">
        <v>601</v>
      </c>
      <c r="G355" s="12" t="s">
        <v>37</v>
      </c>
      <c r="H355" s="14">
        <v>2502.64</v>
      </c>
      <c r="I355" s="15">
        <v>46068</v>
      </c>
      <c r="J355" s="12" t="str">
        <f t="shared" ca="1" si="6"/>
        <v>61-90</v>
      </c>
      <c r="K355" s="14">
        <v>2502.64</v>
      </c>
      <c r="L355" s="16">
        <v>46038</v>
      </c>
      <c r="M355" s="13" t="s">
        <v>38</v>
      </c>
      <c r="N355" s="13" t="s">
        <v>39</v>
      </c>
      <c r="O355" s="13" t="s">
        <v>40</v>
      </c>
      <c r="P355" s="13"/>
      <c r="Q355" s="13" t="s">
        <v>41</v>
      </c>
      <c r="R355" s="13" t="s">
        <v>42</v>
      </c>
      <c r="S355" s="17">
        <v>0</v>
      </c>
      <c r="T355" s="17">
        <v>0</v>
      </c>
      <c r="U355" s="17">
        <v>9190.9500000000007</v>
      </c>
      <c r="V355" s="17">
        <v>0</v>
      </c>
      <c r="W355" s="17">
        <v>0</v>
      </c>
      <c r="X355" s="17">
        <v>0</v>
      </c>
      <c r="Y355" s="17">
        <v>9190.9500000000007</v>
      </c>
      <c r="Z355" s="17">
        <v>0</v>
      </c>
      <c r="AA355" s="13" t="s">
        <v>602</v>
      </c>
      <c r="AB355" s="13" t="s">
        <v>44</v>
      </c>
      <c r="AC355" s="13" t="s">
        <v>45</v>
      </c>
      <c r="AD355" s="13" t="s">
        <v>46</v>
      </c>
      <c r="AE355" s="17">
        <v>9190.9500000000007</v>
      </c>
      <c r="AF355" s="17">
        <v>2148</v>
      </c>
      <c r="AG355" s="47" t="s">
        <v>876</v>
      </c>
      <c r="AH355" s="20" t="s">
        <v>814</v>
      </c>
      <c r="AI355" s="19" t="b">
        <v>0</v>
      </c>
      <c r="AJ355" s="18" t="s">
        <v>1046</v>
      </c>
      <c r="AK355" s="49" t="s">
        <v>1029</v>
      </c>
    </row>
    <row r="356" spans="1:37" x14ac:dyDescent="0.35">
      <c r="A356" s="12" t="s">
        <v>33</v>
      </c>
      <c r="B356" s="12">
        <v>100114317</v>
      </c>
      <c r="C356" s="13" t="s">
        <v>599</v>
      </c>
      <c r="D356" s="13" t="s">
        <v>600</v>
      </c>
      <c r="E356" s="12">
        <v>9700017320</v>
      </c>
      <c r="F356" s="13" t="s">
        <v>603</v>
      </c>
      <c r="G356" s="12" t="s">
        <v>37</v>
      </c>
      <c r="H356" s="14">
        <v>3563.37</v>
      </c>
      <c r="I356" s="15">
        <v>46107</v>
      </c>
      <c r="J356" s="12" t="str">
        <f t="shared" ca="1" si="6"/>
        <v>31-60</v>
      </c>
      <c r="K356" s="14">
        <v>3563.37</v>
      </c>
      <c r="L356" s="16">
        <v>46077</v>
      </c>
      <c r="M356" s="13" t="s">
        <v>38</v>
      </c>
      <c r="N356" s="13" t="s">
        <v>39</v>
      </c>
      <c r="O356" s="13" t="s">
        <v>40</v>
      </c>
      <c r="P356" s="13"/>
      <c r="Q356" s="13" t="s">
        <v>41</v>
      </c>
      <c r="R356" s="13" t="s">
        <v>42</v>
      </c>
      <c r="S356" s="17">
        <v>0</v>
      </c>
      <c r="T356" s="17">
        <v>13086.48</v>
      </c>
      <c r="U356" s="17">
        <v>0</v>
      </c>
      <c r="V356" s="17">
        <v>0</v>
      </c>
      <c r="W356" s="17">
        <v>0</v>
      </c>
      <c r="X356" s="17">
        <v>0</v>
      </c>
      <c r="Y356" s="17">
        <v>13086.48</v>
      </c>
      <c r="Z356" s="17">
        <v>0</v>
      </c>
      <c r="AA356" s="13" t="s">
        <v>604</v>
      </c>
      <c r="AB356" s="13" t="s">
        <v>44</v>
      </c>
      <c r="AC356" s="13" t="s">
        <v>45</v>
      </c>
      <c r="AD356" s="13" t="s">
        <v>46</v>
      </c>
      <c r="AE356" s="17">
        <v>13086.48</v>
      </c>
      <c r="AF356" s="17">
        <v>3028.27</v>
      </c>
      <c r="AG356" s="47" t="s">
        <v>884</v>
      </c>
      <c r="AH356" s="20" t="s">
        <v>806</v>
      </c>
      <c r="AI356" s="19" t="b">
        <v>1</v>
      </c>
      <c r="AJ356" s="18" t="s">
        <v>874</v>
      </c>
      <c r="AK356" s="49" t="s">
        <v>815</v>
      </c>
    </row>
    <row r="357" spans="1:37" x14ac:dyDescent="0.35">
      <c r="A357" s="12" t="s">
        <v>33</v>
      </c>
      <c r="B357" s="12">
        <v>100114317</v>
      </c>
      <c r="C357" s="13" t="s">
        <v>599</v>
      </c>
      <c r="D357" s="13" t="s">
        <v>600</v>
      </c>
      <c r="E357" s="12">
        <v>9700031392</v>
      </c>
      <c r="F357" s="13" t="s">
        <v>605</v>
      </c>
      <c r="G357" s="12" t="s">
        <v>37</v>
      </c>
      <c r="H357" s="14">
        <v>15578.41</v>
      </c>
      <c r="I357" s="15">
        <v>45818</v>
      </c>
      <c r="J357" s="12" t="str">
        <f t="shared" ca="1" si="6"/>
        <v>120 +</v>
      </c>
      <c r="K357" s="14">
        <v>15578.41</v>
      </c>
      <c r="L357" s="16">
        <v>45788</v>
      </c>
      <c r="M357" s="13" t="s">
        <v>38</v>
      </c>
      <c r="N357" s="13" t="s">
        <v>39</v>
      </c>
      <c r="O357" s="13" t="s">
        <v>40</v>
      </c>
      <c r="P357" s="13"/>
      <c r="Q357" s="13" t="s">
        <v>41</v>
      </c>
      <c r="R357" s="13" t="s">
        <v>42</v>
      </c>
      <c r="S357" s="17">
        <v>0</v>
      </c>
      <c r="T357" s="17">
        <v>0</v>
      </c>
      <c r="U357" s="17">
        <v>0</v>
      </c>
      <c r="V357" s="17">
        <v>0</v>
      </c>
      <c r="W357" s="17">
        <v>0</v>
      </c>
      <c r="X357" s="17">
        <v>57211.71</v>
      </c>
      <c r="Y357" s="17">
        <v>57211.71</v>
      </c>
      <c r="Z357" s="17">
        <v>0</v>
      </c>
      <c r="AA357" s="13" t="s">
        <v>606</v>
      </c>
      <c r="AB357" s="13" t="s">
        <v>44</v>
      </c>
      <c r="AC357" s="13" t="s">
        <v>45</v>
      </c>
      <c r="AD357" s="13" t="s">
        <v>46</v>
      </c>
      <c r="AE357" s="17">
        <v>57211.71</v>
      </c>
      <c r="AF357" s="17">
        <v>13713.39</v>
      </c>
      <c r="AG357" s="47" t="s">
        <v>883</v>
      </c>
      <c r="AH357" s="20" t="s">
        <v>814</v>
      </c>
      <c r="AI357" s="19" t="b">
        <v>0</v>
      </c>
      <c r="AJ357" s="18" t="s">
        <v>1046</v>
      </c>
      <c r="AK357" s="49" t="s">
        <v>1047</v>
      </c>
    </row>
    <row r="358" spans="1:37" x14ac:dyDescent="0.35">
      <c r="A358" s="12" t="s">
        <v>33</v>
      </c>
      <c r="B358" s="12">
        <v>100114317</v>
      </c>
      <c r="C358" s="13" t="s">
        <v>599</v>
      </c>
      <c r="D358" s="13" t="s">
        <v>600</v>
      </c>
      <c r="E358" s="12">
        <v>9700031399</v>
      </c>
      <c r="F358" s="13" t="s">
        <v>607</v>
      </c>
      <c r="G358" s="12" t="s">
        <v>37</v>
      </c>
      <c r="H358" s="14">
        <v>3604.74</v>
      </c>
      <c r="I358" s="15">
        <v>45818</v>
      </c>
      <c r="J358" s="12" t="str">
        <f t="shared" ca="1" si="6"/>
        <v>120 +</v>
      </c>
      <c r="K358" s="14">
        <v>3604.74</v>
      </c>
      <c r="L358" s="16">
        <v>45788</v>
      </c>
      <c r="M358" s="13" t="s">
        <v>38</v>
      </c>
      <c r="N358" s="13" t="s">
        <v>39</v>
      </c>
      <c r="O358" s="13" t="s">
        <v>40</v>
      </c>
      <c r="P358" s="13"/>
      <c r="Q358" s="13" t="s">
        <v>41</v>
      </c>
      <c r="R358" s="13" t="s">
        <v>42</v>
      </c>
      <c r="S358" s="17">
        <v>0</v>
      </c>
      <c r="T358" s="17">
        <v>0</v>
      </c>
      <c r="U358" s="17">
        <v>0</v>
      </c>
      <c r="V358" s="17">
        <v>0</v>
      </c>
      <c r="W358" s="17">
        <v>0</v>
      </c>
      <c r="X358" s="17">
        <v>13238.41</v>
      </c>
      <c r="Y358" s="17">
        <v>13238.41</v>
      </c>
      <c r="Z358" s="17">
        <v>0</v>
      </c>
      <c r="AA358" s="13" t="s">
        <v>608</v>
      </c>
      <c r="AB358" s="13" t="s">
        <v>44</v>
      </c>
      <c r="AC358" s="13" t="s">
        <v>45</v>
      </c>
      <c r="AD358" s="13" t="s">
        <v>46</v>
      </c>
      <c r="AE358" s="17">
        <v>13238.41</v>
      </c>
      <c r="AF358" s="17">
        <v>3173.19</v>
      </c>
      <c r="AG358" s="47" t="s">
        <v>882</v>
      </c>
      <c r="AH358" s="20" t="s">
        <v>814</v>
      </c>
      <c r="AI358" s="19" t="b">
        <v>0</v>
      </c>
      <c r="AJ358" s="18" t="s">
        <v>1046</v>
      </c>
      <c r="AK358" s="49" t="s">
        <v>1029</v>
      </c>
    </row>
    <row r="359" spans="1:37" x14ac:dyDescent="0.35">
      <c r="A359" s="12" t="s">
        <v>33</v>
      </c>
      <c r="B359" s="12">
        <v>100114317</v>
      </c>
      <c r="C359" s="13" t="s">
        <v>599</v>
      </c>
      <c r="D359" s="13" t="s">
        <v>600</v>
      </c>
      <c r="E359" s="12">
        <v>9700031400</v>
      </c>
      <c r="F359" s="13" t="s">
        <v>609</v>
      </c>
      <c r="G359" s="12" t="s">
        <v>37</v>
      </c>
      <c r="H359" s="14">
        <v>4522.41</v>
      </c>
      <c r="I359" s="15">
        <v>45818</v>
      </c>
      <c r="J359" s="12" t="str">
        <f t="shared" ca="1" si="6"/>
        <v>120 +</v>
      </c>
      <c r="K359" s="14">
        <v>4522.41</v>
      </c>
      <c r="L359" s="16">
        <v>45788</v>
      </c>
      <c r="M359" s="13" t="s">
        <v>38</v>
      </c>
      <c r="N359" s="13" t="s">
        <v>39</v>
      </c>
      <c r="O359" s="13" t="s">
        <v>40</v>
      </c>
      <c r="P359" s="13"/>
      <c r="Q359" s="13" t="s">
        <v>41</v>
      </c>
      <c r="R359" s="13" t="s">
        <v>42</v>
      </c>
      <c r="S359" s="17">
        <v>0</v>
      </c>
      <c r="T359" s="17">
        <v>0</v>
      </c>
      <c r="U359" s="17">
        <v>0</v>
      </c>
      <c r="V359" s="17">
        <v>0</v>
      </c>
      <c r="W359" s="17">
        <v>0</v>
      </c>
      <c r="X359" s="17">
        <v>16608.55</v>
      </c>
      <c r="Y359" s="17">
        <v>16608.55</v>
      </c>
      <c r="Z359" s="17">
        <v>0</v>
      </c>
      <c r="AA359" s="13" t="s">
        <v>602</v>
      </c>
      <c r="AB359" s="13" t="s">
        <v>44</v>
      </c>
      <c r="AC359" s="13" t="s">
        <v>45</v>
      </c>
      <c r="AD359" s="13" t="s">
        <v>46</v>
      </c>
      <c r="AE359" s="17">
        <v>16608.55</v>
      </c>
      <c r="AF359" s="17">
        <v>3980.99</v>
      </c>
      <c r="AG359" s="47" t="s">
        <v>876</v>
      </c>
      <c r="AH359" s="20" t="s">
        <v>814</v>
      </c>
      <c r="AI359" s="19" t="b">
        <v>0</v>
      </c>
      <c r="AJ359" s="18" t="s">
        <v>1046</v>
      </c>
      <c r="AK359" s="49" t="s">
        <v>1029</v>
      </c>
    </row>
    <row r="360" spans="1:37" x14ac:dyDescent="0.35">
      <c r="A360" s="12" t="s">
        <v>33</v>
      </c>
      <c r="B360" s="12">
        <v>100114317</v>
      </c>
      <c r="C360" s="13" t="s">
        <v>599</v>
      </c>
      <c r="D360" s="13" t="s">
        <v>600</v>
      </c>
      <c r="E360" s="12">
        <v>9700034074</v>
      </c>
      <c r="F360" s="13" t="s">
        <v>610</v>
      </c>
      <c r="G360" s="12" t="s">
        <v>37</v>
      </c>
      <c r="H360" s="14">
        <v>2507.85</v>
      </c>
      <c r="I360" s="15">
        <v>45826</v>
      </c>
      <c r="J360" s="12" t="str">
        <f t="shared" ca="1" si="6"/>
        <v>120 +</v>
      </c>
      <c r="K360" s="14">
        <v>2507.85</v>
      </c>
      <c r="L360" s="16">
        <v>45796</v>
      </c>
      <c r="M360" s="13" t="s">
        <v>38</v>
      </c>
      <c r="N360" s="13" t="s">
        <v>39</v>
      </c>
      <c r="O360" s="13" t="s">
        <v>40</v>
      </c>
      <c r="P360" s="13"/>
      <c r="Q360" s="13" t="s">
        <v>41</v>
      </c>
      <c r="R360" s="13" t="s">
        <v>42</v>
      </c>
      <c r="S360" s="17">
        <v>0</v>
      </c>
      <c r="T360" s="17">
        <v>0</v>
      </c>
      <c r="U360" s="17">
        <v>0</v>
      </c>
      <c r="V360" s="17">
        <v>0</v>
      </c>
      <c r="W360" s="17">
        <v>0</v>
      </c>
      <c r="X360" s="17">
        <v>9210.08</v>
      </c>
      <c r="Y360" s="17">
        <v>9210.08</v>
      </c>
      <c r="Z360" s="17">
        <v>0</v>
      </c>
      <c r="AA360" s="13" t="s">
        <v>602</v>
      </c>
      <c r="AB360" s="13" t="s">
        <v>44</v>
      </c>
      <c r="AC360" s="13" t="s">
        <v>45</v>
      </c>
      <c r="AD360" s="13" t="s">
        <v>46</v>
      </c>
      <c r="AE360" s="17">
        <v>9210.08</v>
      </c>
      <c r="AF360" s="17">
        <v>2242.15</v>
      </c>
      <c r="AG360" s="47" t="s">
        <v>876</v>
      </c>
      <c r="AH360" s="20" t="s">
        <v>814</v>
      </c>
      <c r="AI360" s="19" t="b">
        <v>0</v>
      </c>
      <c r="AJ360" s="18" t="s">
        <v>1046</v>
      </c>
      <c r="AK360" s="49" t="s">
        <v>1029</v>
      </c>
    </row>
    <row r="361" spans="1:37" x14ac:dyDescent="0.35">
      <c r="A361" s="12" t="s">
        <v>33</v>
      </c>
      <c r="B361" s="12">
        <v>100114317</v>
      </c>
      <c r="C361" s="13" t="s">
        <v>599</v>
      </c>
      <c r="D361" s="13" t="s">
        <v>600</v>
      </c>
      <c r="E361" s="12">
        <v>9700034075</v>
      </c>
      <c r="F361" s="13" t="s">
        <v>611</v>
      </c>
      <c r="G361" s="12" t="s">
        <v>37</v>
      </c>
      <c r="H361" s="14">
        <v>2482.61</v>
      </c>
      <c r="I361" s="15">
        <v>45826</v>
      </c>
      <c r="J361" s="12" t="str">
        <f t="shared" ca="1" si="6"/>
        <v>120 +</v>
      </c>
      <c r="K361" s="14">
        <v>2482.61</v>
      </c>
      <c r="L361" s="16">
        <v>45796</v>
      </c>
      <c r="M361" s="13" t="s">
        <v>38</v>
      </c>
      <c r="N361" s="13" t="s">
        <v>39</v>
      </c>
      <c r="O361" s="13" t="s">
        <v>40</v>
      </c>
      <c r="P361" s="13"/>
      <c r="Q361" s="13" t="s">
        <v>41</v>
      </c>
      <c r="R361" s="13" t="s">
        <v>42</v>
      </c>
      <c r="S361" s="17">
        <v>0</v>
      </c>
      <c r="T361" s="17">
        <v>0</v>
      </c>
      <c r="U361" s="17">
        <v>0</v>
      </c>
      <c r="V361" s="17">
        <v>0</v>
      </c>
      <c r="W361" s="17">
        <v>0</v>
      </c>
      <c r="X361" s="17">
        <v>9117.39</v>
      </c>
      <c r="Y361" s="17">
        <v>9117.39</v>
      </c>
      <c r="Z361" s="17">
        <v>0</v>
      </c>
      <c r="AA361" s="13" t="s">
        <v>608</v>
      </c>
      <c r="AB361" s="13" t="s">
        <v>44</v>
      </c>
      <c r="AC361" s="13" t="s">
        <v>45</v>
      </c>
      <c r="AD361" s="13" t="s">
        <v>46</v>
      </c>
      <c r="AE361" s="17">
        <v>9117.39</v>
      </c>
      <c r="AF361" s="17">
        <v>2219.59</v>
      </c>
      <c r="AG361" s="47" t="s">
        <v>882</v>
      </c>
      <c r="AH361" s="20" t="s">
        <v>814</v>
      </c>
      <c r="AI361" s="19" t="b">
        <v>0</v>
      </c>
      <c r="AJ361" s="18" t="s">
        <v>1046</v>
      </c>
      <c r="AK361" s="49" t="s">
        <v>1029</v>
      </c>
    </row>
    <row r="362" spans="1:37" x14ac:dyDescent="0.35">
      <c r="A362" s="12" t="s">
        <v>33</v>
      </c>
      <c r="B362" s="12">
        <v>100114317</v>
      </c>
      <c r="C362" s="13" t="s">
        <v>599</v>
      </c>
      <c r="D362" s="13" t="s">
        <v>600</v>
      </c>
      <c r="E362" s="12">
        <v>9700034713</v>
      </c>
      <c r="F362" s="13" t="s">
        <v>612</v>
      </c>
      <c r="G362" s="12" t="s">
        <v>37</v>
      </c>
      <c r="H362" s="14">
        <v>910.41</v>
      </c>
      <c r="I362" s="15">
        <v>45828</v>
      </c>
      <c r="J362" s="12" t="str">
        <f t="shared" ca="1" si="6"/>
        <v>120 +</v>
      </c>
      <c r="K362" s="14">
        <v>910.41</v>
      </c>
      <c r="L362" s="16">
        <v>45798</v>
      </c>
      <c r="M362" s="13" t="s">
        <v>38</v>
      </c>
      <c r="N362" s="13" t="s">
        <v>39</v>
      </c>
      <c r="O362" s="13" t="s">
        <v>40</v>
      </c>
      <c r="P362" s="13"/>
      <c r="Q362" s="13" t="s">
        <v>41</v>
      </c>
      <c r="R362" s="13" t="s">
        <v>42</v>
      </c>
      <c r="S362" s="17">
        <v>0</v>
      </c>
      <c r="T362" s="17">
        <v>0</v>
      </c>
      <c r="U362" s="17">
        <v>0</v>
      </c>
      <c r="V362" s="17">
        <v>0</v>
      </c>
      <c r="W362" s="17">
        <v>0</v>
      </c>
      <c r="X362" s="17">
        <v>3343.48</v>
      </c>
      <c r="Y362" s="17">
        <v>3343.48</v>
      </c>
      <c r="Z362" s="17">
        <v>0</v>
      </c>
      <c r="AA362" s="13" t="s">
        <v>602</v>
      </c>
      <c r="AB362" s="13" t="s">
        <v>44</v>
      </c>
      <c r="AC362" s="13" t="s">
        <v>45</v>
      </c>
      <c r="AD362" s="13" t="s">
        <v>46</v>
      </c>
      <c r="AE362" s="17">
        <v>3343.48</v>
      </c>
      <c r="AF362" s="17">
        <v>813.3</v>
      </c>
      <c r="AG362" s="47" t="s">
        <v>876</v>
      </c>
      <c r="AH362" s="20" t="s">
        <v>814</v>
      </c>
      <c r="AI362" s="19" t="b">
        <v>0</v>
      </c>
      <c r="AJ362" s="18" t="s">
        <v>1046</v>
      </c>
      <c r="AK362" s="49" t="s">
        <v>1029</v>
      </c>
    </row>
    <row r="363" spans="1:37" x14ac:dyDescent="0.35">
      <c r="A363" s="12" t="s">
        <v>33</v>
      </c>
      <c r="B363" s="12">
        <v>100114317</v>
      </c>
      <c r="C363" s="13" t="s">
        <v>599</v>
      </c>
      <c r="D363" s="13" t="s">
        <v>600</v>
      </c>
      <c r="E363" s="12">
        <v>9700035140</v>
      </c>
      <c r="F363" s="13" t="s">
        <v>613</v>
      </c>
      <c r="G363" s="12" t="s">
        <v>37</v>
      </c>
      <c r="H363" s="14">
        <v>6327.51</v>
      </c>
      <c r="I363" s="15">
        <v>45828</v>
      </c>
      <c r="J363" s="12" t="str">
        <f t="shared" ca="1" si="6"/>
        <v>120 +</v>
      </c>
      <c r="K363" s="14">
        <v>6327.51</v>
      </c>
      <c r="L363" s="16">
        <v>45798</v>
      </c>
      <c r="M363" s="13" t="s">
        <v>38</v>
      </c>
      <c r="N363" s="13" t="s">
        <v>39</v>
      </c>
      <c r="O363" s="13" t="s">
        <v>40</v>
      </c>
      <c r="P363" s="13"/>
      <c r="Q363" s="13" t="s">
        <v>41</v>
      </c>
      <c r="R363" s="13" t="s">
        <v>42</v>
      </c>
      <c r="S363" s="17">
        <v>0</v>
      </c>
      <c r="T363" s="17">
        <v>0</v>
      </c>
      <c r="U363" s="17">
        <v>0</v>
      </c>
      <c r="V363" s="17">
        <v>0</v>
      </c>
      <c r="W363" s="17">
        <v>0</v>
      </c>
      <c r="X363" s="17">
        <v>23237.78</v>
      </c>
      <c r="Y363" s="17">
        <v>23237.78</v>
      </c>
      <c r="Z363" s="17">
        <v>0</v>
      </c>
      <c r="AA363" s="13" t="s">
        <v>602</v>
      </c>
      <c r="AB363" s="13" t="s">
        <v>44</v>
      </c>
      <c r="AC363" s="13" t="s">
        <v>45</v>
      </c>
      <c r="AD363" s="13" t="s">
        <v>46</v>
      </c>
      <c r="AE363" s="17">
        <v>23237.78</v>
      </c>
      <c r="AF363" s="17">
        <v>5652.59</v>
      </c>
      <c r="AG363" s="47" t="s">
        <v>876</v>
      </c>
      <c r="AH363" s="20" t="s">
        <v>814</v>
      </c>
      <c r="AI363" s="19" t="b">
        <v>0</v>
      </c>
      <c r="AJ363" s="18" t="s">
        <v>1046</v>
      </c>
      <c r="AK363" s="49" t="s">
        <v>1029</v>
      </c>
    </row>
    <row r="364" spans="1:37" x14ac:dyDescent="0.35">
      <c r="A364" s="12" t="s">
        <v>33</v>
      </c>
      <c r="B364" s="12">
        <v>100114317</v>
      </c>
      <c r="C364" s="13" t="s">
        <v>599</v>
      </c>
      <c r="D364" s="13" t="s">
        <v>600</v>
      </c>
      <c r="E364" s="12">
        <v>9700041234</v>
      </c>
      <c r="F364" s="13" t="s">
        <v>614</v>
      </c>
      <c r="G364" s="12" t="s">
        <v>37</v>
      </c>
      <c r="H364" s="14">
        <v>2634.82</v>
      </c>
      <c r="I364" s="15">
        <v>45856</v>
      </c>
      <c r="J364" s="12" t="str">
        <f t="shared" ca="1" si="6"/>
        <v>120 +</v>
      </c>
      <c r="K364" s="14">
        <v>2634.82</v>
      </c>
      <c r="L364" s="16">
        <v>45826</v>
      </c>
      <c r="M364" s="13" t="s">
        <v>38</v>
      </c>
      <c r="N364" s="13" t="s">
        <v>39</v>
      </c>
      <c r="O364" s="13" t="s">
        <v>40</v>
      </c>
      <c r="P364" s="13"/>
      <c r="Q364" s="13" t="s">
        <v>41</v>
      </c>
      <c r="R364" s="13" t="s">
        <v>42</v>
      </c>
      <c r="S364" s="17">
        <v>0</v>
      </c>
      <c r="T364" s="17">
        <v>0</v>
      </c>
      <c r="U364" s="17">
        <v>0</v>
      </c>
      <c r="V364" s="17">
        <v>0</v>
      </c>
      <c r="W364" s="17">
        <v>0</v>
      </c>
      <c r="X364" s="17">
        <v>9676.3799999999992</v>
      </c>
      <c r="Y364" s="17">
        <v>9676.3799999999992</v>
      </c>
      <c r="Z364" s="17">
        <v>0</v>
      </c>
      <c r="AA364" s="13" t="s">
        <v>602</v>
      </c>
      <c r="AB364" s="13" t="s">
        <v>44</v>
      </c>
      <c r="AC364" s="13" t="s">
        <v>45</v>
      </c>
      <c r="AD364" s="13" t="s">
        <v>46</v>
      </c>
      <c r="AE364" s="17">
        <v>9676.3799999999992</v>
      </c>
      <c r="AF364" s="17">
        <v>2276.5</v>
      </c>
      <c r="AG364" s="47" t="s">
        <v>876</v>
      </c>
      <c r="AH364" s="20" t="s">
        <v>815</v>
      </c>
      <c r="AI364" s="19" t="b">
        <v>0</v>
      </c>
      <c r="AJ364" s="18" t="s">
        <v>874</v>
      </c>
      <c r="AK364" s="49" t="s">
        <v>815</v>
      </c>
    </row>
    <row r="365" spans="1:37" x14ac:dyDescent="0.35">
      <c r="A365" s="12" t="s">
        <v>33</v>
      </c>
      <c r="B365" s="12">
        <v>100114317</v>
      </c>
      <c r="C365" s="13" t="s">
        <v>599</v>
      </c>
      <c r="D365" s="13" t="s">
        <v>600</v>
      </c>
      <c r="E365" s="12">
        <v>9700051138</v>
      </c>
      <c r="F365" s="13" t="s">
        <v>615</v>
      </c>
      <c r="G365" s="12" t="s">
        <v>37</v>
      </c>
      <c r="H365" s="14">
        <v>2621.65</v>
      </c>
      <c r="I365" s="15">
        <v>45896</v>
      </c>
      <c r="J365" s="12" t="str">
        <f t="shared" ca="1" si="6"/>
        <v>120 +</v>
      </c>
      <c r="K365" s="14">
        <v>2621.65</v>
      </c>
      <c r="L365" s="16">
        <v>45866</v>
      </c>
      <c r="M365" s="13" t="s">
        <v>38</v>
      </c>
      <c r="N365" s="13" t="s">
        <v>39</v>
      </c>
      <c r="O365" s="13" t="s">
        <v>40</v>
      </c>
      <c r="P365" s="13"/>
      <c r="Q365" s="13" t="s">
        <v>41</v>
      </c>
      <c r="R365" s="13" t="s">
        <v>42</v>
      </c>
      <c r="S365" s="17">
        <v>0</v>
      </c>
      <c r="T365" s="17">
        <v>0</v>
      </c>
      <c r="U365" s="17">
        <v>0</v>
      </c>
      <c r="V365" s="17">
        <v>0</v>
      </c>
      <c r="W365" s="17">
        <v>0</v>
      </c>
      <c r="X365" s="17">
        <v>9628.01</v>
      </c>
      <c r="Y365" s="17">
        <v>9628.01</v>
      </c>
      <c r="Z365" s="17">
        <v>0</v>
      </c>
      <c r="AA365" s="13" t="s">
        <v>602</v>
      </c>
      <c r="AB365" s="13" t="s">
        <v>44</v>
      </c>
      <c r="AC365" s="13" t="s">
        <v>45</v>
      </c>
      <c r="AD365" s="13" t="s">
        <v>46</v>
      </c>
      <c r="AE365" s="17">
        <v>9628.01</v>
      </c>
      <c r="AF365" s="17">
        <v>2236.14</v>
      </c>
      <c r="AG365" s="47" t="s">
        <v>876</v>
      </c>
      <c r="AH365" s="20" t="s">
        <v>815</v>
      </c>
      <c r="AI365" s="19" t="b">
        <v>0</v>
      </c>
      <c r="AJ365" s="18" t="s">
        <v>874</v>
      </c>
      <c r="AK365" s="49" t="s">
        <v>815</v>
      </c>
    </row>
    <row r="366" spans="1:37" x14ac:dyDescent="0.35">
      <c r="A366" s="12" t="s">
        <v>33</v>
      </c>
      <c r="B366" s="12">
        <v>100114317</v>
      </c>
      <c r="C366" s="13" t="s">
        <v>599</v>
      </c>
      <c r="D366" s="13" t="s">
        <v>600</v>
      </c>
      <c r="E366" s="12">
        <v>9700051376</v>
      </c>
      <c r="F366" s="13" t="s">
        <v>616</v>
      </c>
      <c r="G366" s="12" t="s">
        <v>37</v>
      </c>
      <c r="H366" s="14">
        <v>-652.42999999999995</v>
      </c>
      <c r="I366" s="15">
        <v>45896</v>
      </c>
      <c r="J366" s="12" t="str">
        <f t="shared" ca="1" si="6"/>
        <v>120 +</v>
      </c>
      <c r="K366" s="14">
        <v>-652.42999999999995</v>
      </c>
      <c r="L366" s="16">
        <v>45866</v>
      </c>
      <c r="M366" s="13" t="s">
        <v>38</v>
      </c>
      <c r="N366" s="13" t="s">
        <v>39</v>
      </c>
      <c r="O366" s="13" t="s">
        <v>40</v>
      </c>
      <c r="P366" s="13" t="s">
        <v>62</v>
      </c>
      <c r="Q366" s="13" t="s">
        <v>41</v>
      </c>
      <c r="R366" s="13" t="s">
        <v>42</v>
      </c>
      <c r="S366" s="17">
        <v>-2396.0500000000002</v>
      </c>
      <c r="T366" s="17">
        <v>0</v>
      </c>
      <c r="U366" s="17">
        <v>0</v>
      </c>
      <c r="V366" s="17">
        <v>0</v>
      </c>
      <c r="W366" s="17">
        <v>0</v>
      </c>
      <c r="X366" s="17">
        <v>0</v>
      </c>
      <c r="Y366" s="17">
        <v>0</v>
      </c>
      <c r="Z366" s="17">
        <v>0</v>
      </c>
      <c r="AA366" s="13"/>
      <c r="AB366" s="13" t="s">
        <v>44</v>
      </c>
      <c r="AC366" s="13" t="s">
        <v>45</v>
      </c>
      <c r="AD366" s="13" t="s">
        <v>46</v>
      </c>
      <c r="AE366" s="17">
        <v>-2396.0500000000002</v>
      </c>
      <c r="AF366" s="17">
        <v>-556.49</v>
      </c>
      <c r="AG366" s="47" t="e">
        <v>#N/A</v>
      </c>
      <c r="AH366" s="20" t="s">
        <v>814</v>
      </c>
      <c r="AI366" s="19" t="b">
        <v>0</v>
      </c>
      <c r="AJ366" s="18" t="s">
        <v>1046</v>
      </c>
      <c r="AK366" s="49" t="s">
        <v>1029</v>
      </c>
    </row>
    <row r="367" spans="1:37" ht="16.5" x14ac:dyDescent="0.4">
      <c r="A367" s="3"/>
      <c r="B367" s="3"/>
      <c r="C367" s="4"/>
      <c r="D367" s="4" t="s">
        <v>600</v>
      </c>
      <c r="E367" s="3"/>
      <c r="F367" s="4"/>
      <c r="G367" s="4"/>
      <c r="H367" s="43">
        <f>SUM(H355:H366)</f>
        <v>46603.99</v>
      </c>
      <c r="I367" s="5"/>
      <c r="J367" s="45" t="str">
        <f t="shared" ca="1" si="6"/>
        <v/>
      </c>
      <c r="K367" s="43">
        <f>SUM(K355:K366)</f>
        <v>46603.99</v>
      </c>
      <c r="L367" s="9"/>
      <c r="M367" s="4"/>
      <c r="N367" s="4"/>
      <c r="O367" s="4"/>
      <c r="P367" s="4"/>
      <c r="Q367" s="4"/>
      <c r="R367" s="4" t="s">
        <v>42</v>
      </c>
      <c r="S367" s="6">
        <v>-2396.0500000000002</v>
      </c>
      <c r="T367" s="6">
        <v>13086.48</v>
      </c>
      <c r="U367" s="6">
        <v>9190.9500000000007</v>
      </c>
      <c r="V367" s="6">
        <v>0</v>
      </c>
      <c r="W367" s="6">
        <v>0</v>
      </c>
      <c r="X367" s="7"/>
      <c r="Y367" s="7"/>
      <c r="Z367" s="6">
        <v>0</v>
      </c>
      <c r="AA367" s="4"/>
      <c r="AB367" s="4"/>
      <c r="AC367" s="4"/>
      <c r="AD367" s="4"/>
      <c r="AE367" s="6">
        <v>171153.17</v>
      </c>
      <c r="AF367" s="6">
        <v>40927.620000000003</v>
      </c>
      <c r="AG367" s="48"/>
      <c r="AH367" s="44" cm="1">
        <f t="array" ref="AH367">IFERROR(SUMPRODUCT(AF355:AF366*--(((AI355:AI366=TRUE)+(AI355:AI366=1))&gt;0)),0)</f>
        <v>3028.27</v>
      </c>
      <c r="AI367" s="54">
        <f>SUMIF(AI355:AI366,TRUE,H355:H366)/H367</f>
        <v>7.6460620646429625E-2</v>
      </c>
      <c r="AJ367" s="6"/>
      <c r="AK367" s="50"/>
    </row>
    <row r="368" spans="1:37" x14ac:dyDescent="0.35">
      <c r="A368" s="12" t="s">
        <v>33</v>
      </c>
      <c r="B368" s="12">
        <v>100115027</v>
      </c>
      <c r="C368" s="13" t="s">
        <v>617</v>
      </c>
      <c r="D368" s="13" t="s">
        <v>618</v>
      </c>
      <c r="E368" s="12">
        <v>9700001968</v>
      </c>
      <c r="F368" s="13" t="s">
        <v>619</v>
      </c>
      <c r="G368" s="12" t="s">
        <v>37</v>
      </c>
      <c r="H368" s="14">
        <v>157.82</v>
      </c>
      <c r="I368" s="15">
        <v>46064</v>
      </c>
      <c r="J368" s="12" t="str">
        <f t="shared" ca="1" si="6"/>
        <v>61-90</v>
      </c>
      <c r="K368" s="14">
        <v>157.82</v>
      </c>
      <c r="L368" s="16">
        <v>46034</v>
      </c>
      <c r="M368" s="13" t="s">
        <v>38</v>
      </c>
      <c r="N368" s="13" t="s">
        <v>39</v>
      </c>
      <c r="O368" s="13" t="s">
        <v>40</v>
      </c>
      <c r="P368" s="13"/>
      <c r="Q368" s="13" t="s">
        <v>41</v>
      </c>
      <c r="R368" s="13" t="s">
        <v>42</v>
      </c>
      <c r="S368" s="17">
        <v>0</v>
      </c>
      <c r="T368" s="17">
        <v>0</v>
      </c>
      <c r="U368" s="17">
        <v>579.59</v>
      </c>
      <c r="V368" s="17">
        <v>0</v>
      </c>
      <c r="W368" s="17">
        <v>0</v>
      </c>
      <c r="X368" s="17">
        <v>0</v>
      </c>
      <c r="Y368" s="17">
        <v>579.59</v>
      </c>
      <c r="Z368" s="17">
        <v>0</v>
      </c>
      <c r="AA368" s="13" t="s">
        <v>620</v>
      </c>
      <c r="AB368" s="13" t="s">
        <v>44</v>
      </c>
      <c r="AC368" s="13" t="s">
        <v>45</v>
      </c>
      <c r="AD368" s="13" t="s">
        <v>46</v>
      </c>
      <c r="AE368" s="17">
        <v>579.59</v>
      </c>
      <c r="AF368" s="17">
        <v>135.18</v>
      </c>
      <c r="AG368" s="47" t="s">
        <v>876</v>
      </c>
      <c r="AH368" s="20" t="s">
        <v>816</v>
      </c>
      <c r="AI368" s="19" t="b">
        <v>0</v>
      </c>
      <c r="AJ368" s="18" t="s">
        <v>875</v>
      </c>
      <c r="AK368" s="49" t="s">
        <v>1030</v>
      </c>
    </row>
    <row r="369" spans="1:37" x14ac:dyDescent="0.35">
      <c r="A369" s="12" t="s">
        <v>33</v>
      </c>
      <c r="B369" s="12">
        <v>100115027</v>
      </c>
      <c r="C369" s="13" t="s">
        <v>617</v>
      </c>
      <c r="D369" s="13" t="s">
        <v>618</v>
      </c>
      <c r="E369" s="12">
        <v>9700003855</v>
      </c>
      <c r="F369" s="13" t="s">
        <v>621</v>
      </c>
      <c r="G369" s="12" t="s">
        <v>37</v>
      </c>
      <c r="H369" s="14">
        <v>163.6</v>
      </c>
      <c r="I369" s="15">
        <v>46071</v>
      </c>
      <c r="J369" s="12" t="str">
        <f t="shared" ca="1" si="6"/>
        <v>61-90</v>
      </c>
      <c r="K369" s="14">
        <v>163.6</v>
      </c>
      <c r="L369" s="16">
        <v>46041</v>
      </c>
      <c r="M369" s="13" t="s">
        <v>38</v>
      </c>
      <c r="N369" s="13" t="s">
        <v>39</v>
      </c>
      <c r="O369" s="13" t="s">
        <v>40</v>
      </c>
      <c r="P369" s="13"/>
      <c r="Q369" s="13" t="s">
        <v>41</v>
      </c>
      <c r="R369" s="13" t="s">
        <v>42</v>
      </c>
      <c r="S369" s="17">
        <v>0</v>
      </c>
      <c r="T369" s="17">
        <v>0</v>
      </c>
      <c r="U369" s="17">
        <v>600.82000000000005</v>
      </c>
      <c r="V369" s="17">
        <v>0</v>
      </c>
      <c r="W369" s="17">
        <v>0</v>
      </c>
      <c r="X369" s="17">
        <v>0</v>
      </c>
      <c r="Y369" s="17">
        <v>600.82000000000005</v>
      </c>
      <c r="Z369" s="17">
        <v>0</v>
      </c>
      <c r="AA369" s="13" t="s">
        <v>620</v>
      </c>
      <c r="AB369" s="13" t="s">
        <v>44</v>
      </c>
      <c r="AC369" s="13" t="s">
        <v>45</v>
      </c>
      <c r="AD369" s="13" t="s">
        <v>46</v>
      </c>
      <c r="AE369" s="17">
        <v>600.82000000000005</v>
      </c>
      <c r="AF369" s="17">
        <v>140.41999999999999</v>
      </c>
      <c r="AG369" s="47" t="s">
        <v>876</v>
      </c>
      <c r="AH369" s="20" t="s">
        <v>816</v>
      </c>
      <c r="AI369" s="19" t="b">
        <v>1</v>
      </c>
      <c r="AJ369" s="18" t="s">
        <v>874</v>
      </c>
      <c r="AK369" s="49" t="s">
        <v>815</v>
      </c>
    </row>
    <row r="370" spans="1:37" x14ac:dyDescent="0.35">
      <c r="A370" s="12" t="s">
        <v>33</v>
      </c>
      <c r="B370" s="12">
        <v>100115027</v>
      </c>
      <c r="C370" s="13" t="s">
        <v>617</v>
      </c>
      <c r="D370" s="13" t="s">
        <v>618</v>
      </c>
      <c r="E370" s="12">
        <v>9700022831</v>
      </c>
      <c r="F370" s="13" t="s">
        <v>622</v>
      </c>
      <c r="G370" s="12" t="s">
        <v>37</v>
      </c>
      <c r="H370" s="14">
        <v>900.52</v>
      </c>
      <c r="I370" s="15">
        <v>46130</v>
      </c>
      <c r="J370" s="12" t="str">
        <f t="shared" ca="1" si="6"/>
        <v>0-30</v>
      </c>
      <c r="K370" s="14">
        <v>900.52</v>
      </c>
      <c r="L370" s="16">
        <v>46100</v>
      </c>
      <c r="M370" s="13" t="s">
        <v>38</v>
      </c>
      <c r="N370" s="13" t="s">
        <v>39</v>
      </c>
      <c r="O370" s="13" t="s">
        <v>40</v>
      </c>
      <c r="P370" s="13"/>
      <c r="Q370" s="13" t="s">
        <v>41</v>
      </c>
      <c r="R370" s="13" t="s">
        <v>42</v>
      </c>
      <c r="S370" s="17">
        <v>3307.16</v>
      </c>
      <c r="T370" s="17">
        <v>0</v>
      </c>
      <c r="U370" s="17">
        <v>0</v>
      </c>
      <c r="V370" s="17">
        <v>0</v>
      </c>
      <c r="W370" s="17">
        <v>0</v>
      </c>
      <c r="X370" s="17">
        <v>0</v>
      </c>
      <c r="Y370" s="17">
        <v>0</v>
      </c>
      <c r="Z370" s="17">
        <v>0</v>
      </c>
      <c r="AA370" s="13" t="s">
        <v>623</v>
      </c>
      <c r="AB370" s="13" t="s">
        <v>44</v>
      </c>
      <c r="AC370" s="13" t="s">
        <v>45</v>
      </c>
      <c r="AD370" s="13" t="s">
        <v>46</v>
      </c>
      <c r="AE370" s="17">
        <v>3307.16</v>
      </c>
      <c r="AF370" s="17">
        <v>784.7</v>
      </c>
      <c r="AG370" s="47" t="s">
        <v>876</v>
      </c>
      <c r="AH370" s="20" t="e">
        <v>#N/A</v>
      </c>
      <c r="AI370" s="19" t="b">
        <v>0</v>
      </c>
      <c r="AJ370" s="18" t="s">
        <v>875</v>
      </c>
      <c r="AK370" s="49" t="s">
        <v>1030</v>
      </c>
    </row>
    <row r="371" spans="1:37" x14ac:dyDescent="0.35">
      <c r="A371" s="12" t="s">
        <v>33</v>
      </c>
      <c r="B371" s="12">
        <v>100115027</v>
      </c>
      <c r="C371" s="13" t="s">
        <v>617</v>
      </c>
      <c r="D371" s="13" t="s">
        <v>618</v>
      </c>
      <c r="E371" s="12">
        <v>9700038466</v>
      </c>
      <c r="F371" s="13" t="s">
        <v>624</v>
      </c>
      <c r="G371" s="12" t="s">
        <v>37</v>
      </c>
      <c r="H371" s="14">
        <v>3809.24</v>
      </c>
      <c r="I371" s="15">
        <v>45842</v>
      </c>
      <c r="J371" s="12" t="str">
        <f t="shared" ca="1" si="6"/>
        <v>120 +</v>
      </c>
      <c r="K371" s="14">
        <v>3809.24</v>
      </c>
      <c r="L371" s="16">
        <v>45812</v>
      </c>
      <c r="M371" s="13" t="s">
        <v>38</v>
      </c>
      <c r="N371" s="13" t="s">
        <v>39</v>
      </c>
      <c r="O371" s="13" t="s">
        <v>40</v>
      </c>
      <c r="P371" s="13"/>
      <c r="Q371" s="13" t="s">
        <v>41</v>
      </c>
      <c r="R371" s="13" t="s">
        <v>42</v>
      </c>
      <c r="S371" s="17">
        <v>0</v>
      </c>
      <c r="T371" s="17">
        <v>0</v>
      </c>
      <c r="U371" s="17">
        <v>0</v>
      </c>
      <c r="V371" s="17">
        <v>0</v>
      </c>
      <c r="W371" s="17">
        <v>0</v>
      </c>
      <c r="X371" s="17">
        <v>13989.43</v>
      </c>
      <c r="Y371" s="17">
        <v>13989.43</v>
      </c>
      <c r="Z371" s="17">
        <v>0</v>
      </c>
      <c r="AA371" s="13" t="s">
        <v>625</v>
      </c>
      <c r="AB371" s="13" t="s">
        <v>44</v>
      </c>
      <c r="AC371" s="13" t="s">
        <v>45</v>
      </c>
      <c r="AD371" s="13" t="s">
        <v>46</v>
      </c>
      <c r="AE371" s="17">
        <v>13989.43</v>
      </c>
      <c r="AF371" s="17">
        <v>3359.41</v>
      </c>
      <c r="AG371" s="47" t="s">
        <v>883</v>
      </c>
      <c r="AH371" s="20" t="s">
        <v>816</v>
      </c>
      <c r="AI371" s="19" t="b">
        <v>1</v>
      </c>
      <c r="AJ371" s="18" t="s">
        <v>874</v>
      </c>
      <c r="AK371" s="49" t="s">
        <v>815</v>
      </c>
    </row>
    <row r="372" spans="1:37" x14ac:dyDescent="0.35">
      <c r="A372" s="12" t="s">
        <v>33</v>
      </c>
      <c r="B372" s="12">
        <v>100115027</v>
      </c>
      <c r="C372" s="13" t="s">
        <v>617</v>
      </c>
      <c r="D372" s="13" t="s">
        <v>618</v>
      </c>
      <c r="E372" s="12">
        <v>9700038476</v>
      </c>
      <c r="F372" s="13" t="s">
        <v>626</v>
      </c>
      <c r="G372" s="12" t="s">
        <v>37</v>
      </c>
      <c r="H372" s="14">
        <v>1780.6</v>
      </c>
      <c r="I372" s="15">
        <v>45842</v>
      </c>
      <c r="J372" s="12" t="str">
        <f t="shared" ca="1" si="6"/>
        <v>120 +</v>
      </c>
      <c r="K372" s="14">
        <v>1780.6</v>
      </c>
      <c r="L372" s="16">
        <v>45812</v>
      </c>
      <c r="M372" s="13" t="s">
        <v>38</v>
      </c>
      <c r="N372" s="13" t="s">
        <v>39</v>
      </c>
      <c r="O372" s="13" t="s">
        <v>40</v>
      </c>
      <c r="P372" s="13"/>
      <c r="Q372" s="13" t="s">
        <v>41</v>
      </c>
      <c r="R372" s="13" t="s">
        <v>42</v>
      </c>
      <c r="S372" s="17">
        <v>0</v>
      </c>
      <c r="T372" s="17">
        <v>0</v>
      </c>
      <c r="U372" s="17">
        <v>0</v>
      </c>
      <c r="V372" s="17">
        <v>0</v>
      </c>
      <c r="W372" s="17">
        <v>0</v>
      </c>
      <c r="X372" s="17">
        <v>6539.25</v>
      </c>
      <c r="Y372" s="17">
        <v>6539.25</v>
      </c>
      <c r="Z372" s="17">
        <v>0</v>
      </c>
      <c r="AA372" s="13" t="s">
        <v>627</v>
      </c>
      <c r="AB372" s="13" t="s">
        <v>44</v>
      </c>
      <c r="AC372" s="13" t="s">
        <v>45</v>
      </c>
      <c r="AD372" s="13" t="s">
        <v>46</v>
      </c>
      <c r="AE372" s="17">
        <v>6539.25</v>
      </c>
      <c r="AF372" s="17">
        <v>1570.33</v>
      </c>
      <c r="AG372" s="47" t="s">
        <v>882</v>
      </c>
      <c r="AH372" s="20" t="s">
        <v>816</v>
      </c>
      <c r="AI372" s="19" t="b">
        <v>1</v>
      </c>
      <c r="AJ372" s="18" t="s">
        <v>874</v>
      </c>
      <c r="AK372" s="49" t="s">
        <v>815</v>
      </c>
    </row>
    <row r="373" spans="1:37" x14ac:dyDescent="0.35">
      <c r="A373" s="12" t="s">
        <v>33</v>
      </c>
      <c r="B373" s="12">
        <v>100115027</v>
      </c>
      <c r="C373" s="13" t="s">
        <v>617</v>
      </c>
      <c r="D373" s="13" t="s">
        <v>618</v>
      </c>
      <c r="E373" s="12">
        <v>9700040590</v>
      </c>
      <c r="F373" s="13" t="s">
        <v>628</v>
      </c>
      <c r="G373" s="12" t="s">
        <v>37</v>
      </c>
      <c r="H373" s="14">
        <v>3157.67</v>
      </c>
      <c r="I373" s="15">
        <v>45856</v>
      </c>
      <c r="J373" s="12" t="str">
        <f t="shared" ca="1" si="6"/>
        <v>120 +</v>
      </c>
      <c r="K373" s="14">
        <v>3157.67</v>
      </c>
      <c r="L373" s="16">
        <v>45826</v>
      </c>
      <c r="M373" s="13" t="s">
        <v>38</v>
      </c>
      <c r="N373" s="13" t="s">
        <v>39</v>
      </c>
      <c r="O373" s="13" t="s">
        <v>40</v>
      </c>
      <c r="P373" s="13"/>
      <c r="Q373" s="13" t="s">
        <v>41</v>
      </c>
      <c r="R373" s="13" t="s">
        <v>42</v>
      </c>
      <c r="S373" s="17">
        <v>0</v>
      </c>
      <c r="T373" s="17">
        <v>0</v>
      </c>
      <c r="U373" s="17">
        <v>0</v>
      </c>
      <c r="V373" s="17">
        <v>0</v>
      </c>
      <c r="W373" s="17">
        <v>0</v>
      </c>
      <c r="X373" s="17">
        <v>11596.54</v>
      </c>
      <c r="Y373" s="17">
        <v>11596.54</v>
      </c>
      <c r="Z373" s="17">
        <v>0</v>
      </c>
      <c r="AA373" s="13" t="s">
        <v>620</v>
      </c>
      <c r="AB373" s="13" t="s">
        <v>44</v>
      </c>
      <c r="AC373" s="13" t="s">
        <v>45</v>
      </c>
      <c r="AD373" s="13" t="s">
        <v>46</v>
      </c>
      <c r="AE373" s="17">
        <v>11596.54</v>
      </c>
      <c r="AF373" s="17">
        <v>2742.94</v>
      </c>
      <c r="AG373" s="47" t="s">
        <v>876</v>
      </c>
      <c r="AH373" s="20" t="s">
        <v>816</v>
      </c>
      <c r="AI373" s="19" t="b">
        <v>1</v>
      </c>
      <c r="AJ373" s="18" t="s">
        <v>874</v>
      </c>
      <c r="AK373" s="49" t="s">
        <v>815</v>
      </c>
    </row>
    <row r="374" spans="1:37" x14ac:dyDescent="0.35">
      <c r="A374" s="12" t="s">
        <v>33</v>
      </c>
      <c r="B374" s="12">
        <v>100115027</v>
      </c>
      <c r="C374" s="13" t="s">
        <v>617</v>
      </c>
      <c r="D374" s="13" t="s">
        <v>618</v>
      </c>
      <c r="E374" s="12">
        <v>9700041217</v>
      </c>
      <c r="F374" s="13" t="s">
        <v>629</v>
      </c>
      <c r="G374" s="12" t="s">
        <v>37</v>
      </c>
      <c r="H374" s="14">
        <v>418.24</v>
      </c>
      <c r="I374" s="15">
        <v>45856</v>
      </c>
      <c r="J374" s="12" t="str">
        <f t="shared" ca="1" si="6"/>
        <v>120 +</v>
      </c>
      <c r="K374" s="14">
        <v>418.24</v>
      </c>
      <c r="L374" s="16">
        <v>45826</v>
      </c>
      <c r="M374" s="13" t="s">
        <v>38</v>
      </c>
      <c r="N374" s="13" t="s">
        <v>39</v>
      </c>
      <c r="O374" s="13" t="s">
        <v>40</v>
      </c>
      <c r="P374" s="13"/>
      <c r="Q374" s="13" t="s">
        <v>41</v>
      </c>
      <c r="R374" s="13" t="s">
        <v>42</v>
      </c>
      <c r="S374" s="17">
        <v>0</v>
      </c>
      <c r="T374" s="17">
        <v>0</v>
      </c>
      <c r="U374" s="17">
        <v>0</v>
      </c>
      <c r="V374" s="17">
        <v>0</v>
      </c>
      <c r="W374" s="17">
        <v>0</v>
      </c>
      <c r="X374" s="17">
        <v>1535.99</v>
      </c>
      <c r="Y374" s="17">
        <v>1535.99</v>
      </c>
      <c r="Z374" s="17">
        <v>0</v>
      </c>
      <c r="AA374" s="13" t="s">
        <v>620</v>
      </c>
      <c r="AB374" s="13" t="s">
        <v>44</v>
      </c>
      <c r="AC374" s="13" t="s">
        <v>45</v>
      </c>
      <c r="AD374" s="13" t="s">
        <v>46</v>
      </c>
      <c r="AE374" s="17">
        <v>1535.99</v>
      </c>
      <c r="AF374" s="17">
        <v>361.36</v>
      </c>
      <c r="AG374" s="47" t="s">
        <v>876</v>
      </c>
      <c r="AH374" s="20" t="s">
        <v>816</v>
      </c>
      <c r="AI374" s="19" t="b">
        <v>1</v>
      </c>
      <c r="AJ374" s="18" t="s">
        <v>874</v>
      </c>
      <c r="AK374" s="49" t="s">
        <v>815</v>
      </c>
    </row>
    <row r="375" spans="1:37" x14ac:dyDescent="0.35">
      <c r="A375" s="12" t="s">
        <v>33</v>
      </c>
      <c r="B375" s="12">
        <v>100115027</v>
      </c>
      <c r="C375" s="13" t="s">
        <v>617</v>
      </c>
      <c r="D375" s="13" t="s">
        <v>618</v>
      </c>
      <c r="E375" s="12">
        <v>9700047530</v>
      </c>
      <c r="F375" s="13" t="s">
        <v>630</v>
      </c>
      <c r="G375" s="12" t="s">
        <v>37</v>
      </c>
      <c r="H375" s="14">
        <v>389.95</v>
      </c>
      <c r="I375" s="15">
        <v>45889</v>
      </c>
      <c r="J375" s="12" t="str">
        <f t="shared" ca="1" si="6"/>
        <v>120 +</v>
      </c>
      <c r="K375" s="14">
        <v>389.95</v>
      </c>
      <c r="L375" s="16">
        <v>45859</v>
      </c>
      <c r="M375" s="13" t="s">
        <v>38</v>
      </c>
      <c r="N375" s="13" t="s">
        <v>39</v>
      </c>
      <c r="O375" s="13" t="s">
        <v>40</v>
      </c>
      <c r="P375" s="13"/>
      <c r="Q375" s="13" t="s">
        <v>41</v>
      </c>
      <c r="R375" s="13" t="s">
        <v>42</v>
      </c>
      <c r="S375" s="17">
        <v>0</v>
      </c>
      <c r="T375" s="17">
        <v>0</v>
      </c>
      <c r="U375" s="17">
        <v>0</v>
      </c>
      <c r="V375" s="17">
        <v>0</v>
      </c>
      <c r="W375" s="17">
        <v>0</v>
      </c>
      <c r="X375" s="17">
        <v>1432.09</v>
      </c>
      <c r="Y375" s="17">
        <v>1432.09</v>
      </c>
      <c r="Z375" s="17">
        <v>0</v>
      </c>
      <c r="AA375" s="13" t="s">
        <v>620</v>
      </c>
      <c r="AB375" s="13" t="s">
        <v>44</v>
      </c>
      <c r="AC375" s="13" t="s">
        <v>45</v>
      </c>
      <c r="AD375" s="13" t="s">
        <v>46</v>
      </c>
      <c r="AE375" s="17">
        <v>1432.09</v>
      </c>
      <c r="AF375" s="17">
        <v>336.11</v>
      </c>
      <c r="AG375" s="47" t="s">
        <v>876</v>
      </c>
      <c r="AH375" s="20" t="s">
        <v>816</v>
      </c>
      <c r="AI375" s="19" t="b">
        <v>1</v>
      </c>
      <c r="AJ375" s="18" t="s">
        <v>874</v>
      </c>
      <c r="AK375" s="49" t="s">
        <v>815</v>
      </c>
    </row>
    <row r="376" spans="1:37" x14ac:dyDescent="0.35">
      <c r="A376" s="12" t="s">
        <v>33</v>
      </c>
      <c r="B376" s="12">
        <v>100115027</v>
      </c>
      <c r="C376" s="13" t="s">
        <v>617</v>
      </c>
      <c r="D376" s="13" t="s">
        <v>618</v>
      </c>
      <c r="E376" s="12">
        <v>9700061833</v>
      </c>
      <c r="F376" s="13" t="s">
        <v>631</v>
      </c>
      <c r="G376" s="12" t="s">
        <v>37</v>
      </c>
      <c r="H376" s="14">
        <v>173.38</v>
      </c>
      <c r="I376" s="15">
        <v>45940</v>
      </c>
      <c r="J376" s="12" t="str">
        <f t="shared" ca="1" si="6"/>
        <v>120 +</v>
      </c>
      <c r="K376" s="14">
        <v>173.38</v>
      </c>
      <c r="L376" s="16">
        <v>45910</v>
      </c>
      <c r="M376" s="13" t="s">
        <v>38</v>
      </c>
      <c r="N376" s="13" t="s">
        <v>39</v>
      </c>
      <c r="O376" s="13" t="s">
        <v>40</v>
      </c>
      <c r="P376" s="13"/>
      <c r="Q376" s="13" t="s">
        <v>41</v>
      </c>
      <c r="R376" s="13" t="s">
        <v>42</v>
      </c>
      <c r="S376" s="17">
        <v>0</v>
      </c>
      <c r="T376" s="17">
        <v>0</v>
      </c>
      <c r="U376" s="17">
        <v>0</v>
      </c>
      <c r="V376" s="17">
        <v>0</v>
      </c>
      <c r="W376" s="17">
        <v>0</v>
      </c>
      <c r="X376" s="17">
        <v>636.74</v>
      </c>
      <c r="Y376" s="17">
        <v>636.74</v>
      </c>
      <c r="Z376" s="17">
        <v>0</v>
      </c>
      <c r="AA376" s="13" t="s">
        <v>620</v>
      </c>
      <c r="AB376" s="13" t="s">
        <v>44</v>
      </c>
      <c r="AC376" s="13" t="s">
        <v>45</v>
      </c>
      <c r="AD376" s="13" t="s">
        <v>46</v>
      </c>
      <c r="AE376" s="17">
        <v>636.74</v>
      </c>
      <c r="AF376" s="17">
        <v>147.63</v>
      </c>
      <c r="AG376" s="47" t="s">
        <v>876</v>
      </c>
      <c r="AH376" s="20" t="s">
        <v>816</v>
      </c>
      <c r="AI376" s="19" t="b">
        <v>1</v>
      </c>
      <c r="AJ376" s="18" t="s">
        <v>874</v>
      </c>
      <c r="AK376" s="49" t="s">
        <v>815</v>
      </c>
    </row>
    <row r="377" spans="1:37" x14ac:dyDescent="0.35">
      <c r="A377" s="12" t="s">
        <v>33</v>
      </c>
      <c r="B377" s="12">
        <v>100115027</v>
      </c>
      <c r="C377" s="13" t="s">
        <v>617</v>
      </c>
      <c r="D377" s="13" t="s">
        <v>618</v>
      </c>
      <c r="E377" s="12">
        <v>9700063458</v>
      </c>
      <c r="F377" s="13" t="s">
        <v>632</v>
      </c>
      <c r="G377" s="12" t="s">
        <v>37</v>
      </c>
      <c r="H377" s="14">
        <v>164.16</v>
      </c>
      <c r="I377" s="15">
        <v>45949</v>
      </c>
      <c r="J377" s="12" t="str">
        <f t="shared" ca="1" si="6"/>
        <v>120 +</v>
      </c>
      <c r="K377" s="14">
        <v>164.16</v>
      </c>
      <c r="L377" s="16">
        <v>45919</v>
      </c>
      <c r="M377" s="13" t="s">
        <v>38</v>
      </c>
      <c r="N377" s="13" t="s">
        <v>39</v>
      </c>
      <c r="O377" s="13" t="s">
        <v>40</v>
      </c>
      <c r="P377" s="13"/>
      <c r="Q377" s="13" t="s">
        <v>41</v>
      </c>
      <c r="R377" s="13" t="s">
        <v>42</v>
      </c>
      <c r="S377" s="17">
        <v>0</v>
      </c>
      <c r="T377" s="17">
        <v>0</v>
      </c>
      <c r="U377" s="17">
        <v>0</v>
      </c>
      <c r="V377" s="17">
        <v>0</v>
      </c>
      <c r="W377" s="17">
        <v>0</v>
      </c>
      <c r="X377" s="17">
        <v>602.88</v>
      </c>
      <c r="Y377" s="17">
        <v>602.88</v>
      </c>
      <c r="Z377" s="17">
        <v>0</v>
      </c>
      <c r="AA377" s="13" t="s">
        <v>620</v>
      </c>
      <c r="AB377" s="13" t="s">
        <v>44</v>
      </c>
      <c r="AC377" s="13" t="s">
        <v>45</v>
      </c>
      <c r="AD377" s="13" t="s">
        <v>46</v>
      </c>
      <c r="AE377" s="17">
        <v>602.88</v>
      </c>
      <c r="AF377" s="17">
        <v>140.09</v>
      </c>
      <c r="AG377" s="47" t="s">
        <v>876</v>
      </c>
      <c r="AH377" s="20" t="s">
        <v>816</v>
      </c>
      <c r="AI377" s="19" t="b">
        <v>1</v>
      </c>
      <c r="AJ377" s="18" t="s">
        <v>874</v>
      </c>
      <c r="AK377" s="49" t="s">
        <v>815</v>
      </c>
    </row>
    <row r="378" spans="1:37" x14ac:dyDescent="0.35">
      <c r="A378" s="12" t="s">
        <v>33</v>
      </c>
      <c r="B378" s="12">
        <v>100115027</v>
      </c>
      <c r="C378" s="13" t="s">
        <v>617</v>
      </c>
      <c r="D378" s="13" t="s">
        <v>618</v>
      </c>
      <c r="E378" s="12">
        <v>9700070523</v>
      </c>
      <c r="F378" s="13" t="s">
        <v>633</v>
      </c>
      <c r="G378" s="12" t="s">
        <v>37</v>
      </c>
      <c r="H378" s="14">
        <v>171.08</v>
      </c>
      <c r="I378" s="15">
        <v>45973</v>
      </c>
      <c r="J378" s="12" t="str">
        <f t="shared" ca="1" si="6"/>
        <v>120 +</v>
      </c>
      <c r="K378" s="14">
        <v>171.08</v>
      </c>
      <c r="L378" s="16">
        <v>45943</v>
      </c>
      <c r="M378" s="13" t="s">
        <v>38</v>
      </c>
      <c r="N378" s="13" t="s">
        <v>39</v>
      </c>
      <c r="O378" s="13" t="s">
        <v>40</v>
      </c>
      <c r="P378" s="13"/>
      <c r="Q378" s="13" t="s">
        <v>41</v>
      </c>
      <c r="R378" s="13" t="s">
        <v>42</v>
      </c>
      <c r="S378" s="17">
        <v>0</v>
      </c>
      <c r="T378" s="17">
        <v>0</v>
      </c>
      <c r="U378" s="17">
        <v>0</v>
      </c>
      <c r="V378" s="17">
        <v>0</v>
      </c>
      <c r="W378" s="17">
        <v>0</v>
      </c>
      <c r="X378" s="17">
        <v>628.29</v>
      </c>
      <c r="Y378" s="17">
        <v>628.29</v>
      </c>
      <c r="Z378" s="17">
        <v>0</v>
      </c>
      <c r="AA378" s="13" t="s">
        <v>620</v>
      </c>
      <c r="AB378" s="13" t="s">
        <v>44</v>
      </c>
      <c r="AC378" s="13" t="s">
        <v>45</v>
      </c>
      <c r="AD378" s="13" t="s">
        <v>46</v>
      </c>
      <c r="AE378" s="17">
        <v>628.29</v>
      </c>
      <c r="AF378" s="17">
        <v>147.34</v>
      </c>
      <c r="AG378" s="47" t="s">
        <v>876</v>
      </c>
      <c r="AH378" s="20" t="s">
        <v>816</v>
      </c>
      <c r="AI378" s="19" t="b">
        <v>1</v>
      </c>
      <c r="AJ378" s="18" t="s">
        <v>874</v>
      </c>
      <c r="AK378" s="49" t="s">
        <v>815</v>
      </c>
    </row>
    <row r="379" spans="1:37" x14ac:dyDescent="0.35">
      <c r="A379" s="12" t="s">
        <v>33</v>
      </c>
      <c r="B379" s="12">
        <v>100115027</v>
      </c>
      <c r="C379" s="13" t="s">
        <v>617</v>
      </c>
      <c r="D379" s="13" t="s">
        <v>618</v>
      </c>
      <c r="E379" s="12">
        <v>9700081343</v>
      </c>
      <c r="F379" s="13" t="s">
        <v>634</v>
      </c>
      <c r="G379" s="12" t="s">
        <v>37</v>
      </c>
      <c r="H379" s="14">
        <v>168.08</v>
      </c>
      <c r="I379" s="15">
        <v>46011</v>
      </c>
      <c r="J379" s="12" t="str">
        <f t="shared" ca="1" si="6"/>
        <v>120 +</v>
      </c>
      <c r="K379" s="14">
        <v>168.08</v>
      </c>
      <c r="L379" s="16">
        <v>45981</v>
      </c>
      <c r="M379" s="13" t="s">
        <v>38</v>
      </c>
      <c r="N379" s="13" t="s">
        <v>39</v>
      </c>
      <c r="O379" s="13" t="s">
        <v>40</v>
      </c>
      <c r="P379" s="13"/>
      <c r="Q379" s="13" t="s">
        <v>41</v>
      </c>
      <c r="R379" s="13" t="s">
        <v>42</v>
      </c>
      <c r="S379" s="17">
        <v>0</v>
      </c>
      <c r="T379" s="17">
        <v>0</v>
      </c>
      <c r="U379" s="17">
        <v>0</v>
      </c>
      <c r="V379" s="17">
        <v>0</v>
      </c>
      <c r="W379" s="17">
        <v>617.27</v>
      </c>
      <c r="X379" s="17">
        <v>0</v>
      </c>
      <c r="Y379" s="17">
        <v>617.27</v>
      </c>
      <c r="Z379" s="17">
        <v>0</v>
      </c>
      <c r="AA379" s="13" t="s">
        <v>620</v>
      </c>
      <c r="AB379" s="13" t="s">
        <v>44</v>
      </c>
      <c r="AC379" s="13" t="s">
        <v>45</v>
      </c>
      <c r="AD379" s="13" t="s">
        <v>46</v>
      </c>
      <c r="AE379" s="17">
        <v>617.27</v>
      </c>
      <c r="AF379" s="17">
        <v>144.97999999999999</v>
      </c>
      <c r="AG379" s="47" t="s">
        <v>876</v>
      </c>
      <c r="AH379" s="20" t="s">
        <v>816</v>
      </c>
      <c r="AI379" s="19" t="b">
        <v>1</v>
      </c>
      <c r="AJ379" s="18" t="s">
        <v>874</v>
      </c>
      <c r="AK379" s="49" t="s">
        <v>815</v>
      </c>
    </row>
    <row r="380" spans="1:37" ht="16.5" x14ac:dyDescent="0.4">
      <c r="A380" s="3"/>
      <c r="B380" s="3"/>
      <c r="C380" s="4"/>
      <c r="D380" s="4" t="s">
        <v>618</v>
      </c>
      <c r="E380" s="3"/>
      <c r="F380" s="4"/>
      <c r="G380" s="4"/>
      <c r="H380" s="43">
        <f>SUM(H368:H379)</f>
        <v>11454.34</v>
      </c>
      <c r="I380" s="5"/>
      <c r="J380" s="45" t="str">
        <f t="shared" ca="1" si="6"/>
        <v/>
      </c>
      <c r="K380" s="43">
        <f>SUM(K368:K379)</f>
        <v>11454.34</v>
      </c>
      <c r="L380" s="9"/>
      <c r="M380" s="4"/>
      <c r="N380" s="4"/>
      <c r="O380" s="4"/>
      <c r="P380" s="4"/>
      <c r="Q380" s="4"/>
      <c r="R380" s="4" t="s">
        <v>42</v>
      </c>
      <c r="S380" s="6">
        <v>3307.16</v>
      </c>
      <c r="T380" s="6">
        <v>0</v>
      </c>
      <c r="U380" s="6">
        <v>1180.4100000000001</v>
      </c>
      <c r="V380" s="6">
        <v>0</v>
      </c>
      <c r="W380" s="6">
        <v>617.27</v>
      </c>
      <c r="X380" s="7"/>
      <c r="Y380" s="7"/>
      <c r="Z380" s="6">
        <v>0</v>
      </c>
      <c r="AA380" s="4"/>
      <c r="AB380" s="4"/>
      <c r="AC380" s="4"/>
      <c r="AD380" s="4"/>
      <c r="AE380" s="6">
        <v>42066.05</v>
      </c>
      <c r="AF380" s="6">
        <v>10010.49</v>
      </c>
      <c r="AG380" s="48"/>
      <c r="AH380" s="44" cm="1">
        <f t="array" ref="AH380">IFERROR(SUMPRODUCT(AF368:AF379*--(((AI368:AI379=TRUE)+(AI368:AI379=1))&gt;0)),0)</f>
        <v>9090.6099999999988</v>
      </c>
      <c r="AI380" s="54">
        <f>SUMIF(AI368:AI379,TRUE,H368:H379)/H380</f>
        <v>0.90760358082613224</v>
      </c>
      <c r="AJ380" s="6"/>
      <c r="AK380" s="50"/>
    </row>
    <row r="381" spans="1:37" x14ac:dyDescent="0.35">
      <c r="A381" s="12" t="s">
        <v>33</v>
      </c>
      <c r="B381" s="12">
        <v>100108767</v>
      </c>
      <c r="C381" s="13" t="s">
        <v>635</v>
      </c>
      <c r="D381" s="13" t="s">
        <v>636</v>
      </c>
      <c r="E381" s="12">
        <v>9700017855</v>
      </c>
      <c r="F381" s="13" t="s">
        <v>637</v>
      </c>
      <c r="G381" s="12" t="s">
        <v>37</v>
      </c>
      <c r="H381" s="14">
        <v>6316.29</v>
      </c>
      <c r="I381" s="15">
        <v>46108</v>
      </c>
      <c r="J381" s="12" t="str">
        <f t="shared" ca="1" si="6"/>
        <v>31-60</v>
      </c>
      <c r="K381" s="14">
        <v>6316.29</v>
      </c>
      <c r="L381" s="16">
        <v>46078</v>
      </c>
      <c r="M381" s="13" t="s">
        <v>38</v>
      </c>
      <c r="N381" s="13" t="s">
        <v>39</v>
      </c>
      <c r="O381" s="13" t="s">
        <v>40</v>
      </c>
      <c r="P381" s="13"/>
      <c r="Q381" s="13" t="s">
        <v>41</v>
      </c>
      <c r="R381" s="13" t="s">
        <v>42</v>
      </c>
      <c r="S381" s="17">
        <v>0</v>
      </c>
      <c r="T381" s="17">
        <v>23196.58</v>
      </c>
      <c r="U381" s="17">
        <v>0</v>
      </c>
      <c r="V381" s="17">
        <v>0</v>
      </c>
      <c r="W381" s="17">
        <v>0</v>
      </c>
      <c r="X381" s="17">
        <v>0</v>
      </c>
      <c r="Y381" s="17">
        <v>23196.58</v>
      </c>
      <c r="Z381" s="17">
        <v>0</v>
      </c>
      <c r="AA381" s="13" t="s">
        <v>638</v>
      </c>
      <c r="AB381" s="13" t="s">
        <v>44</v>
      </c>
      <c r="AC381" s="13" t="s">
        <v>45</v>
      </c>
      <c r="AD381" s="13" t="s">
        <v>46</v>
      </c>
      <c r="AE381" s="17">
        <v>23196.58</v>
      </c>
      <c r="AF381" s="17">
        <v>5360.06</v>
      </c>
      <c r="AG381" s="47" t="s">
        <v>901</v>
      </c>
      <c r="AH381" s="20" t="s">
        <v>806</v>
      </c>
      <c r="AI381" s="19" t="b">
        <v>0</v>
      </c>
      <c r="AJ381" s="18" t="s">
        <v>865</v>
      </c>
      <c r="AK381" s="49" t="s">
        <v>806</v>
      </c>
    </row>
    <row r="382" spans="1:37" x14ac:dyDescent="0.35">
      <c r="A382" s="12" t="s">
        <v>33</v>
      </c>
      <c r="B382" s="12">
        <v>100108767</v>
      </c>
      <c r="C382" s="13" t="s">
        <v>635</v>
      </c>
      <c r="D382" s="13" t="s">
        <v>636</v>
      </c>
      <c r="E382" s="12">
        <v>9700019169</v>
      </c>
      <c r="F382" s="13" t="s">
        <v>639</v>
      </c>
      <c r="G382" s="12" t="s">
        <v>37</v>
      </c>
      <c r="H382" s="14">
        <v>3301.79</v>
      </c>
      <c r="I382" s="15">
        <v>46116</v>
      </c>
      <c r="J382" s="12" t="str">
        <f t="shared" ca="1" si="6"/>
        <v>0-30</v>
      </c>
      <c r="K382" s="14">
        <v>3301.79</v>
      </c>
      <c r="L382" s="16">
        <v>46086</v>
      </c>
      <c r="M382" s="13" t="s">
        <v>38</v>
      </c>
      <c r="N382" s="13" t="s">
        <v>39</v>
      </c>
      <c r="O382" s="13" t="s">
        <v>40</v>
      </c>
      <c r="P382" s="13"/>
      <c r="Q382" s="13" t="s">
        <v>41</v>
      </c>
      <c r="R382" s="13" t="s">
        <v>42</v>
      </c>
      <c r="S382" s="17">
        <v>12125.82</v>
      </c>
      <c r="T382" s="17">
        <v>0</v>
      </c>
      <c r="U382" s="17">
        <v>0</v>
      </c>
      <c r="V382" s="17">
        <v>0</v>
      </c>
      <c r="W382" s="17">
        <v>0</v>
      </c>
      <c r="X382" s="17">
        <v>0</v>
      </c>
      <c r="Y382" s="17">
        <v>0</v>
      </c>
      <c r="Z382" s="17">
        <v>0</v>
      </c>
      <c r="AA382" s="13" t="s">
        <v>640</v>
      </c>
      <c r="AB382" s="13" t="s">
        <v>44</v>
      </c>
      <c r="AC382" s="13" t="s">
        <v>45</v>
      </c>
      <c r="AD382" s="13" t="s">
        <v>46</v>
      </c>
      <c r="AE382" s="17">
        <v>12125.82</v>
      </c>
      <c r="AF382" s="17">
        <v>2822.53</v>
      </c>
      <c r="AG382" s="47" t="s">
        <v>876</v>
      </c>
      <c r="AH382" s="20" t="e">
        <v>#N/A</v>
      </c>
      <c r="AI382" s="19" t="b">
        <v>0</v>
      </c>
      <c r="AJ382" s="18" t="s">
        <v>865</v>
      </c>
      <c r="AK382" s="49" t="s">
        <v>806</v>
      </c>
    </row>
    <row r="383" spans="1:37" ht="16.5" x14ac:dyDescent="0.4">
      <c r="A383" s="3"/>
      <c r="B383" s="3"/>
      <c r="C383" s="4"/>
      <c r="D383" s="4" t="s">
        <v>636</v>
      </c>
      <c r="E383" s="3"/>
      <c r="F383" s="4"/>
      <c r="G383" s="4"/>
      <c r="H383" s="43">
        <f>SUM(H381:H382)</f>
        <v>9618.08</v>
      </c>
      <c r="I383" s="5"/>
      <c r="J383" s="45" t="str">
        <f t="shared" ca="1" si="6"/>
        <v/>
      </c>
      <c r="K383" s="43">
        <f>SUM(K381:K382)</f>
        <v>9618.08</v>
      </c>
      <c r="L383" s="9"/>
      <c r="M383" s="4"/>
      <c r="N383" s="4"/>
      <c r="O383" s="4"/>
      <c r="P383" s="4"/>
      <c r="Q383" s="4"/>
      <c r="R383" s="4" t="s">
        <v>42</v>
      </c>
      <c r="S383" s="6">
        <v>12125.82</v>
      </c>
      <c r="T383" s="6">
        <v>23196.58</v>
      </c>
      <c r="U383" s="6">
        <v>0</v>
      </c>
      <c r="V383" s="6">
        <v>0</v>
      </c>
      <c r="W383" s="6">
        <v>0</v>
      </c>
      <c r="X383" s="7"/>
      <c r="Y383" s="7"/>
      <c r="Z383" s="6">
        <v>0</v>
      </c>
      <c r="AA383" s="4"/>
      <c r="AB383" s="4"/>
      <c r="AC383" s="4"/>
      <c r="AD383" s="4"/>
      <c r="AE383" s="6">
        <v>35322.400000000001</v>
      </c>
      <c r="AF383" s="6">
        <v>8182.59</v>
      </c>
      <c r="AG383" s="48"/>
      <c r="AH383" s="44" cm="1">
        <f t="array" ref="AH383">IFERROR(SUMPRODUCT(AF381:AF382*--(((AI381:AI382=TRUE)+(AI381:AI382=1))&gt;0)),0)</f>
        <v>0</v>
      </c>
      <c r="AI383" s="54">
        <f>SUMIF(AI381:AI382,TRUE,H381:H382)/H383</f>
        <v>0</v>
      </c>
      <c r="AJ383" s="6"/>
      <c r="AK383" s="50"/>
    </row>
    <row r="384" spans="1:37" x14ac:dyDescent="0.35">
      <c r="A384" s="12" t="s">
        <v>33</v>
      </c>
      <c r="B384" s="12">
        <v>100114076</v>
      </c>
      <c r="C384" s="13" t="s">
        <v>641</v>
      </c>
      <c r="D384" s="13" t="s">
        <v>642</v>
      </c>
      <c r="E384" s="12">
        <v>9700002083</v>
      </c>
      <c r="F384" s="13" t="s">
        <v>643</v>
      </c>
      <c r="G384" s="12" t="s">
        <v>37</v>
      </c>
      <c r="H384" s="14">
        <v>1427.51</v>
      </c>
      <c r="I384" s="15">
        <v>46064</v>
      </c>
      <c r="J384" s="12" t="str">
        <f t="shared" ca="1" si="6"/>
        <v>61-90</v>
      </c>
      <c r="K384" s="14">
        <v>1427.51</v>
      </c>
      <c r="L384" s="16">
        <v>46034</v>
      </c>
      <c r="M384" s="13" t="s">
        <v>38</v>
      </c>
      <c r="N384" s="13" t="s">
        <v>39</v>
      </c>
      <c r="O384" s="13" t="s">
        <v>40</v>
      </c>
      <c r="P384" s="13"/>
      <c r="Q384" s="13" t="s">
        <v>41</v>
      </c>
      <c r="R384" s="13" t="s">
        <v>42</v>
      </c>
      <c r="S384" s="17">
        <v>0</v>
      </c>
      <c r="T384" s="17">
        <v>0</v>
      </c>
      <c r="U384" s="17">
        <v>5242.53</v>
      </c>
      <c r="V384" s="17">
        <v>0</v>
      </c>
      <c r="W384" s="17">
        <v>0</v>
      </c>
      <c r="X384" s="17">
        <v>0</v>
      </c>
      <c r="Y384" s="17">
        <v>5242.53</v>
      </c>
      <c r="Z384" s="17">
        <v>0</v>
      </c>
      <c r="AA384" s="13" t="s">
        <v>644</v>
      </c>
      <c r="AB384" s="13" t="s">
        <v>44</v>
      </c>
      <c r="AC384" s="13" t="s">
        <v>45</v>
      </c>
      <c r="AD384" s="13" t="s">
        <v>46</v>
      </c>
      <c r="AE384" s="17">
        <v>5242.53</v>
      </c>
      <c r="AF384" s="17">
        <v>1226.17</v>
      </c>
      <c r="AG384" s="47" t="s">
        <v>876</v>
      </c>
      <c r="AH384" s="20" t="s">
        <v>817</v>
      </c>
      <c r="AI384" s="19" t="b">
        <v>0</v>
      </c>
      <c r="AJ384" s="18" t="s">
        <v>1031</v>
      </c>
      <c r="AK384" s="49" t="s">
        <v>918</v>
      </c>
    </row>
    <row r="385" spans="1:37" x14ac:dyDescent="0.35">
      <c r="A385" s="12" t="s">
        <v>33</v>
      </c>
      <c r="B385" s="12">
        <v>100114076</v>
      </c>
      <c r="C385" s="13" t="s">
        <v>641</v>
      </c>
      <c r="D385" s="13" t="s">
        <v>642</v>
      </c>
      <c r="E385" s="12">
        <v>9700005197</v>
      </c>
      <c r="F385" s="13" t="s">
        <v>645</v>
      </c>
      <c r="G385" s="12" t="s">
        <v>37</v>
      </c>
      <c r="H385" s="14">
        <v>1196.3399999999999</v>
      </c>
      <c r="I385" s="15">
        <v>46075</v>
      </c>
      <c r="J385" s="12" t="str">
        <f t="shared" ca="1" si="6"/>
        <v>61-90</v>
      </c>
      <c r="K385" s="14">
        <v>1196.3399999999999</v>
      </c>
      <c r="L385" s="16">
        <v>46045</v>
      </c>
      <c r="M385" s="13" t="s">
        <v>38</v>
      </c>
      <c r="N385" s="13" t="s">
        <v>39</v>
      </c>
      <c r="O385" s="13" t="s">
        <v>40</v>
      </c>
      <c r="P385" s="13"/>
      <c r="Q385" s="13" t="s">
        <v>41</v>
      </c>
      <c r="R385" s="13" t="s">
        <v>42</v>
      </c>
      <c r="S385" s="17">
        <v>0</v>
      </c>
      <c r="T385" s="17">
        <v>0</v>
      </c>
      <c r="U385" s="17">
        <v>4393.5600000000004</v>
      </c>
      <c r="V385" s="17">
        <v>0</v>
      </c>
      <c r="W385" s="17">
        <v>0</v>
      </c>
      <c r="X385" s="17">
        <v>0</v>
      </c>
      <c r="Y385" s="17">
        <v>4393.5600000000004</v>
      </c>
      <c r="Z385" s="17">
        <v>0</v>
      </c>
      <c r="AA385" s="13" t="s">
        <v>644</v>
      </c>
      <c r="AB385" s="13" t="s">
        <v>44</v>
      </c>
      <c r="AC385" s="13" t="s">
        <v>45</v>
      </c>
      <c r="AD385" s="13" t="s">
        <v>46</v>
      </c>
      <c r="AE385" s="17">
        <v>4393.5600000000004</v>
      </c>
      <c r="AF385" s="17">
        <v>1028.58</v>
      </c>
      <c r="AG385" s="47" t="s">
        <v>876</v>
      </c>
      <c r="AH385" s="20" t="s">
        <v>817</v>
      </c>
      <c r="AI385" s="19" t="b">
        <v>0</v>
      </c>
      <c r="AJ385" s="18" t="s">
        <v>1031</v>
      </c>
      <c r="AK385" s="49" t="s">
        <v>918</v>
      </c>
    </row>
    <row r="386" spans="1:37" x14ac:dyDescent="0.35">
      <c r="A386" s="12" t="s">
        <v>33</v>
      </c>
      <c r="B386" s="12">
        <v>100114076</v>
      </c>
      <c r="C386" s="13" t="s">
        <v>641</v>
      </c>
      <c r="D386" s="13" t="s">
        <v>642</v>
      </c>
      <c r="E386" s="12">
        <v>9700018673</v>
      </c>
      <c r="F386" s="13" t="s">
        <v>646</v>
      </c>
      <c r="G386" s="12" t="s">
        <v>37</v>
      </c>
      <c r="H386" s="14">
        <v>1612.79</v>
      </c>
      <c r="I386" s="15">
        <v>46115</v>
      </c>
      <c r="J386" s="12" t="str">
        <f t="shared" ca="1" si="6"/>
        <v>0-30</v>
      </c>
      <c r="K386" s="14">
        <v>1612.79</v>
      </c>
      <c r="L386" s="16">
        <v>46085</v>
      </c>
      <c r="M386" s="13" t="s">
        <v>38</v>
      </c>
      <c r="N386" s="13" t="s">
        <v>39</v>
      </c>
      <c r="O386" s="13" t="s">
        <v>40</v>
      </c>
      <c r="P386" s="13"/>
      <c r="Q386" s="13" t="s">
        <v>41</v>
      </c>
      <c r="R386" s="13" t="s">
        <v>42</v>
      </c>
      <c r="S386" s="17">
        <v>5922.97</v>
      </c>
      <c r="T386" s="17">
        <v>0</v>
      </c>
      <c r="U386" s="17">
        <v>0</v>
      </c>
      <c r="V386" s="17">
        <v>0</v>
      </c>
      <c r="W386" s="17">
        <v>0</v>
      </c>
      <c r="X386" s="17">
        <v>0</v>
      </c>
      <c r="Y386" s="17">
        <v>0</v>
      </c>
      <c r="Z386" s="17">
        <v>0</v>
      </c>
      <c r="AA386" s="13" t="s">
        <v>647</v>
      </c>
      <c r="AB386" s="13" t="s">
        <v>44</v>
      </c>
      <c r="AC386" s="13" t="s">
        <v>45</v>
      </c>
      <c r="AD386" s="13" t="s">
        <v>46</v>
      </c>
      <c r="AE386" s="17">
        <v>5922.97</v>
      </c>
      <c r="AF386" s="17">
        <v>1366.19</v>
      </c>
      <c r="AG386" s="47" t="s">
        <v>902</v>
      </c>
      <c r="AH386" s="20" t="e">
        <v>#N/A</v>
      </c>
      <c r="AI386" s="19" t="b">
        <v>0</v>
      </c>
      <c r="AJ386" s="18" t="s">
        <v>1031</v>
      </c>
      <c r="AK386" s="49" t="s">
        <v>918</v>
      </c>
    </row>
    <row r="387" spans="1:37" x14ac:dyDescent="0.35">
      <c r="A387" s="12" t="s">
        <v>33</v>
      </c>
      <c r="B387" s="12">
        <v>100114076</v>
      </c>
      <c r="C387" s="13" t="s">
        <v>641</v>
      </c>
      <c r="D387" s="13" t="s">
        <v>642</v>
      </c>
      <c r="E387" s="12">
        <v>9700025715</v>
      </c>
      <c r="F387" s="13" t="s">
        <v>648</v>
      </c>
      <c r="G387" s="12" t="s">
        <v>37</v>
      </c>
      <c r="H387" s="14">
        <v>1601.41</v>
      </c>
      <c r="I387" s="15">
        <v>46141</v>
      </c>
      <c r="J387" s="12" t="str">
        <f t="shared" ca="1" si="6"/>
        <v>Current</v>
      </c>
      <c r="K387" s="14">
        <v>1601.41</v>
      </c>
      <c r="L387" s="16">
        <v>46111</v>
      </c>
      <c r="M387" s="13" t="s">
        <v>38</v>
      </c>
      <c r="N387" s="13" t="s">
        <v>39</v>
      </c>
      <c r="O387" s="13" t="s">
        <v>40</v>
      </c>
      <c r="P387" s="13"/>
      <c r="Q387" s="13" t="s">
        <v>41</v>
      </c>
      <c r="R387" s="13" t="s">
        <v>42</v>
      </c>
      <c r="S387" s="17">
        <v>5881.18</v>
      </c>
      <c r="T387" s="17">
        <v>0</v>
      </c>
      <c r="U387" s="17">
        <v>0</v>
      </c>
      <c r="V387" s="17">
        <v>0</v>
      </c>
      <c r="W387" s="17">
        <v>0</v>
      </c>
      <c r="X387" s="17">
        <v>0</v>
      </c>
      <c r="Y387" s="17">
        <v>0</v>
      </c>
      <c r="Z387" s="17">
        <v>0</v>
      </c>
      <c r="AA387" s="13" t="s">
        <v>647</v>
      </c>
      <c r="AB387" s="13" t="s">
        <v>44</v>
      </c>
      <c r="AC387" s="13" t="s">
        <v>45</v>
      </c>
      <c r="AD387" s="13" t="s">
        <v>46</v>
      </c>
      <c r="AE387" s="17">
        <v>5881.18</v>
      </c>
      <c r="AF387" s="17">
        <v>1383.87</v>
      </c>
      <c r="AG387" s="47" t="s">
        <v>902</v>
      </c>
      <c r="AH387" s="20" t="e">
        <v>#N/A</v>
      </c>
      <c r="AI387" s="19" t="b">
        <v>0</v>
      </c>
      <c r="AJ387" s="18" t="s">
        <v>1031</v>
      </c>
      <c r="AK387" s="49" t="s">
        <v>918</v>
      </c>
    </row>
    <row r="388" spans="1:37" ht="16.5" x14ac:dyDescent="0.4">
      <c r="A388" s="3"/>
      <c r="B388" s="3"/>
      <c r="C388" s="4"/>
      <c r="D388" s="4" t="s">
        <v>642</v>
      </c>
      <c r="E388" s="3"/>
      <c r="F388" s="4"/>
      <c r="G388" s="4"/>
      <c r="H388" s="43">
        <f>SUM(H384:H387)</f>
        <v>5838.0499999999993</v>
      </c>
      <c r="I388" s="5"/>
      <c r="J388" s="45" t="str">
        <f t="shared" ca="1" si="6"/>
        <v/>
      </c>
      <c r="K388" s="43">
        <f>SUM(K384:K387)</f>
        <v>5838.0499999999993</v>
      </c>
      <c r="L388" s="9"/>
      <c r="M388" s="4"/>
      <c r="N388" s="4"/>
      <c r="O388" s="4"/>
      <c r="P388" s="4"/>
      <c r="Q388" s="4"/>
      <c r="R388" s="4" t="s">
        <v>42</v>
      </c>
      <c r="S388" s="6">
        <v>11804.15</v>
      </c>
      <c r="T388" s="6">
        <v>0</v>
      </c>
      <c r="U388" s="6">
        <v>9636.09</v>
      </c>
      <c r="V388" s="6">
        <v>0</v>
      </c>
      <c r="W388" s="6">
        <v>0</v>
      </c>
      <c r="X388" s="7"/>
      <c r="Y388" s="7"/>
      <c r="Z388" s="6">
        <v>0</v>
      </c>
      <c r="AA388" s="4"/>
      <c r="AB388" s="4"/>
      <c r="AC388" s="4"/>
      <c r="AD388" s="4"/>
      <c r="AE388" s="6">
        <v>21440.240000000002</v>
      </c>
      <c r="AF388" s="6">
        <v>5004.8100000000004</v>
      </c>
      <c r="AG388" s="48"/>
      <c r="AH388" s="44" cm="1">
        <f t="array" ref="AH388">IFERROR(SUMPRODUCT(AF384:AF387*--(((AI384:AI387=TRUE)+(AI384:AI387=1))&gt;0)),0)</f>
        <v>0</v>
      </c>
      <c r="AI388" s="54">
        <f>SUMIF(AI384:AI387,TRUE,H384:H387)/H388</f>
        <v>0</v>
      </c>
      <c r="AJ388" s="6"/>
      <c r="AK388" s="50"/>
    </row>
    <row r="389" spans="1:37" x14ac:dyDescent="0.35">
      <c r="A389" s="12" t="s">
        <v>33</v>
      </c>
      <c r="B389" s="12">
        <v>100115019</v>
      </c>
      <c r="C389" s="13" t="s">
        <v>649</v>
      </c>
      <c r="D389" s="13" t="s">
        <v>650</v>
      </c>
      <c r="E389" s="12">
        <v>9700003142</v>
      </c>
      <c r="F389" s="13" t="s">
        <v>651</v>
      </c>
      <c r="G389" s="12" t="s">
        <v>37</v>
      </c>
      <c r="H389" s="14">
        <v>889.76</v>
      </c>
      <c r="I389" s="15">
        <v>46068</v>
      </c>
      <c r="J389" s="12" t="str">
        <f t="shared" ca="1" si="6"/>
        <v>61-90</v>
      </c>
      <c r="K389" s="14">
        <v>889.76</v>
      </c>
      <c r="L389" s="16">
        <v>46038</v>
      </c>
      <c r="M389" s="13" t="s">
        <v>38</v>
      </c>
      <c r="N389" s="13" t="s">
        <v>39</v>
      </c>
      <c r="O389" s="13" t="s">
        <v>40</v>
      </c>
      <c r="P389" s="13"/>
      <c r="Q389" s="13" t="s">
        <v>41</v>
      </c>
      <c r="R389" s="13" t="s">
        <v>42</v>
      </c>
      <c r="S389" s="17">
        <v>0</v>
      </c>
      <c r="T389" s="17">
        <v>0</v>
      </c>
      <c r="U389" s="17">
        <v>3267.64</v>
      </c>
      <c r="V389" s="17">
        <v>0</v>
      </c>
      <c r="W389" s="17">
        <v>0</v>
      </c>
      <c r="X389" s="17">
        <v>0</v>
      </c>
      <c r="Y389" s="17">
        <v>3267.64</v>
      </c>
      <c r="Z389" s="17">
        <v>0</v>
      </c>
      <c r="AA389" s="13" t="s">
        <v>652</v>
      </c>
      <c r="AB389" s="13" t="s">
        <v>44</v>
      </c>
      <c r="AC389" s="13" t="s">
        <v>45</v>
      </c>
      <c r="AD389" s="13" t="s">
        <v>46</v>
      </c>
      <c r="AE389" s="17">
        <v>3267.64</v>
      </c>
      <c r="AF389" s="17">
        <v>763.48</v>
      </c>
      <c r="AG389" s="47" t="s">
        <v>876</v>
      </c>
      <c r="AH389" s="20" t="s">
        <v>815</v>
      </c>
      <c r="AI389" s="19" t="b">
        <v>0</v>
      </c>
      <c r="AJ389" s="18" t="s">
        <v>874</v>
      </c>
      <c r="AK389" s="49" t="s">
        <v>815</v>
      </c>
    </row>
    <row r="390" spans="1:37" x14ac:dyDescent="0.35">
      <c r="A390" s="12" t="s">
        <v>33</v>
      </c>
      <c r="B390" s="12">
        <v>100115019</v>
      </c>
      <c r="C390" s="13" t="s">
        <v>649</v>
      </c>
      <c r="D390" s="13" t="s">
        <v>650</v>
      </c>
      <c r="E390" s="12">
        <v>9700004799</v>
      </c>
      <c r="F390" s="13" t="s">
        <v>653</v>
      </c>
      <c r="G390" s="12" t="s">
        <v>37</v>
      </c>
      <c r="H390" s="14">
        <v>965.09</v>
      </c>
      <c r="I390" s="15">
        <v>46074</v>
      </c>
      <c r="J390" s="12" t="str">
        <f t="shared" ca="1" si="6"/>
        <v>61-90</v>
      </c>
      <c r="K390" s="14">
        <v>965.09</v>
      </c>
      <c r="L390" s="16">
        <v>46044</v>
      </c>
      <c r="M390" s="13" t="s">
        <v>38</v>
      </c>
      <c r="N390" s="13" t="s">
        <v>39</v>
      </c>
      <c r="O390" s="13" t="s">
        <v>40</v>
      </c>
      <c r="P390" s="13"/>
      <c r="Q390" s="13" t="s">
        <v>41</v>
      </c>
      <c r="R390" s="13" t="s">
        <v>42</v>
      </c>
      <c r="S390" s="17">
        <v>0</v>
      </c>
      <c r="T390" s="17">
        <v>0</v>
      </c>
      <c r="U390" s="17">
        <v>3544.29</v>
      </c>
      <c r="V390" s="17">
        <v>0</v>
      </c>
      <c r="W390" s="17">
        <v>0</v>
      </c>
      <c r="X390" s="17">
        <v>0</v>
      </c>
      <c r="Y390" s="17">
        <v>3544.29</v>
      </c>
      <c r="Z390" s="17">
        <v>0</v>
      </c>
      <c r="AA390" s="13" t="s">
        <v>652</v>
      </c>
      <c r="AB390" s="13" t="s">
        <v>44</v>
      </c>
      <c r="AC390" s="13" t="s">
        <v>45</v>
      </c>
      <c r="AD390" s="13" t="s">
        <v>46</v>
      </c>
      <c r="AE390" s="17">
        <v>3544.29</v>
      </c>
      <c r="AF390" s="17">
        <v>830.76</v>
      </c>
      <c r="AG390" s="47" t="s">
        <v>876</v>
      </c>
      <c r="AH390" s="20" t="s">
        <v>815</v>
      </c>
      <c r="AI390" s="19" t="b">
        <v>0</v>
      </c>
      <c r="AJ390" s="18" t="s">
        <v>874</v>
      </c>
      <c r="AK390" s="49" t="s">
        <v>815</v>
      </c>
    </row>
    <row r="391" spans="1:37" x14ac:dyDescent="0.35">
      <c r="A391" s="12" t="s">
        <v>33</v>
      </c>
      <c r="B391" s="12">
        <v>100115019</v>
      </c>
      <c r="C391" s="13" t="s">
        <v>649</v>
      </c>
      <c r="D391" s="13" t="s">
        <v>650</v>
      </c>
      <c r="E391" s="12">
        <v>9700023088</v>
      </c>
      <c r="F391" s="13" t="s">
        <v>654</v>
      </c>
      <c r="G391" s="12" t="s">
        <v>37</v>
      </c>
      <c r="H391" s="14">
        <v>1078.48</v>
      </c>
      <c r="I391" s="15">
        <v>46130</v>
      </c>
      <c r="J391" s="12" t="str">
        <f t="shared" ca="1" si="6"/>
        <v>0-30</v>
      </c>
      <c r="K391" s="14">
        <v>1078.48</v>
      </c>
      <c r="L391" s="16">
        <v>46100</v>
      </c>
      <c r="M391" s="13" t="s">
        <v>38</v>
      </c>
      <c r="N391" s="13" t="s">
        <v>39</v>
      </c>
      <c r="O391" s="13" t="s">
        <v>40</v>
      </c>
      <c r="P391" s="13"/>
      <c r="Q391" s="13" t="s">
        <v>41</v>
      </c>
      <c r="R391" s="13" t="s">
        <v>42</v>
      </c>
      <c r="S391" s="17">
        <v>3960.72</v>
      </c>
      <c r="T391" s="17">
        <v>0</v>
      </c>
      <c r="U391" s="17">
        <v>0</v>
      </c>
      <c r="V391" s="17">
        <v>0</v>
      </c>
      <c r="W391" s="17">
        <v>0</v>
      </c>
      <c r="X391" s="17">
        <v>0</v>
      </c>
      <c r="Y391" s="17">
        <v>0</v>
      </c>
      <c r="Z391" s="17">
        <v>0</v>
      </c>
      <c r="AA391" s="13" t="s">
        <v>655</v>
      </c>
      <c r="AB391" s="13" t="s">
        <v>44</v>
      </c>
      <c r="AC391" s="13" t="s">
        <v>45</v>
      </c>
      <c r="AD391" s="13" t="s">
        <v>46</v>
      </c>
      <c r="AE391" s="17">
        <v>3960.72</v>
      </c>
      <c r="AF391" s="17">
        <v>939.61</v>
      </c>
      <c r="AG391" s="47" t="s">
        <v>876</v>
      </c>
      <c r="AH391" s="20" t="e">
        <v>#N/A</v>
      </c>
      <c r="AI391" s="19" t="b">
        <v>0</v>
      </c>
      <c r="AJ391" s="18" t="s">
        <v>865</v>
      </c>
      <c r="AK391" s="49" t="s">
        <v>806</v>
      </c>
    </row>
    <row r="392" spans="1:37" ht="16.5" x14ac:dyDescent="0.4">
      <c r="A392" s="3"/>
      <c r="B392" s="3"/>
      <c r="C392" s="4"/>
      <c r="D392" s="4" t="s">
        <v>650</v>
      </c>
      <c r="E392" s="3"/>
      <c r="F392" s="4"/>
      <c r="G392" s="4"/>
      <c r="H392" s="43">
        <f>SUM(H389:H391)</f>
        <v>2933.33</v>
      </c>
      <c r="I392" s="5"/>
      <c r="J392" s="45" t="str">
        <f t="shared" ca="1" si="6"/>
        <v/>
      </c>
      <c r="K392" s="43">
        <f>SUM(K389:K391)</f>
        <v>2933.33</v>
      </c>
      <c r="L392" s="9"/>
      <c r="M392" s="4"/>
      <c r="N392" s="4"/>
      <c r="O392" s="4"/>
      <c r="P392" s="4"/>
      <c r="Q392" s="4"/>
      <c r="R392" s="4" t="s">
        <v>42</v>
      </c>
      <c r="S392" s="6">
        <v>3960.72</v>
      </c>
      <c r="T392" s="6">
        <v>0</v>
      </c>
      <c r="U392" s="6">
        <v>6811.93</v>
      </c>
      <c r="V392" s="6">
        <v>0</v>
      </c>
      <c r="W392" s="6">
        <v>0</v>
      </c>
      <c r="X392" s="7"/>
      <c r="Y392" s="7"/>
      <c r="Z392" s="6">
        <v>0</v>
      </c>
      <c r="AA392" s="4"/>
      <c r="AB392" s="4"/>
      <c r="AC392" s="4"/>
      <c r="AD392" s="4"/>
      <c r="AE392" s="6">
        <v>10772.65</v>
      </c>
      <c r="AF392" s="6">
        <v>2533.85</v>
      </c>
      <c r="AG392" s="48"/>
      <c r="AH392" s="44" cm="1">
        <f t="array" ref="AH392">IFERROR(SUMPRODUCT(AF389:AF391*--(((AI389:AI391=TRUE)+(AI389:AI391=1))&gt;0)),0)</f>
        <v>0</v>
      </c>
      <c r="AI392" s="54">
        <f>SUMIF(AI389:AI391,TRUE,H389:H391)/H392</f>
        <v>0</v>
      </c>
      <c r="AJ392" s="6"/>
      <c r="AK392" s="50"/>
    </row>
    <row r="393" spans="1:37" x14ac:dyDescent="0.35">
      <c r="A393" s="12" t="s">
        <v>33</v>
      </c>
      <c r="B393" s="12">
        <v>100115026</v>
      </c>
      <c r="C393" s="13" t="s">
        <v>656</v>
      </c>
      <c r="D393" s="13" t="s">
        <v>657</v>
      </c>
      <c r="E393" s="12">
        <v>9700024354</v>
      </c>
      <c r="F393" s="13" t="s">
        <v>658</v>
      </c>
      <c r="G393" s="12" t="s">
        <v>37</v>
      </c>
      <c r="H393" s="14">
        <v>1447.27</v>
      </c>
      <c r="I393" s="15">
        <v>46134</v>
      </c>
      <c r="J393" s="12" t="str">
        <f t="shared" ca="1" si="6"/>
        <v>0-30</v>
      </c>
      <c r="K393" s="14">
        <v>1447.27</v>
      </c>
      <c r="L393" s="16">
        <v>46104</v>
      </c>
      <c r="M393" s="13" t="s">
        <v>38</v>
      </c>
      <c r="N393" s="13" t="s">
        <v>39</v>
      </c>
      <c r="O393" s="13" t="s">
        <v>40</v>
      </c>
      <c r="P393" s="13"/>
      <c r="Q393" s="13" t="s">
        <v>41</v>
      </c>
      <c r="R393" s="13" t="s">
        <v>42</v>
      </c>
      <c r="S393" s="17">
        <v>5315.1</v>
      </c>
      <c r="T393" s="17">
        <v>0</v>
      </c>
      <c r="U393" s="17">
        <v>0</v>
      </c>
      <c r="V393" s="17">
        <v>0</v>
      </c>
      <c r="W393" s="17">
        <v>0</v>
      </c>
      <c r="X393" s="17">
        <v>0</v>
      </c>
      <c r="Y393" s="17">
        <v>0</v>
      </c>
      <c r="Z393" s="17">
        <v>0</v>
      </c>
      <c r="AA393" s="13" t="s">
        <v>659</v>
      </c>
      <c r="AB393" s="13" t="s">
        <v>44</v>
      </c>
      <c r="AC393" s="13" t="s">
        <v>45</v>
      </c>
      <c r="AD393" s="13" t="s">
        <v>46</v>
      </c>
      <c r="AE393" s="17">
        <v>5315.1</v>
      </c>
      <c r="AF393" s="17">
        <v>1252.51</v>
      </c>
      <c r="AG393" s="47" t="s">
        <v>903</v>
      </c>
      <c r="AH393" s="20" t="e">
        <v>#N/A</v>
      </c>
      <c r="AI393" s="19" t="b">
        <v>1</v>
      </c>
      <c r="AJ393" s="18" t="s">
        <v>874</v>
      </c>
      <c r="AK393" s="49" t="s">
        <v>815</v>
      </c>
    </row>
    <row r="394" spans="1:37" x14ac:dyDescent="0.35">
      <c r="A394" s="12" t="s">
        <v>33</v>
      </c>
      <c r="B394" s="12">
        <v>100115026</v>
      </c>
      <c r="C394" s="13" t="s">
        <v>656</v>
      </c>
      <c r="D394" s="13" t="s">
        <v>657</v>
      </c>
      <c r="E394" s="12">
        <v>9700025345</v>
      </c>
      <c r="F394" s="13" t="s">
        <v>660</v>
      </c>
      <c r="G394" s="12" t="s">
        <v>37</v>
      </c>
      <c r="H394" s="14">
        <v>19916.66</v>
      </c>
      <c r="I394" s="15">
        <v>46136</v>
      </c>
      <c r="J394" s="12" t="str">
        <f t="shared" ca="1" si="6"/>
        <v>0-30</v>
      </c>
      <c r="K394" s="14">
        <v>19916.66</v>
      </c>
      <c r="L394" s="16">
        <v>46106</v>
      </c>
      <c r="M394" s="13" t="s">
        <v>38</v>
      </c>
      <c r="N394" s="13" t="s">
        <v>39</v>
      </c>
      <c r="O394" s="13" t="s">
        <v>40</v>
      </c>
      <c r="P394" s="13"/>
      <c r="Q394" s="13" t="s">
        <v>41</v>
      </c>
      <c r="R394" s="13" t="s">
        <v>42</v>
      </c>
      <c r="S394" s="17">
        <v>73143.929999999993</v>
      </c>
      <c r="T394" s="17">
        <v>0</v>
      </c>
      <c r="U394" s="17">
        <v>0</v>
      </c>
      <c r="V394" s="17">
        <v>0</v>
      </c>
      <c r="W394" s="17">
        <v>0</v>
      </c>
      <c r="X394" s="17">
        <v>0</v>
      </c>
      <c r="Y394" s="17">
        <v>0</v>
      </c>
      <c r="Z394" s="17">
        <v>0</v>
      </c>
      <c r="AA394" s="13" t="s">
        <v>661</v>
      </c>
      <c r="AB394" s="13" t="s">
        <v>44</v>
      </c>
      <c r="AC394" s="13" t="s">
        <v>45</v>
      </c>
      <c r="AD394" s="13" t="s">
        <v>46</v>
      </c>
      <c r="AE394" s="17">
        <v>73143.929999999993</v>
      </c>
      <c r="AF394" s="17">
        <v>17175.46</v>
      </c>
      <c r="AG394" s="47" t="s">
        <v>904</v>
      </c>
      <c r="AH394" s="20" t="e">
        <v>#N/A</v>
      </c>
      <c r="AI394" s="19" t="b">
        <v>0</v>
      </c>
      <c r="AJ394" s="18" t="s">
        <v>788</v>
      </c>
      <c r="AK394" s="49" t="s">
        <v>788</v>
      </c>
    </row>
    <row r="395" spans="1:37" x14ac:dyDescent="0.35">
      <c r="A395" s="12" t="s">
        <v>33</v>
      </c>
      <c r="B395" s="12">
        <v>100115026</v>
      </c>
      <c r="C395" s="13" t="s">
        <v>656</v>
      </c>
      <c r="D395" s="13" t="s">
        <v>657</v>
      </c>
      <c r="E395" s="12">
        <v>9700025716</v>
      </c>
      <c r="F395" s="13" t="s">
        <v>662</v>
      </c>
      <c r="G395" s="12" t="s">
        <v>37</v>
      </c>
      <c r="H395" s="14">
        <v>6988.55</v>
      </c>
      <c r="I395" s="15">
        <v>46141</v>
      </c>
      <c r="J395" s="12" t="str">
        <f t="shared" ca="1" si="6"/>
        <v>Current</v>
      </c>
      <c r="K395" s="14">
        <v>6988.55</v>
      </c>
      <c r="L395" s="16">
        <v>46111</v>
      </c>
      <c r="M395" s="13" t="s">
        <v>38</v>
      </c>
      <c r="N395" s="13" t="s">
        <v>39</v>
      </c>
      <c r="O395" s="13" t="s">
        <v>40</v>
      </c>
      <c r="P395" s="13"/>
      <c r="Q395" s="13" t="s">
        <v>41</v>
      </c>
      <c r="R395" s="13" t="s">
        <v>42</v>
      </c>
      <c r="S395" s="17">
        <v>25665.45</v>
      </c>
      <c r="T395" s="17">
        <v>0</v>
      </c>
      <c r="U395" s="17">
        <v>0</v>
      </c>
      <c r="V395" s="17">
        <v>0</v>
      </c>
      <c r="W395" s="17">
        <v>0</v>
      </c>
      <c r="X395" s="17">
        <v>0</v>
      </c>
      <c r="Y395" s="17">
        <v>0</v>
      </c>
      <c r="Z395" s="17">
        <v>0</v>
      </c>
      <c r="AA395" s="13" t="s">
        <v>663</v>
      </c>
      <c r="AB395" s="13" t="s">
        <v>44</v>
      </c>
      <c r="AC395" s="13" t="s">
        <v>45</v>
      </c>
      <c r="AD395" s="13" t="s">
        <v>46</v>
      </c>
      <c r="AE395" s="17">
        <v>25665.45</v>
      </c>
      <c r="AF395" s="17">
        <v>6039.19</v>
      </c>
      <c r="AG395" s="47" t="s">
        <v>903</v>
      </c>
      <c r="AH395" s="20" t="e">
        <v>#N/A</v>
      </c>
      <c r="AI395" s="19" t="b">
        <v>1</v>
      </c>
      <c r="AJ395" s="18" t="s">
        <v>874</v>
      </c>
      <c r="AK395" s="49" t="s">
        <v>815</v>
      </c>
    </row>
    <row r="396" spans="1:37" ht="16.5" x14ac:dyDescent="0.4">
      <c r="A396" s="3"/>
      <c r="B396" s="3"/>
      <c r="C396" s="4"/>
      <c r="D396" s="4" t="s">
        <v>657</v>
      </c>
      <c r="E396" s="3"/>
      <c r="F396" s="4"/>
      <c r="G396" s="4"/>
      <c r="H396" s="43">
        <f>SUM(H393:H395)</f>
        <v>28352.48</v>
      </c>
      <c r="I396" s="5"/>
      <c r="J396" s="45" t="str">
        <f t="shared" ca="1" si="6"/>
        <v/>
      </c>
      <c r="K396" s="43">
        <f>SUM(K393:K395)</f>
        <v>28352.48</v>
      </c>
      <c r="L396" s="9"/>
      <c r="M396" s="4"/>
      <c r="N396" s="4"/>
      <c r="O396" s="4"/>
      <c r="P396" s="4"/>
      <c r="Q396" s="4"/>
      <c r="R396" s="4" t="s">
        <v>42</v>
      </c>
      <c r="S396" s="6">
        <v>104124.48</v>
      </c>
      <c r="T396" s="6">
        <v>0</v>
      </c>
      <c r="U396" s="6">
        <v>0</v>
      </c>
      <c r="V396" s="6">
        <v>0</v>
      </c>
      <c r="W396" s="6">
        <v>0</v>
      </c>
      <c r="X396" s="7"/>
      <c r="Y396" s="7"/>
      <c r="Z396" s="6">
        <v>0</v>
      </c>
      <c r="AA396" s="4"/>
      <c r="AB396" s="4"/>
      <c r="AC396" s="4"/>
      <c r="AD396" s="4"/>
      <c r="AE396" s="6">
        <v>104124.48</v>
      </c>
      <c r="AF396" s="6">
        <v>24467.16</v>
      </c>
      <c r="AG396" s="48"/>
      <c r="AH396" s="44" cm="1">
        <f t="array" ref="AH396">IFERROR(SUMPRODUCT(AF393:AF395*--(((AI393:AI395=TRUE)+(AI393:AI395=1))&gt;0)),0)</f>
        <v>7291.7</v>
      </c>
      <c r="AI396" s="54">
        <f>SUMIF(AI393:AI395,TRUE,H393:H395)/H396</f>
        <v>0.29753376071511206</v>
      </c>
      <c r="AJ396" s="6"/>
      <c r="AK396" s="50"/>
    </row>
    <row r="397" spans="1:37" x14ac:dyDescent="0.35">
      <c r="A397" s="12" t="s">
        <v>33</v>
      </c>
      <c r="B397" s="12">
        <v>100117441</v>
      </c>
      <c r="C397" s="13" t="s">
        <v>664</v>
      </c>
      <c r="D397" s="13" t="s">
        <v>665</v>
      </c>
      <c r="E397" s="12">
        <v>9700017323</v>
      </c>
      <c r="F397" s="13" t="s">
        <v>666</v>
      </c>
      <c r="G397" s="12" t="s">
        <v>37</v>
      </c>
      <c r="H397" s="14">
        <v>5799.87</v>
      </c>
      <c r="I397" s="15">
        <v>46106</v>
      </c>
      <c r="J397" s="12" t="str">
        <f t="shared" ca="1" si="6"/>
        <v>31-60</v>
      </c>
      <c r="K397" s="14">
        <v>5799.87</v>
      </c>
      <c r="L397" s="16">
        <v>46076</v>
      </c>
      <c r="M397" s="13" t="s">
        <v>38</v>
      </c>
      <c r="N397" s="13" t="s">
        <v>39</v>
      </c>
      <c r="O397" s="13" t="s">
        <v>40</v>
      </c>
      <c r="P397" s="13"/>
      <c r="Q397" s="13" t="s">
        <v>41</v>
      </c>
      <c r="R397" s="13" t="s">
        <v>42</v>
      </c>
      <c r="S397" s="17">
        <v>0</v>
      </c>
      <c r="T397" s="17">
        <v>21300.02</v>
      </c>
      <c r="U397" s="17">
        <v>0</v>
      </c>
      <c r="V397" s="17">
        <v>0</v>
      </c>
      <c r="W397" s="17">
        <v>0</v>
      </c>
      <c r="X397" s="17">
        <v>0</v>
      </c>
      <c r="Y397" s="17">
        <v>21300.02</v>
      </c>
      <c r="Z397" s="17">
        <v>0</v>
      </c>
      <c r="AA397" s="13" t="s">
        <v>667</v>
      </c>
      <c r="AB397" s="13" t="s">
        <v>44</v>
      </c>
      <c r="AC397" s="13" t="s">
        <v>45</v>
      </c>
      <c r="AD397" s="13" t="s">
        <v>46</v>
      </c>
      <c r="AE397" s="17">
        <v>21300.02</v>
      </c>
      <c r="AF397" s="17">
        <v>4928.93</v>
      </c>
      <c r="AG397" s="47" t="s">
        <v>887</v>
      </c>
      <c r="AH397" s="20" t="s">
        <v>806</v>
      </c>
      <c r="AI397" s="19" t="b">
        <v>0</v>
      </c>
      <c r="AJ397" s="18" t="s">
        <v>865</v>
      </c>
      <c r="AK397" s="49" t="s">
        <v>919</v>
      </c>
    </row>
    <row r="398" spans="1:37" x14ac:dyDescent="0.35">
      <c r="A398" s="12" t="s">
        <v>33</v>
      </c>
      <c r="B398" s="12">
        <v>100117441</v>
      </c>
      <c r="C398" s="13" t="s">
        <v>664</v>
      </c>
      <c r="D398" s="13" t="s">
        <v>665</v>
      </c>
      <c r="E398" s="12">
        <v>9700018290</v>
      </c>
      <c r="F398" s="13" t="s">
        <v>668</v>
      </c>
      <c r="G398" s="12" t="s">
        <v>37</v>
      </c>
      <c r="H398" s="14">
        <v>46642.89</v>
      </c>
      <c r="I398" s="15">
        <v>46110</v>
      </c>
      <c r="J398" s="12" t="str">
        <f t="shared" ca="1" si="6"/>
        <v>31-60</v>
      </c>
      <c r="K398" s="14">
        <v>46642.89</v>
      </c>
      <c r="L398" s="16">
        <v>46080</v>
      </c>
      <c r="M398" s="13" t="s">
        <v>38</v>
      </c>
      <c r="N398" s="13" t="s">
        <v>39</v>
      </c>
      <c r="O398" s="13" t="s">
        <v>40</v>
      </c>
      <c r="P398" s="13"/>
      <c r="Q398" s="13" t="s">
        <v>41</v>
      </c>
      <c r="R398" s="13" t="s">
        <v>42</v>
      </c>
      <c r="S398" s="17">
        <v>0</v>
      </c>
      <c r="T398" s="17">
        <v>171296.01</v>
      </c>
      <c r="U398" s="17">
        <v>0</v>
      </c>
      <c r="V398" s="17">
        <v>0</v>
      </c>
      <c r="W398" s="17">
        <v>0</v>
      </c>
      <c r="X398" s="17">
        <v>0</v>
      </c>
      <c r="Y398" s="17">
        <v>171296.01</v>
      </c>
      <c r="Z398" s="17">
        <v>0</v>
      </c>
      <c r="AA398" s="13" t="s">
        <v>669</v>
      </c>
      <c r="AB398" s="13" t="s">
        <v>44</v>
      </c>
      <c r="AC398" s="13" t="s">
        <v>45</v>
      </c>
      <c r="AD398" s="13" t="s">
        <v>46</v>
      </c>
      <c r="AE398" s="17">
        <v>171296.01</v>
      </c>
      <c r="AF398" s="17">
        <v>39581.54</v>
      </c>
      <c r="AG398" s="47" t="s">
        <v>887</v>
      </c>
      <c r="AH398" s="20" t="s">
        <v>806</v>
      </c>
      <c r="AI398" s="19" t="b">
        <v>0</v>
      </c>
      <c r="AJ398" s="18" t="s">
        <v>865</v>
      </c>
      <c r="AK398" s="49" t="s">
        <v>919</v>
      </c>
    </row>
    <row r="399" spans="1:37" x14ac:dyDescent="0.35">
      <c r="A399" s="12" t="s">
        <v>33</v>
      </c>
      <c r="B399" s="12">
        <v>100117441</v>
      </c>
      <c r="C399" s="13" t="s">
        <v>664</v>
      </c>
      <c r="D399" s="13" t="s">
        <v>665</v>
      </c>
      <c r="E399" s="12">
        <v>9700025630</v>
      </c>
      <c r="F399" s="13" t="s">
        <v>670</v>
      </c>
      <c r="G399" s="12" t="s">
        <v>37</v>
      </c>
      <c r="H399" s="14">
        <v>5388.47</v>
      </c>
      <c r="I399" s="15">
        <v>46138</v>
      </c>
      <c r="J399" s="12" t="str">
        <f t="shared" ca="1" si="6"/>
        <v>0-30</v>
      </c>
      <c r="K399" s="14">
        <v>5388.47</v>
      </c>
      <c r="L399" s="16">
        <v>46108</v>
      </c>
      <c r="M399" s="13" t="s">
        <v>38</v>
      </c>
      <c r="N399" s="13" t="s">
        <v>39</v>
      </c>
      <c r="O399" s="13" t="s">
        <v>40</v>
      </c>
      <c r="P399" s="13"/>
      <c r="Q399" s="13" t="s">
        <v>41</v>
      </c>
      <c r="R399" s="13" t="s">
        <v>42</v>
      </c>
      <c r="S399" s="17">
        <v>19789.16</v>
      </c>
      <c r="T399" s="17">
        <v>0</v>
      </c>
      <c r="U399" s="17">
        <v>0</v>
      </c>
      <c r="V399" s="17">
        <v>0</v>
      </c>
      <c r="W399" s="17">
        <v>0</v>
      </c>
      <c r="X399" s="17">
        <v>0</v>
      </c>
      <c r="Y399" s="17">
        <v>0</v>
      </c>
      <c r="Z399" s="17">
        <v>0</v>
      </c>
      <c r="AA399" s="13" t="s">
        <v>667</v>
      </c>
      <c r="AB399" s="13" t="s">
        <v>44</v>
      </c>
      <c r="AC399" s="13" t="s">
        <v>45</v>
      </c>
      <c r="AD399" s="13" t="s">
        <v>46</v>
      </c>
      <c r="AE399" s="17">
        <v>19789.16</v>
      </c>
      <c r="AF399" s="17">
        <v>4656.47</v>
      </c>
      <c r="AG399" s="47" t="s">
        <v>887</v>
      </c>
      <c r="AH399" s="20" t="e">
        <v>#N/A</v>
      </c>
      <c r="AI399" s="19" t="b">
        <v>0</v>
      </c>
      <c r="AJ399" s="18" t="s">
        <v>865</v>
      </c>
      <c r="AK399" s="49" t="s">
        <v>920</v>
      </c>
    </row>
    <row r="400" spans="1:37" x14ac:dyDescent="0.35">
      <c r="A400" s="12" t="s">
        <v>33</v>
      </c>
      <c r="B400" s="12">
        <v>100117441</v>
      </c>
      <c r="C400" s="13" t="s">
        <v>664</v>
      </c>
      <c r="D400" s="13" t="s">
        <v>665</v>
      </c>
      <c r="E400" s="12">
        <v>9700078981</v>
      </c>
      <c r="F400" s="13" t="s">
        <v>671</v>
      </c>
      <c r="G400" s="12" t="s">
        <v>37</v>
      </c>
      <c r="H400" s="14">
        <v>7948.72</v>
      </c>
      <c r="I400" s="15">
        <v>46002</v>
      </c>
      <c r="J400" s="12" t="str">
        <f t="shared" ca="1" si="6"/>
        <v>120 +</v>
      </c>
      <c r="K400" s="14">
        <v>7948.72</v>
      </c>
      <c r="L400" s="16">
        <v>45972</v>
      </c>
      <c r="M400" s="13" t="s">
        <v>38</v>
      </c>
      <c r="N400" s="13" t="s">
        <v>39</v>
      </c>
      <c r="O400" s="13" t="s">
        <v>40</v>
      </c>
      <c r="P400" s="13"/>
      <c r="Q400" s="13" t="s">
        <v>41</v>
      </c>
      <c r="R400" s="13" t="s">
        <v>42</v>
      </c>
      <c r="S400" s="17">
        <v>0</v>
      </c>
      <c r="T400" s="17">
        <v>0</v>
      </c>
      <c r="U400" s="17">
        <v>0</v>
      </c>
      <c r="V400" s="17">
        <v>0</v>
      </c>
      <c r="W400" s="17">
        <v>29191.67</v>
      </c>
      <c r="X400" s="17">
        <v>0</v>
      </c>
      <c r="Y400" s="17">
        <v>29191.67</v>
      </c>
      <c r="Z400" s="17">
        <v>0</v>
      </c>
      <c r="AA400" s="13" t="s">
        <v>669</v>
      </c>
      <c r="AB400" s="13" t="s">
        <v>44</v>
      </c>
      <c r="AC400" s="13" t="s">
        <v>45</v>
      </c>
      <c r="AD400" s="13" t="s">
        <v>46</v>
      </c>
      <c r="AE400" s="17">
        <v>29191.67</v>
      </c>
      <c r="AF400" s="17">
        <v>6869.52</v>
      </c>
      <c r="AG400" s="47" t="s">
        <v>887</v>
      </c>
      <c r="AH400" s="20" t="s">
        <v>818</v>
      </c>
      <c r="AI400" s="19" t="b">
        <v>0</v>
      </c>
      <c r="AJ400" s="18" t="s">
        <v>865</v>
      </c>
      <c r="AK400" s="49" t="s">
        <v>818</v>
      </c>
    </row>
    <row r="401" spans="1:37" ht="16.5" x14ac:dyDescent="0.4">
      <c r="A401" s="3"/>
      <c r="B401" s="3"/>
      <c r="C401" s="4"/>
      <c r="D401" s="4" t="s">
        <v>665</v>
      </c>
      <c r="E401" s="3"/>
      <c r="F401" s="4"/>
      <c r="G401" s="4"/>
      <c r="H401" s="43">
        <f>SUM(H397:H400)</f>
        <v>65779.95</v>
      </c>
      <c r="I401" s="5"/>
      <c r="J401" s="45" t="str">
        <f t="shared" ca="1" si="6"/>
        <v/>
      </c>
      <c r="K401" s="43">
        <f>SUM(K397:K400)</f>
        <v>65779.95</v>
      </c>
      <c r="L401" s="9"/>
      <c r="M401" s="4"/>
      <c r="N401" s="4"/>
      <c r="O401" s="4"/>
      <c r="P401" s="4"/>
      <c r="Q401" s="4"/>
      <c r="R401" s="4" t="s">
        <v>42</v>
      </c>
      <c r="S401" s="6">
        <v>19789.16</v>
      </c>
      <c r="T401" s="6">
        <v>192596.03</v>
      </c>
      <c r="U401" s="6">
        <v>0</v>
      </c>
      <c r="V401" s="6">
        <v>0</v>
      </c>
      <c r="W401" s="6">
        <v>29191.67</v>
      </c>
      <c r="X401" s="7"/>
      <c r="Y401" s="7"/>
      <c r="Z401" s="6">
        <v>0</v>
      </c>
      <c r="AA401" s="4"/>
      <c r="AB401" s="4"/>
      <c r="AC401" s="4"/>
      <c r="AD401" s="4"/>
      <c r="AE401" s="6">
        <v>241576.86</v>
      </c>
      <c r="AF401" s="6">
        <v>56036.46</v>
      </c>
      <c r="AG401" s="48"/>
      <c r="AH401" s="44" cm="1">
        <f t="array" ref="AH401">IFERROR(SUMPRODUCT(AF397:AF400*--(((AI397:AI400=TRUE)+(AI397:AI400=1))&gt;0)),0)</f>
        <v>0</v>
      </c>
      <c r="AI401" s="54">
        <f>SUMIF(AI397:AI400,TRUE,H397:H400)/H401</f>
        <v>0</v>
      </c>
      <c r="AJ401" s="6"/>
      <c r="AK401" s="50"/>
    </row>
    <row r="402" spans="1:37" x14ac:dyDescent="0.35">
      <c r="A402" s="12" t="s">
        <v>33</v>
      </c>
      <c r="B402" s="12">
        <v>100117448</v>
      </c>
      <c r="C402" s="13" t="s">
        <v>672</v>
      </c>
      <c r="D402" s="13" t="s">
        <v>673</v>
      </c>
      <c r="E402" s="12">
        <v>9000005184</v>
      </c>
      <c r="F402" s="13" t="s">
        <v>674</v>
      </c>
      <c r="G402" s="12" t="s">
        <v>42</v>
      </c>
      <c r="H402" s="14">
        <v>-8692.6</v>
      </c>
      <c r="I402" s="15">
        <v>46064</v>
      </c>
      <c r="J402" s="12" t="str">
        <f t="shared" ca="1" si="6"/>
        <v>61-90</v>
      </c>
      <c r="K402" s="14">
        <v>-8692.6</v>
      </c>
      <c r="L402" s="16">
        <v>46064</v>
      </c>
      <c r="M402" s="13" t="s">
        <v>38</v>
      </c>
      <c r="N402" s="13" t="s">
        <v>213</v>
      </c>
      <c r="O402" s="13" t="s">
        <v>214</v>
      </c>
      <c r="P402" s="13" t="s">
        <v>675</v>
      </c>
      <c r="Q402" s="13" t="s">
        <v>41</v>
      </c>
      <c r="R402" s="13" t="s">
        <v>42</v>
      </c>
      <c r="S402" s="17">
        <v>0</v>
      </c>
      <c r="T402" s="17">
        <v>0</v>
      </c>
      <c r="U402" s="17">
        <v>-7852.58</v>
      </c>
      <c r="V402" s="17">
        <v>0</v>
      </c>
      <c r="W402" s="17">
        <v>0</v>
      </c>
      <c r="X402" s="17">
        <v>0</v>
      </c>
      <c r="Y402" s="17">
        <v>-7852.58</v>
      </c>
      <c r="Z402" s="17">
        <v>0</v>
      </c>
      <c r="AA402" s="13" t="s">
        <v>676</v>
      </c>
      <c r="AB402" s="13" t="s">
        <v>44</v>
      </c>
      <c r="AC402" s="13" t="s">
        <v>45</v>
      </c>
      <c r="AD402" s="13" t="s">
        <v>46</v>
      </c>
      <c r="AE402" s="17">
        <v>-7852.58</v>
      </c>
      <c r="AF402" s="17">
        <v>-1797.72</v>
      </c>
      <c r="AG402" s="47" t="e">
        <v>#N/A</v>
      </c>
      <c r="AH402" s="20" t="e">
        <v>#N/A</v>
      </c>
      <c r="AI402" s="19" t="b">
        <v>1</v>
      </c>
      <c r="AJ402" s="18" t="s">
        <v>871</v>
      </c>
      <c r="AK402" s="49" t="s">
        <v>911</v>
      </c>
    </row>
    <row r="403" spans="1:37" x14ac:dyDescent="0.35">
      <c r="A403" s="12" t="s">
        <v>33</v>
      </c>
      <c r="B403" s="12">
        <v>100117448</v>
      </c>
      <c r="C403" s="13" t="s">
        <v>672</v>
      </c>
      <c r="D403" s="13" t="s">
        <v>673</v>
      </c>
      <c r="E403" s="12">
        <v>9700002084</v>
      </c>
      <c r="F403" s="13" t="s">
        <v>677</v>
      </c>
      <c r="G403" s="12" t="s">
        <v>37</v>
      </c>
      <c r="H403" s="14">
        <v>2435.46</v>
      </c>
      <c r="I403" s="15">
        <v>46064</v>
      </c>
      <c r="J403" s="12" t="str">
        <f t="shared" ca="1" si="6"/>
        <v>61-90</v>
      </c>
      <c r="K403" s="14">
        <v>4573.67</v>
      </c>
      <c r="L403" s="16">
        <v>46034</v>
      </c>
      <c r="M403" s="13" t="s">
        <v>38</v>
      </c>
      <c r="N403" s="13" t="s">
        <v>39</v>
      </c>
      <c r="O403" s="13" t="s">
        <v>40</v>
      </c>
      <c r="P403" s="13"/>
      <c r="Q403" s="13" t="s">
        <v>41</v>
      </c>
      <c r="R403" s="13" t="s">
        <v>42</v>
      </c>
      <c r="S403" s="17">
        <v>0</v>
      </c>
      <c r="T403" s="17">
        <v>0</v>
      </c>
      <c r="U403" s="17">
        <v>16796.8</v>
      </c>
      <c r="V403" s="17">
        <v>0</v>
      </c>
      <c r="W403" s="17">
        <v>0</v>
      </c>
      <c r="X403" s="17">
        <v>0</v>
      </c>
      <c r="Y403" s="17">
        <v>16796.8</v>
      </c>
      <c r="Z403" s="17">
        <v>0</v>
      </c>
      <c r="AA403" s="13" t="s">
        <v>678</v>
      </c>
      <c r="AB403" s="13" t="s">
        <v>44</v>
      </c>
      <c r="AC403" s="13" t="s">
        <v>45</v>
      </c>
      <c r="AD403" s="13" t="s">
        <v>46</v>
      </c>
      <c r="AE403" s="17">
        <v>16796.8</v>
      </c>
      <c r="AF403" s="17">
        <v>3928.59</v>
      </c>
      <c r="AG403" s="47" t="s">
        <v>905</v>
      </c>
      <c r="AH403" s="20" t="s">
        <v>819</v>
      </c>
      <c r="AI403" s="19" t="b">
        <v>1</v>
      </c>
      <c r="AJ403" s="18" t="s">
        <v>874</v>
      </c>
      <c r="AK403" s="49" t="s">
        <v>815</v>
      </c>
    </row>
    <row r="404" spans="1:37" x14ac:dyDescent="0.35">
      <c r="A404" s="12" t="s">
        <v>33</v>
      </c>
      <c r="B404" s="12">
        <v>100117448</v>
      </c>
      <c r="C404" s="13" t="s">
        <v>672</v>
      </c>
      <c r="D404" s="13" t="s">
        <v>673</v>
      </c>
      <c r="E404" s="12">
        <v>9700017859</v>
      </c>
      <c r="F404" s="13" t="s">
        <v>679</v>
      </c>
      <c r="G404" s="12" t="s">
        <v>37</v>
      </c>
      <c r="H404" s="14">
        <v>20009.34</v>
      </c>
      <c r="I404" s="15">
        <v>46107</v>
      </c>
      <c r="J404" s="12" t="str">
        <f t="shared" ca="1" si="6"/>
        <v>31-60</v>
      </c>
      <c r="K404" s="14">
        <v>20009.34</v>
      </c>
      <c r="L404" s="16">
        <v>46077</v>
      </c>
      <c r="M404" s="13" t="s">
        <v>38</v>
      </c>
      <c r="N404" s="13" t="s">
        <v>39</v>
      </c>
      <c r="O404" s="13" t="s">
        <v>40</v>
      </c>
      <c r="P404" s="13"/>
      <c r="Q404" s="13" t="s">
        <v>41</v>
      </c>
      <c r="R404" s="13" t="s">
        <v>42</v>
      </c>
      <c r="S404" s="17">
        <v>0</v>
      </c>
      <c r="T404" s="17">
        <v>73484.3</v>
      </c>
      <c r="U404" s="17">
        <v>0</v>
      </c>
      <c r="V404" s="17">
        <v>0</v>
      </c>
      <c r="W404" s="17">
        <v>0</v>
      </c>
      <c r="X404" s="17">
        <v>0</v>
      </c>
      <c r="Y404" s="17">
        <v>73484.3</v>
      </c>
      <c r="Z404" s="17">
        <v>0</v>
      </c>
      <c r="AA404" s="13" t="s">
        <v>680</v>
      </c>
      <c r="AB404" s="13" t="s">
        <v>44</v>
      </c>
      <c r="AC404" s="13" t="s">
        <v>45</v>
      </c>
      <c r="AD404" s="13" t="s">
        <v>46</v>
      </c>
      <c r="AE404" s="17">
        <v>73484.3</v>
      </c>
      <c r="AF404" s="17">
        <v>16980.09</v>
      </c>
      <c r="AG404" s="47" t="s">
        <v>906</v>
      </c>
      <c r="AH404" s="20" t="s">
        <v>806</v>
      </c>
      <c r="AI404" s="19" t="b">
        <v>0</v>
      </c>
      <c r="AJ404" s="18" t="s">
        <v>869</v>
      </c>
      <c r="AK404" s="49" t="s">
        <v>915</v>
      </c>
    </row>
    <row r="405" spans="1:37" x14ac:dyDescent="0.35">
      <c r="A405" s="12" t="s">
        <v>33</v>
      </c>
      <c r="B405" s="12">
        <v>100117448</v>
      </c>
      <c r="C405" s="13" t="s">
        <v>672</v>
      </c>
      <c r="D405" s="13" t="s">
        <v>673</v>
      </c>
      <c r="E405" s="12">
        <v>9700023243</v>
      </c>
      <c r="F405" s="13" t="s">
        <v>681</v>
      </c>
      <c r="G405" s="12" t="s">
        <v>37</v>
      </c>
      <c r="H405" s="14">
        <v>2435.46</v>
      </c>
      <c r="I405" s="15">
        <v>46130</v>
      </c>
      <c r="J405" s="12" t="str">
        <f t="shared" ca="1" si="6"/>
        <v>0-30</v>
      </c>
      <c r="K405" s="14">
        <v>2435.46</v>
      </c>
      <c r="L405" s="16">
        <v>46100</v>
      </c>
      <c r="M405" s="13" t="s">
        <v>38</v>
      </c>
      <c r="N405" s="13" t="s">
        <v>39</v>
      </c>
      <c r="O405" s="13" t="s">
        <v>40</v>
      </c>
      <c r="P405" s="13"/>
      <c r="Q405" s="13" t="s">
        <v>41</v>
      </c>
      <c r="R405" s="13" t="s">
        <v>42</v>
      </c>
      <c r="S405" s="17">
        <v>8944.23</v>
      </c>
      <c r="T405" s="17">
        <v>0</v>
      </c>
      <c r="U405" s="17">
        <v>0</v>
      </c>
      <c r="V405" s="17">
        <v>0</v>
      </c>
      <c r="W405" s="17">
        <v>0</v>
      </c>
      <c r="X405" s="17">
        <v>0</v>
      </c>
      <c r="Y405" s="17">
        <v>0</v>
      </c>
      <c r="Z405" s="17">
        <v>0</v>
      </c>
      <c r="AA405" s="13" t="s">
        <v>678</v>
      </c>
      <c r="AB405" s="13" t="s">
        <v>44</v>
      </c>
      <c r="AC405" s="13" t="s">
        <v>45</v>
      </c>
      <c r="AD405" s="13" t="s">
        <v>46</v>
      </c>
      <c r="AE405" s="17">
        <v>8944.23</v>
      </c>
      <c r="AF405" s="17">
        <v>2121.85</v>
      </c>
      <c r="AG405" s="47" t="e">
        <v>#N/A</v>
      </c>
      <c r="AH405" s="20" t="e">
        <v>#N/A</v>
      </c>
      <c r="AI405" s="19" t="b">
        <v>0</v>
      </c>
      <c r="AJ405" s="18" t="s">
        <v>866</v>
      </c>
      <c r="AK405" s="49" t="s">
        <v>914</v>
      </c>
    </row>
    <row r="406" spans="1:37" x14ac:dyDescent="0.35">
      <c r="A406" s="12" t="s">
        <v>33</v>
      </c>
      <c r="B406" s="12">
        <v>100117448</v>
      </c>
      <c r="C406" s="13" t="s">
        <v>672</v>
      </c>
      <c r="D406" s="13" t="s">
        <v>673</v>
      </c>
      <c r="E406" s="12">
        <v>9700026156</v>
      </c>
      <c r="F406" s="13" t="s">
        <v>682</v>
      </c>
      <c r="G406" s="12" t="s">
        <v>37</v>
      </c>
      <c r="H406" s="14">
        <v>1904.81</v>
      </c>
      <c r="I406" s="15">
        <v>46137</v>
      </c>
      <c r="J406" s="12" t="str">
        <f t="shared" ca="1" si="6"/>
        <v>0-30</v>
      </c>
      <c r="K406" s="14">
        <v>1904.81</v>
      </c>
      <c r="L406" s="16">
        <v>46107</v>
      </c>
      <c r="M406" s="13" t="s">
        <v>38</v>
      </c>
      <c r="N406" s="13" t="s">
        <v>39</v>
      </c>
      <c r="O406" s="13" t="s">
        <v>40</v>
      </c>
      <c r="P406" s="13"/>
      <c r="Q406" s="13" t="s">
        <v>41</v>
      </c>
      <c r="R406" s="13" t="s">
        <v>42</v>
      </c>
      <c r="S406" s="17">
        <v>6995.41</v>
      </c>
      <c r="T406" s="17">
        <v>0</v>
      </c>
      <c r="U406" s="17">
        <v>0</v>
      </c>
      <c r="V406" s="17">
        <v>0</v>
      </c>
      <c r="W406" s="17">
        <v>0</v>
      </c>
      <c r="X406" s="17">
        <v>0</v>
      </c>
      <c r="Y406" s="17">
        <v>0</v>
      </c>
      <c r="Z406" s="17">
        <v>0</v>
      </c>
      <c r="AA406" s="13" t="s">
        <v>683</v>
      </c>
      <c r="AB406" s="13" t="s">
        <v>44</v>
      </c>
      <c r="AC406" s="13" t="s">
        <v>45</v>
      </c>
      <c r="AD406" s="13" t="s">
        <v>46</v>
      </c>
      <c r="AE406" s="17">
        <v>6995.41</v>
      </c>
      <c r="AF406" s="17">
        <v>1643.21</v>
      </c>
      <c r="AG406" s="47" t="s">
        <v>905</v>
      </c>
      <c r="AH406" s="20" t="e">
        <v>#N/A</v>
      </c>
      <c r="AI406" s="19" t="b">
        <v>0</v>
      </c>
      <c r="AJ406" s="18" t="s">
        <v>875</v>
      </c>
      <c r="AK406" s="49" t="s">
        <v>942</v>
      </c>
    </row>
    <row r="407" spans="1:37" ht="16.5" x14ac:dyDescent="0.4">
      <c r="A407" s="3"/>
      <c r="B407" s="3"/>
      <c r="C407" s="4"/>
      <c r="D407" s="4" t="s">
        <v>673</v>
      </c>
      <c r="E407" s="3"/>
      <c r="F407" s="4"/>
      <c r="G407" s="4"/>
      <c r="H407" s="43">
        <f>SUM(H402:H406)</f>
        <v>18092.47</v>
      </c>
      <c r="I407" s="5"/>
      <c r="J407" s="45" t="str">
        <f t="shared" ca="1" si="6"/>
        <v/>
      </c>
      <c r="K407" s="43">
        <f>SUM(K402:K406)</f>
        <v>20230.68</v>
      </c>
      <c r="L407" s="9"/>
      <c r="M407" s="4"/>
      <c r="N407" s="4"/>
      <c r="O407" s="4"/>
      <c r="P407" s="4"/>
      <c r="Q407" s="4"/>
      <c r="R407" s="4" t="s">
        <v>42</v>
      </c>
      <c r="S407" s="6">
        <v>15939.64</v>
      </c>
      <c r="T407" s="6">
        <v>73484.3</v>
      </c>
      <c r="U407" s="6">
        <v>8944.2199999999993</v>
      </c>
      <c r="V407" s="6">
        <v>0</v>
      </c>
      <c r="W407" s="6">
        <v>0</v>
      </c>
      <c r="X407" s="7"/>
      <c r="Y407" s="7"/>
      <c r="Z407" s="6">
        <v>0</v>
      </c>
      <c r="AA407" s="4"/>
      <c r="AB407" s="4"/>
      <c r="AC407" s="4"/>
      <c r="AD407" s="4"/>
      <c r="AE407" s="6">
        <v>98368.16</v>
      </c>
      <c r="AF407" s="6">
        <v>22876.02</v>
      </c>
      <c r="AG407" s="48"/>
      <c r="AH407" s="44" cm="1">
        <f t="array" ref="AH407">IFERROR(SUMPRODUCT(AF402:AF406*--(((AI402:AI406=TRUE)+(AI402:AI406=1))&gt;0)),0)</f>
        <v>2130.87</v>
      </c>
      <c r="AI407" s="54">
        <f>SUMIF(AI402:AI406,TRUE,H402:H406)/H407</f>
        <v>-0.34584222054810648</v>
      </c>
      <c r="AJ407" s="6"/>
      <c r="AK407" s="50"/>
    </row>
    <row r="408" spans="1:37" x14ac:dyDescent="0.35">
      <c r="A408" s="12" t="s">
        <v>33</v>
      </c>
      <c r="B408" s="12">
        <v>100114309</v>
      </c>
      <c r="C408" s="13" t="s">
        <v>684</v>
      </c>
      <c r="D408" s="13" t="s">
        <v>685</v>
      </c>
      <c r="E408" s="12">
        <v>9700001963</v>
      </c>
      <c r="F408" s="13" t="s">
        <v>686</v>
      </c>
      <c r="G408" s="12" t="s">
        <v>37</v>
      </c>
      <c r="H408" s="14">
        <v>8469.76</v>
      </c>
      <c r="I408" s="15">
        <v>46064</v>
      </c>
      <c r="J408" s="12" t="str">
        <f t="shared" ca="1" si="6"/>
        <v>61-90</v>
      </c>
      <c r="K408" s="14">
        <v>8469.76</v>
      </c>
      <c r="L408" s="16">
        <v>46034</v>
      </c>
      <c r="M408" s="13" t="s">
        <v>38</v>
      </c>
      <c r="N408" s="13" t="s">
        <v>39</v>
      </c>
      <c r="O408" s="13" t="s">
        <v>40</v>
      </c>
      <c r="P408" s="13"/>
      <c r="Q408" s="13" t="s">
        <v>41</v>
      </c>
      <c r="R408" s="13" t="s">
        <v>42</v>
      </c>
      <c r="S408" s="17">
        <v>0</v>
      </c>
      <c r="T408" s="17">
        <v>0</v>
      </c>
      <c r="U408" s="17">
        <v>31105.19</v>
      </c>
      <c r="V408" s="17">
        <v>0</v>
      </c>
      <c r="W408" s="17">
        <v>0</v>
      </c>
      <c r="X408" s="17">
        <v>0</v>
      </c>
      <c r="Y408" s="17">
        <v>31105.19</v>
      </c>
      <c r="Z408" s="17">
        <v>0</v>
      </c>
      <c r="AA408" s="13" t="s">
        <v>687</v>
      </c>
      <c r="AB408" s="13" t="s">
        <v>44</v>
      </c>
      <c r="AC408" s="13" t="s">
        <v>45</v>
      </c>
      <c r="AD408" s="13" t="s">
        <v>46</v>
      </c>
      <c r="AE408" s="17">
        <v>31105.19</v>
      </c>
      <c r="AF408" s="17">
        <v>7254.61</v>
      </c>
      <c r="AG408" s="47" t="s">
        <v>876</v>
      </c>
      <c r="AH408" s="20" t="s">
        <v>820</v>
      </c>
      <c r="AI408" s="19" t="b">
        <v>0</v>
      </c>
      <c r="AJ408" s="18" t="s">
        <v>869</v>
      </c>
      <c r="AK408" s="49" t="s">
        <v>820</v>
      </c>
    </row>
    <row r="409" spans="1:37" x14ac:dyDescent="0.35">
      <c r="A409" s="12" t="s">
        <v>33</v>
      </c>
      <c r="B409" s="12">
        <v>100114309</v>
      </c>
      <c r="C409" s="13" t="s">
        <v>684</v>
      </c>
      <c r="D409" s="13" t="s">
        <v>685</v>
      </c>
      <c r="E409" s="12">
        <v>9700022829</v>
      </c>
      <c r="F409" s="13" t="s">
        <v>688</v>
      </c>
      <c r="G409" s="12" t="s">
        <v>37</v>
      </c>
      <c r="H409" s="14">
        <v>3424.39</v>
      </c>
      <c r="I409" s="15">
        <v>46130</v>
      </c>
      <c r="J409" s="12" t="str">
        <f t="shared" ca="1" si="6"/>
        <v>0-30</v>
      </c>
      <c r="K409" s="14">
        <v>3424.39</v>
      </c>
      <c r="L409" s="16">
        <v>46100</v>
      </c>
      <c r="M409" s="13" t="s">
        <v>38</v>
      </c>
      <c r="N409" s="13" t="s">
        <v>39</v>
      </c>
      <c r="O409" s="13" t="s">
        <v>40</v>
      </c>
      <c r="P409" s="13"/>
      <c r="Q409" s="13" t="s">
        <v>41</v>
      </c>
      <c r="R409" s="13" t="s">
        <v>42</v>
      </c>
      <c r="S409" s="17">
        <v>12576.07</v>
      </c>
      <c r="T409" s="17">
        <v>0</v>
      </c>
      <c r="U409" s="17">
        <v>0</v>
      </c>
      <c r="V409" s="17">
        <v>0</v>
      </c>
      <c r="W409" s="17">
        <v>0</v>
      </c>
      <c r="X409" s="17">
        <v>0</v>
      </c>
      <c r="Y409" s="17">
        <v>0</v>
      </c>
      <c r="Z409" s="17">
        <v>0</v>
      </c>
      <c r="AA409" s="13" t="s">
        <v>687</v>
      </c>
      <c r="AB409" s="13" t="s">
        <v>44</v>
      </c>
      <c r="AC409" s="13" t="s">
        <v>45</v>
      </c>
      <c r="AD409" s="13" t="s">
        <v>46</v>
      </c>
      <c r="AE409" s="17">
        <v>12576.07</v>
      </c>
      <c r="AF409" s="17">
        <v>2983.96</v>
      </c>
      <c r="AG409" s="47" t="s">
        <v>876</v>
      </c>
      <c r="AH409" s="20" t="e">
        <v>#N/A</v>
      </c>
      <c r="AI409" s="19" t="b">
        <v>0</v>
      </c>
      <c r="AJ409" s="18" t="s">
        <v>865</v>
      </c>
      <c r="AK409" s="49" t="s">
        <v>806</v>
      </c>
    </row>
    <row r="410" spans="1:37" x14ac:dyDescent="0.35">
      <c r="A410" s="12" t="s">
        <v>33</v>
      </c>
      <c r="B410" s="12">
        <v>100114309</v>
      </c>
      <c r="C410" s="13" t="s">
        <v>684</v>
      </c>
      <c r="D410" s="13" t="s">
        <v>685</v>
      </c>
      <c r="E410" s="12">
        <v>9700082101</v>
      </c>
      <c r="F410" s="13" t="s">
        <v>689</v>
      </c>
      <c r="G410" s="12" t="s">
        <v>37</v>
      </c>
      <c r="H410" s="14">
        <v>4579</v>
      </c>
      <c r="I410" s="15">
        <v>46015</v>
      </c>
      <c r="J410" s="12" t="str">
        <f t="shared" ca="1" si="6"/>
        <v>120 +</v>
      </c>
      <c r="K410" s="14">
        <v>4579</v>
      </c>
      <c r="L410" s="16">
        <v>45985</v>
      </c>
      <c r="M410" s="13" t="s">
        <v>38</v>
      </c>
      <c r="N410" s="13" t="s">
        <v>39</v>
      </c>
      <c r="O410" s="13" t="s">
        <v>40</v>
      </c>
      <c r="P410" s="13"/>
      <c r="Q410" s="13" t="s">
        <v>41</v>
      </c>
      <c r="R410" s="13" t="s">
        <v>42</v>
      </c>
      <c r="S410" s="17">
        <v>0</v>
      </c>
      <c r="T410" s="17">
        <v>0</v>
      </c>
      <c r="U410" s="17">
        <v>0</v>
      </c>
      <c r="V410" s="17">
        <v>0</v>
      </c>
      <c r="W410" s="17">
        <v>16816.38</v>
      </c>
      <c r="X410" s="17">
        <v>0</v>
      </c>
      <c r="Y410" s="17">
        <v>16816.38</v>
      </c>
      <c r="Z410" s="17">
        <v>0</v>
      </c>
      <c r="AA410" s="13" t="s">
        <v>687</v>
      </c>
      <c r="AB410" s="13" t="s">
        <v>44</v>
      </c>
      <c r="AC410" s="13" t="s">
        <v>45</v>
      </c>
      <c r="AD410" s="13" t="s">
        <v>46</v>
      </c>
      <c r="AE410" s="17">
        <v>16816.38</v>
      </c>
      <c r="AF410" s="17">
        <v>3953.21</v>
      </c>
      <c r="AG410" s="47" t="s">
        <v>876</v>
      </c>
      <c r="AH410" s="20" t="s">
        <v>820</v>
      </c>
      <c r="AI410" s="19" t="b">
        <v>0</v>
      </c>
      <c r="AJ410" s="18" t="s">
        <v>869</v>
      </c>
      <c r="AK410" s="49" t="s">
        <v>820</v>
      </c>
    </row>
    <row r="411" spans="1:37" ht="16.5" x14ac:dyDescent="0.4">
      <c r="A411" s="3"/>
      <c r="B411" s="3"/>
      <c r="C411" s="4"/>
      <c r="D411" s="4" t="s">
        <v>685</v>
      </c>
      <c r="E411" s="3"/>
      <c r="F411" s="4"/>
      <c r="G411" s="4"/>
      <c r="H411" s="43">
        <f>SUM(H408:H410)</f>
        <v>16473.150000000001</v>
      </c>
      <c r="I411" s="5"/>
      <c r="J411" s="45" t="str">
        <f t="shared" ref="J411:J473" ca="1" si="7">IF($E411="","",IF($I411="","",IF($I411&gt;=TODAY(),"Current",IF(TODAY()-$I411&lt;=30,"0-30",IF(TODAY()-$I411&lt;=60,"31-60",IF(TODAY()-$I411&lt;=90,"61-90",IF(TODAY()-$I411&lt;=120,"91-120","120 +")))))))</f>
        <v/>
      </c>
      <c r="K411" s="43">
        <f>SUM(K408:K410)</f>
        <v>16473.150000000001</v>
      </c>
      <c r="L411" s="9"/>
      <c r="M411" s="4"/>
      <c r="N411" s="4"/>
      <c r="O411" s="4"/>
      <c r="P411" s="4"/>
      <c r="Q411" s="4"/>
      <c r="R411" s="4" t="s">
        <v>42</v>
      </c>
      <c r="S411" s="6">
        <v>12576.07</v>
      </c>
      <c r="T411" s="6">
        <v>0</v>
      </c>
      <c r="U411" s="6">
        <v>31105.19</v>
      </c>
      <c r="V411" s="6">
        <v>0</v>
      </c>
      <c r="W411" s="6">
        <v>16816.38</v>
      </c>
      <c r="X411" s="7"/>
      <c r="Y411" s="7"/>
      <c r="Z411" s="6">
        <v>0</v>
      </c>
      <c r="AA411" s="4"/>
      <c r="AB411" s="4"/>
      <c r="AC411" s="4"/>
      <c r="AD411" s="4"/>
      <c r="AE411" s="6">
        <v>60497.64</v>
      </c>
      <c r="AF411" s="6">
        <v>14191.78</v>
      </c>
      <c r="AG411" s="48"/>
      <c r="AH411" s="44" cm="1">
        <f t="array" ref="AH411">IFERROR(SUMPRODUCT(AF408:AF410*--(((AI408:AI410=TRUE)+(AI408:AI410=1))&gt;0)),0)</f>
        <v>0</v>
      </c>
      <c r="AI411" s="54">
        <f>SUMIF(AI408:AI410,TRUE,H408:H410)/H411</f>
        <v>0</v>
      </c>
      <c r="AJ411" s="6"/>
      <c r="AK411" s="50"/>
    </row>
    <row r="412" spans="1:37" x14ac:dyDescent="0.35">
      <c r="A412" s="12" t="s">
        <v>33</v>
      </c>
      <c r="B412" s="12">
        <v>100111923</v>
      </c>
      <c r="C412" s="13" t="s">
        <v>690</v>
      </c>
      <c r="D412" s="13" t="s">
        <v>691</v>
      </c>
      <c r="E412" s="12">
        <v>9700017530</v>
      </c>
      <c r="F412" s="13" t="s">
        <v>692</v>
      </c>
      <c r="G412" s="12" t="s">
        <v>37</v>
      </c>
      <c r="H412" s="14">
        <v>2704.8</v>
      </c>
      <c r="I412" s="15">
        <v>46109</v>
      </c>
      <c r="J412" s="12" t="str">
        <f t="shared" ca="1" si="7"/>
        <v>31-60</v>
      </c>
      <c r="K412" s="14">
        <v>2704.8</v>
      </c>
      <c r="L412" s="16">
        <v>46079</v>
      </c>
      <c r="M412" s="13" t="s">
        <v>38</v>
      </c>
      <c r="N412" s="13" t="s">
        <v>39</v>
      </c>
      <c r="O412" s="13" t="s">
        <v>40</v>
      </c>
      <c r="P412" s="13"/>
      <c r="Q412" s="13" t="s">
        <v>41</v>
      </c>
      <c r="R412" s="13" t="s">
        <v>42</v>
      </c>
      <c r="S412" s="17">
        <v>0</v>
      </c>
      <c r="T412" s="17">
        <v>9933.3799999999992</v>
      </c>
      <c r="U412" s="17">
        <v>0</v>
      </c>
      <c r="V412" s="17">
        <v>0</v>
      </c>
      <c r="W412" s="17">
        <v>0</v>
      </c>
      <c r="X412" s="17">
        <v>0</v>
      </c>
      <c r="Y412" s="17">
        <v>9933.3799999999992</v>
      </c>
      <c r="Z412" s="17">
        <v>0</v>
      </c>
      <c r="AA412" s="13" t="s">
        <v>693</v>
      </c>
      <c r="AB412" s="13" t="s">
        <v>44</v>
      </c>
      <c r="AC412" s="13" t="s">
        <v>45</v>
      </c>
      <c r="AD412" s="13" t="s">
        <v>46</v>
      </c>
      <c r="AE412" s="17">
        <v>9933.3799999999992</v>
      </c>
      <c r="AF412" s="17">
        <v>2298.63</v>
      </c>
      <c r="AG412" s="47" t="s">
        <v>876</v>
      </c>
      <c r="AH412" s="20" t="s">
        <v>806</v>
      </c>
      <c r="AI412" s="19" t="b">
        <v>1</v>
      </c>
      <c r="AJ412" s="18" t="s">
        <v>874</v>
      </c>
      <c r="AK412" s="49" t="s">
        <v>815</v>
      </c>
    </row>
    <row r="413" spans="1:37" x14ac:dyDescent="0.35">
      <c r="A413" s="12" t="s">
        <v>33</v>
      </c>
      <c r="B413" s="12">
        <v>100111923</v>
      </c>
      <c r="C413" s="13" t="s">
        <v>690</v>
      </c>
      <c r="D413" s="13" t="s">
        <v>691</v>
      </c>
      <c r="E413" s="12">
        <v>9700017667</v>
      </c>
      <c r="F413" s="13" t="s">
        <v>694</v>
      </c>
      <c r="G413" s="12" t="s">
        <v>37</v>
      </c>
      <c r="H413" s="14">
        <v>3612.95</v>
      </c>
      <c r="I413" s="15">
        <v>46109</v>
      </c>
      <c r="J413" s="12" t="str">
        <f t="shared" ca="1" si="7"/>
        <v>31-60</v>
      </c>
      <c r="K413" s="14">
        <v>3612.95</v>
      </c>
      <c r="L413" s="16">
        <v>46079</v>
      </c>
      <c r="M413" s="13" t="s">
        <v>38</v>
      </c>
      <c r="N413" s="13" t="s">
        <v>39</v>
      </c>
      <c r="O413" s="13" t="s">
        <v>40</v>
      </c>
      <c r="P413" s="13"/>
      <c r="Q413" s="13" t="s">
        <v>41</v>
      </c>
      <c r="R413" s="13" t="s">
        <v>42</v>
      </c>
      <c r="S413" s="17">
        <v>0</v>
      </c>
      <c r="T413" s="17">
        <v>13268.56</v>
      </c>
      <c r="U413" s="17">
        <v>0</v>
      </c>
      <c r="V413" s="17">
        <v>0</v>
      </c>
      <c r="W413" s="17">
        <v>0</v>
      </c>
      <c r="X413" s="17">
        <v>0</v>
      </c>
      <c r="Y413" s="17">
        <v>13268.56</v>
      </c>
      <c r="Z413" s="17">
        <v>0</v>
      </c>
      <c r="AA413" s="13" t="s">
        <v>693</v>
      </c>
      <c r="AB413" s="13" t="s">
        <v>44</v>
      </c>
      <c r="AC413" s="13" t="s">
        <v>45</v>
      </c>
      <c r="AD413" s="13" t="s">
        <v>46</v>
      </c>
      <c r="AE413" s="17">
        <v>13268.56</v>
      </c>
      <c r="AF413" s="17">
        <v>3070.41</v>
      </c>
      <c r="AG413" s="47" t="s">
        <v>876</v>
      </c>
      <c r="AH413" s="20" t="s">
        <v>806</v>
      </c>
      <c r="AI413" s="19" t="b">
        <v>1</v>
      </c>
      <c r="AJ413" s="18" t="s">
        <v>874</v>
      </c>
      <c r="AK413" s="49" t="s">
        <v>815</v>
      </c>
    </row>
    <row r="414" spans="1:37" ht="16.5" x14ac:dyDescent="0.4">
      <c r="A414" s="3"/>
      <c r="B414" s="3"/>
      <c r="C414" s="4"/>
      <c r="D414" s="4" t="s">
        <v>691</v>
      </c>
      <c r="E414" s="3"/>
      <c r="F414" s="4"/>
      <c r="G414" s="4"/>
      <c r="H414" s="43">
        <f>SUM(H412:H413)</f>
        <v>6317.75</v>
      </c>
      <c r="I414" s="5"/>
      <c r="J414" s="45" t="str">
        <f t="shared" ca="1" si="7"/>
        <v/>
      </c>
      <c r="K414" s="43">
        <f>SUM(K412:K413)</f>
        <v>6317.75</v>
      </c>
      <c r="L414" s="9"/>
      <c r="M414" s="4"/>
      <c r="N414" s="4"/>
      <c r="O414" s="4"/>
      <c r="P414" s="4"/>
      <c r="Q414" s="4"/>
      <c r="R414" s="4" t="s">
        <v>42</v>
      </c>
      <c r="S414" s="6">
        <v>0</v>
      </c>
      <c r="T414" s="6">
        <v>23201.94</v>
      </c>
      <c r="U414" s="6">
        <v>0</v>
      </c>
      <c r="V414" s="6">
        <v>0</v>
      </c>
      <c r="W414" s="6">
        <v>0</v>
      </c>
      <c r="X414" s="7"/>
      <c r="Y414" s="7"/>
      <c r="Z414" s="6">
        <v>0</v>
      </c>
      <c r="AA414" s="4"/>
      <c r="AB414" s="4"/>
      <c r="AC414" s="4"/>
      <c r="AD414" s="4"/>
      <c r="AE414" s="6">
        <v>23201.94</v>
      </c>
      <c r="AF414" s="6">
        <v>5369.04</v>
      </c>
      <c r="AG414" s="48"/>
      <c r="AH414" s="44" cm="1">
        <f t="array" ref="AH414">IFERROR(SUMPRODUCT(AF412:AF413*--(((AI412:AI413=TRUE)+(AI412:AI413=1))&gt;0)),0)</f>
        <v>5369.04</v>
      </c>
      <c r="AI414" s="54">
        <f>SUMIF(AI412:AI413,TRUE,H412:H413)/H414</f>
        <v>1</v>
      </c>
      <c r="AJ414" s="6"/>
      <c r="AK414" s="50"/>
    </row>
    <row r="415" spans="1:37" x14ac:dyDescent="0.35">
      <c r="A415" s="12" t="s">
        <v>33</v>
      </c>
      <c r="B415" s="12">
        <v>100114550</v>
      </c>
      <c r="C415" s="13" t="s">
        <v>695</v>
      </c>
      <c r="D415" s="13" t="s">
        <v>696</v>
      </c>
      <c r="E415" s="12">
        <v>9700003145</v>
      </c>
      <c r="F415" s="13" t="s">
        <v>697</v>
      </c>
      <c r="G415" s="12" t="s">
        <v>37</v>
      </c>
      <c r="H415" s="14">
        <v>8381.06</v>
      </c>
      <c r="I415" s="15">
        <v>46068</v>
      </c>
      <c r="J415" s="12" t="str">
        <f t="shared" ca="1" si="7"/>
        <v>61-90</v>
      </c>
      <c r="K415" s="14">
        <v>8381.06</v>
      </c>
      <c r="L415" s="16">
        <v>46038</v>
      </c>
      <c r="M415" s="13" t="s">
        <v>38</v>
      </c>
      <c r="N415" s="13" t="s">
        <v>39</v>
      </c>
      <c r="O415" s="13" t="s">
        <v>40</v>
      </c>
      <c r="P415" s="13"/>
      <c r="Q415" s="13" t="s">
        <v>41</v>
      </c>
      <c r="R415" s="13" t="s">
        <v>42</v>
      </c>
      <c r="S415" s="17">
        <v>0</v>
      </c>
      <c r="T415" s="17">
        <v>0</v>
      </c>
      <c r="U415" s="17">
        <v>30779.439999999999</v>
      </c>
      <c r="V415" s="17">
        <v>0</v>
      </c>
      <c r="W415" s="17">
        <v>0</v>
      </c>
      <c r="X415" s="17">
        <v>0</v>
      </c>
      <c r="Y415" s="17">
        <v>30779.439999999999</v>
      </c>
      <c r="Z415" s="17">
        <v>0</v>
      </c>
      <c r="AA415" s="13" t="s">
        <v>698</v>
      </c>
      <c r="AB415" s="13" t="s">
        <v>44</v>
      </c>
      <c r="AC415" s="13" t="s">
        <v>45</v>
      </c>
      <c r="AD415" s="13" t="s">
        <v>46</v>
      </c>
      <c r="AE415" s="17">
        <v>30779.439999999999</v>
      </c>
      <c r="AF415" s="17">
        <v>7191.57</v>
      </c>
      <c r="AG415" s="47" t="s">
        <v>876</v>
      </c>
      <c r="AH415" s="20" t="s">
        <v>821</v>
      </c>
      <c r="AI415" s="19" t="b">
        <v>0</v>
      </c>
      <c r="AJ415" s="18" t="s">
        <v>873</v>
      </c>
      <c r="AK415" s="49" t="s">
        <v>821</v>
      </c>
    </row>
    <row r="416" spans="1:37" x14ac:dyDescent="0.35">
      <c r="A416" s="12" t="s">
        <v>33</v>
      </c>
      <c r="B416" s="12">
        <v>100114550</v>
      </c>
      <c r="C416" s="13" t="s">
        <v>695</v>
      </c>
      <c r="D416" s="13" t="s">
        <v>696</v>
      </c>
      <c r="E416" s="12">
        <v>9700003898</v>
      </c>
      <c r="F416" s="13" t="s">
        <v>699</v>
      </c>
      <c r="G416" s="12" t="s">
        <v>37</v>
      </c>
      <c r="H416" s="14">
        <v>8156.56</v>
      </c>
      <c r="I416" s="15">
        <v>46071</v>
      </c>
      <c r="J416" s="12" t="str">
        <f t="shared" ca="1" si="7"/>
        <v>61-90</v>
      </c>
      <c r="K416" s="14">
        <v>8156.56</v>
      </c>
      <c r="L416" s="16">
        <v>46041</v>
      </c>
      <c r="M416" s="13" t="s">
        <v>38</v>
      </c>
      <c r="N416" s="13" t="s">
        <v>39</v>
      </c>
      <c r="O416" s="13" t="s">
        <v>40</v>
      </c>
      <c r="P416" s="13"/>
      <c r="Q416" s="13" t="s">
        <v>41</v>
      </c>
      <c r="R416" s="13" t="s">
        <v>42</v>
      </c>
      <c r="S416" s="17">
        <v>0</v>
      </c>
      <c r="T416" s="17">
        <v>0</v>
      </c>
      <c r="U416" s="17">
        <v>29954.97</v>
      </c>
      <c r="V416" s="17">
        <v>0</v>
      </c>
      <c r="W416" s="17">
        <v>0</v>
      </c>
      <c r="X416" s="17">
        <v>0</v>
      </c>
      <c r="Y416" s="17">
        <v>29954.97</v>
      </c>
      <c r="Z416" s="17">
        <v>0</v>
      </c>
      <c r="AA416" s="13" t="s">
        <v>698</v>
      </c>
      <c r="AB416" s="13" t="s">
        <v>44</v>
      </c>
      <c r="AC416" s="13" t="s">
        <v>45</v>
      </c>
      <c r="AD416" s="13" t="s">
        <v>46</v>
      </c>
      <c r="AE416" s="17">
        <v>29954.97</v>
      </c>
      <c r="AF416" s="17">
        <v>7000.74</v>
      </c>
      <c r="AG416" s="47" t="s">
        <v>876</v>
      </c>
      <c r="AH416" s="20" t="s">
        <v>821</v>
      </c>
      <c r="AI416" s="19" t="b">
        <v>0</v>
      </c>
      <c r="AJ416" s="18" t="s">
        <v>873</v>
      </c>
      <c r="AK416" s="49" t="s">
        <v>821</v>
      </c>
    </row>
    <row r="417" spans="1:37" x14ac:dyDescent="0.35">
      <c r="A417" s="12" t="s">
        <v>33</v>
      </c>
      <c r="B417" s="12">
        <v>100114550</v>
      </c>
      <c r="C417" s="13" t="s">
        <v>695</v>
      </c>
      <c r="D417" s="13" t="s">
        <v>696</v>
      </c>
      <c r="E417" s="12">
        <v>9700017321</v>
      </c>
      <c r="F417" s="13" t="s">
        <v>700</v>
      </c>
      <c r="G417" s="12" t="s">
        <v>37</v>
      </c>
      <c r="H417" s="14">
        <v>5686.89</v>
      </c>
      <c r="I417" s="15">
        <v>46107</v>
      </c>
      <c r="J417" s="12" t="str">
        <f t="shared" ca="1" si="7"/>
        <v>31-60</v>
      </c>
      <c r="K417" s="14">
        <v>5686.89</v>
      </c>
      <c r="L417" s="16">
        <v>46077</v>
      </c>
      <c r="M417" s="13" t="s">
        <v>38</v>
      </c>
      <c r="N417" s="13" t="s">
        <v>39</v>
      </c>
      <c r="O417" s="13" t="s">
        <v>40</v>
      </c>
      <c r="P417" s="13"/>
      <c r="Q417" s="13" t="s">
        <v>41</v>
      </c>
      <c r="R417" s="13" t="s">
        <v>42</v>
      </c>
      <c r="S417" s="17">
        <v>0</v>
      </c>
      <c r="T417" s="17">
        <v>20885.099999999999</v>
      </c>
      <c r="U417" s="17">
        <v>0</v>
      </c>
      <c r="V417" s="17">
        <v>0</v>
      </c>
      <c r="W417" s="17">
        <v>0</v>
      </c>
      <c r="X417" s="17">
        <v>0</v>
      </c>
      <c r="Y417" s="17">
        <v>20885.099999999999</v>
      </c>
      <c r="Z417" s="17">
        <v>0</v>
      </c>
      <c r="AA417" s="13" t="s">
        <v>701</v>
      </c>
      <c r="AB417" s="13" t="s">
        <v>44</v>
      </c>
      <c r="AC417" s="13" t="s">
        <v>45</v>
      </c>
      <c r="AD417" s="13" t="s">
        <v>46</v>
      </c>
      <c r="AE417" s="17">
        <v>20885.099999999999</v>
      </c>
      <c r="AF417" s="17">
        <v>4832.91</v>
      </c>
      <c r="AG417" s="47" t="s">
        <v>884</v>
      </c>
      <c r="AH417" s="20" t="s">
        <v>821</v>
      </c>
      <c r="AI417" s="19" t="b">
        <v>0</v>
      </c>
      <c r="AJ417" s="18" t="s">
        <v>873</v>
      </c>
      <c r="AK417" s="49" t="s">
        <v>821</v>
      </c>
    </row>
    <row r="418" spans="1:37" x14ac:dyDescent="0.35">
      <c r="A418" s="12" t="s">
        <v>33</v>
      </c>
      <c r="B418" s="12">
        <v>100114550</v>
      </c>
      <c r="C418" s="13" t="s">
        <v>695</v>
      </c>
      <c r="D418" s="13" t="s">
        <v>696</v>
      </c>
      <c r="E418" s="12">
        <v>9700025717</v>
      </c>
      <c r="F418" s="13" t="s">
        <v>702</v>
      </c>
      <c r="G418" s="12" t="s">
        <v>37</v>
      </c>
      <c r="H418" s="14">
        <v>4661.5</v>
      </c>
      <c r="I418" s="15">
        <v>46141</v>
      </c>
      <c r="J418" s="12" t="str">
        <f t="shared" ca="1" si="7"/>
        <v>Current</v>
      </c>
      <c r="K418" s="14">
        <v>4661.5</v>
      </c>
      <c r="L418" s="16">
        <v>46111</v>
      </c>
      <c r="M418" s="13" t="s">
        <v>38</v>
      </c>
      <c r="N418" s="13" t="s">
        <v>39</v>
      </c>
      <c r="O418" s="13" t="s">
        <v>40</v>
      </c>
      <c r="P418" s="13"/>
      <c r="Q418" s="13" t="s">
        <v>41</v>
      </c>
      <c r="R418" s="13" t="s">
        <v>42</v>
      </c>
      <c r="S418" s="17">
        <v>17119.36</v>
      </c>
      <c r="T418" s="17">
        <v>0</v>
      </c>
      <c r="U418" s="17">
        <v>0</v>
      </c>
      <c r="V418" s="17">
        <v>0</v>
      </c>
      <c r="W418" s="17">
        <v>0</v>
      </c>
      <c r="X418" s="17">
        <v>0</v>
      </c>
      <c r="Y418" s="17">
        <v>0</v>
      </c>
      <c r="Z418" s="17">
        <v>0</v>
      </c>
      <c r="AA418" s="13" t="s">
        <v>701</v>
      </c>
      <c r="AB418" s="13" t="s">
        <v>44</v>
      </c>
      <c r="AC418" s="13" t="s">
        <v>45</v>
      </c>
      <c r="AD418" s="13" t="s">
        <v>46</v>
      </c>
      <c r="AE418" s="17">
        <v>17119.36</v>
      </c>
      <c r="AF418" s="17">
        <v>4028.26</v>
      </c>
      <c r="AG418" s="47" t="s">
        <v>884</v>
      </c>
      <c r="AH418" s="20" t="e">
        <v>#N/A</v>
      </c>
      <c r="AI418" s="19" t="b">
        <v>0</v>
      </c>
      <c r="AJ418" s="18" t="s">
        <v>873</v>
      </c>
      <c r="AK418" s="49" t="s">
        <v>821</v>
      </c>
    </row>
    <row r="419" spans="1:37" x14ac:dyDescent="0.35">
      <c r="A419" s="12" t="s">
        <v>33</v>
      </c>
      <c r="B419" s="12">
        <v>100114550</v>
      </c>
      <c r="C419" s="13" t="s">
        <v>695</v>
      </c>
      <c r="D419" s="13" t="s">
        <v>696</v>
      </c>
      <c r="E419" s="12">
        <v>9700031406</v>
      </c>
      <c r="F419" s="13" t="s">
        <v>703</v>
      </c>
      <c r="G419" s="12" t="s">
        <v>37</v>
      </c>
      <c r="H419" s="14">
        <v>16603.96</v>
      </c>
      <c r="I419" s="15">
        <v>45819</v>
      </c>
      <c r="J419" s="12" t="str">
        <f t="shared" ca="1" si="7"/>
        <v>120 +</v>
      </c>
      <c r="K419" s="14">
        <v>16603.96</v>
      </c>
      <c r="L419" s="16">
        <v>45789</v>
      </c>
      <c r="M419" s="13" t="s">
        <v>38</v>
      </c>
      <c r="N419" s="13" t="s">
        <v>39</v>
      </c>
      <c r="O419" s="13" t="s">
        <v>40</v>
      </c>
      <c r="P419" s="13"/>
      <c r="Q419" s="13" t="s">
        <v>41</v>
      </c>
      <c r="R419" s="13" t="s">
        <v>42</v>
      </c>
      <c r="S419" s="17">
        <v>0</v>
      </c>
      <c r="T419" s="17">
        <v>0</v>
      </c>
      <c r="U419" s="17">
        <v>0</v>
      </c>
      <c r="V419" s="17">
        <v>0</v>
      </c>
      <c r="W419" s="17">
        <v>0</v>
      </c>
      <c r="X419" s="17">
        <v>60978.04</v>
      </c>
      <c r="Y419" s="17">
        <v>60978.04</v>
      </c>
      <c r="Z419" s="17">
        <v>0</v>
      </c>
      <c r="AA419" s="13" t="s">
        <v>704</v>
      </c>
      <c r="AB419" s="13" t="s">
        <v>44</v>
      </c>
      <c r="AC419" s="13" t="s">
        <v>45</v>
      </c>
      <c r="AD419" s="13" t="s">
        <v>46</v>
      </c>
      <c r="AE419" s="17">
        <v>60978.04</v>
      </c>
      <c r="AF419" s="17">
        <v>14616.16</v>
      </c>
      <c r="AG419" s="47" t="s">
        <v>883</v>
      </c>
      <c r="AH419" s="20" t="s">
        <v>822</v>
      </c>
      <c r="AI419" s="19" t="b">
        <v>0</v>
      </c>
      <c r="AJ419" s="18" t="s">
        <v>873</v>
      </c>
      <c r="AK419" s="49" t="s">
        <v>822</v>
      </c>
    </row>
    <row r="420" spans="1:37" x14ac:dyDescent="0.35">
      <c r="A420" s="12" t="s">
        <v>33</v>
      </c>
      <c r="B420" s="12">
        <v>100114550</v>
      </c>
      <c r="C420" s="13" t="s">
        <v>695</v>
      </c>
      <c r="D420" s="13" t="s">
        <v>696</v>
      </c>
      <c r="E420" s="12">
        <v>9700031407</v>
      </c>
      <c r="F420" s="13" t="s">
        <v>705</v>
      </c>
      <c r="G420" s="12" t="s">
        <v>37</v>
      </c>
      <c r="H420" s="14">
        <v>7666.32</v>
      </c>
      <c r="I420" s="15">
        <v>45819</v>
      </c>
      <c r="J420" s="12" t="str">
        <f t="shared" ca="1" si="7"/>
        <v>120 +</v>
      </c>
      <c r="K420" s="14">
        <v>7666.32</v>
      </c>
      <c r="L420" s="16">
        <v>45789</v>
      </c>
      <c r="M420" s="13" t="s">
        <v>38</v>
      </c>
      <c r="N420" s="13" t="s">
        <v>39</v>
      </c>
      <c r="O420" s="13" t="s">
        <v>40</v>
      </c>
      <c r="P420" s="13"/>
      <c r="Q420" s="13" t="s">
        <v>41</v>
      </c>
      <c r="R420" s="13" t="s">
        <v>42</v>
      </c>
      <c r="S420" s="17">
        <v>0</v>
      </c>
      <c r="T420" s="17">
        <v>0</v>
      </c>
      <c r="U420" s="17">
        <v>0</v>
      </c>
      <c r="V420" s="17">
        <v>0</v>
      </c>
      <c r="W420" s="17">
        <v>0</v>
      </c>
      <c r="X420" s="17">
        <v>28154.560000000001</v>
      </c>
      <c r="Y420" s="17">
        <v>28154.560000000001</v>
      </c>
      <c r="Z420" s="17">
        <v>0</v>
      </c>
      <c r="AA420" s="13" t="s">
        <v>706</v>
      </c>
      <c r="AB420" s="13" t="s">
        <v>44</v>
      </c>
      <c r="AC420" s="13" t="s">
        <v>45</v>
      </c>
      <c r="AD420" s="13" t="s">
        <v>46</v>
      </c>
      <c r="AE420" s="17">
        <v>28154.560000000001</v>
      </c>
      <c r="AF420" s="17">
        <v>6748.52</v>
      </c>
      <c r="AG420" s="47" t="s">
        <v>882</v>
      </c>
      <c r="AH420" s="20" t="s">
        <v>822</v>
      </c>
      <c r="AI420" s="19" t="b">
        <v>0</v>
      </c>
      <c r="AJ420" s="18" t="s">
        <v>873</v>
      </c>
      <c r="AK420" s="49" t="s">
        <v>822</v>
      </c>
    </row>
    <row r="421" spans="1:37" x14ac:dyDescent="0.35">
      <c r="A421" s="12" t="s">
        <v>33</v>
      </c>
      <c r="B421" s="12">
        <v>100114550</v>
      </c>
      <c r="C421" s="13" t="s">
        <v>695</v>
      </c>
      <c r="D421" s="13" t="s">
        <v>696</v>
      </c>
      <c r="E421" s="12">
        <v>9700031411</v>
      </c>
      <c r="F421" s="13" t="s">
        <v>707</v>
      </c>
      <c r="G421" s="12" t="s">
        <v>37</v>
      </c>
      <c r="H421" s="14">
        <v>8009.56</v>
      </c>
      <c r="I421" s="15">
        <v>45819</v>
      </c>
      <c r="J421" s="12" t="str">
        <f t="shared" ca="1" si="7"/>
        <v>120 +</v>
      </c>
      <c r="K421" s="14">
        <v>8009.56</v>
      </c>
      <c r="L421" s="16">
        <v>45789</v>
      </c>
      <c r="M421" s="13" t="s">
        <v>38</v>
      </c>
      <c r="N421" s="13" t="s">
        <v>39</v>
      </c>
      <c r="O421" s="13" t="s">
        <v>40</v>
      </c>
      <c r="P421" s="13"/>
      <c r="Q421" s="13" t="s">
        <v>41</v>
      </c>
      <c r="R421" s="13" t="s">
        <v>42</v>
      </c>
      <c r="S421" s="17">
        <v>0</v>
      </c>
      <c r="T421" s="17">
        <v>0</v>
      </c>
      <c r="U421" s="17">
        <v>0</v>
      </c>
      <c r="V421" s="17">
        <v>0</v>
      </c>
      <c r="W421" s="17">
        <v>0</v>
      </c>
      <c r="X421" s="17">
        <v>29415.11</v>
      </c>
      <c r="Y421" s="17">
        <v>29415.11</v>
      </c>
      <c r="Z421" s="17">
        <v>0</v>
      </c>
      <c r="AA421" s="13" t="s">
        <v>698</v>
      </c>
      <c r="AB421" s="13" t="s">
        <v>44</v>
      </c>
      <c r="AC421" s="13" t="s">
        <v>45</v>
      </c>
      <c r="AD421" s="13" t="s">
        <v>46</v>
      </c>
      <c r="AE421" s="17">
        <v>29415.11</v>
      </c>
      <c r="AF421" s="17">
        <v>7050.67</v>
      </c>
      <c r="AG421" s="47" t="s">
        <v>876</v>
      </c>
      <c r="AH421" s="20" t="s">
        <v>822</v>
      </c>
      <c r="AI421" s="19" t="b">
        <v>0</v>
      </c>
      <c r="AJ421" s="18" t="s">
        <v>873</v>
      </c>
      <c r="AK421" s="49" t="s">
        <v>822</v>
      </c>
    </row>
    <row r="422" spans="1:37" x14ac:dyDescent="0.35">
      <c r="A422" s="12" t="s">
        <v>33</v>
      </c>
      <c r="B422" s="12">
        <v>100114550</v>
      </c>
      <c r="C422" s="13" t="s">
        <v>695</v>
      </c>
      <c r="D422" s="13" t="s">
        <v>696</v>
      </c>
      <c r="E422" s="12">
        <v>9700034358</v>
      </c>
      <c r="F422" s="13" t="s">
        <v>708</v>
      </c>
      <c r="G422" s="12" t="s">
        <v>37</v>
      </c>
      <c r="H422" s="14">
        <v>4653.12</v>
      </c>
      <c r="I422" s="15">
        <v>45826</v>
      </c>
      <c r="J422" s="12" t="str">
        <f t="shared" ca="1" si="7"/>
        <v>120 +</v>
      </c>
      <c r="K422" s="14">
        <v>4653.12</v>
      </c>
      <c r="L422" s="16">
        <v>45796</v>
      </c>
      <c r="M422" s="13" t="s">
        <v>38</v>
      </c>
      <c r="N422" s="13" t="s">
        <v>39</v>
      </c>
      <c r="O422" s="13" t="s">
        <v>40</v>
      </c>
      <c r="P422" s="13"/>
      <c r="Q422" s="13" t="s">
        <v>41</v>
      </c>
      <c r="R422" s="13" t="s">
        <v>42</v>
      </c>
      <c r="S422" s="17">
        <v>0</v>
      </c>
      <c r="T422" s="17">
        <v>0</v>
      </c>
      <c r="U422" s="17">
        <v>0</v>
      </c>
      <c r="V422" s="17">
        <v>0</v>
      </c>
      <c r="W422" s="17">
        <v>0</v>
      </c>
      <c r="X422" s="17">
        <v>17088.580000000002</v>
      </c>
      <c r="Y422" s="17">
        <v>17088.580000000002</v>
      </c>
      <c r="Z422" s="17">
        <v>0</v>
      </c>
      <c r="AA422" s="13" t="s">
        <v>698</v>
      </c>
      <c r="AB422" s="13" t="s">
        <v>44</v>
      </c>
      <c r="AC422" s="13" t="s">
        <v>45</v>
      </c>
      <c r="AD422" s="13" t="s">
        <v>46</v>
      </c>
      <c r="AE422" s="17">
        <v>17088.580000000002</v>
      </c>
      <c r="AF422" s="17">
        <v>4160.1400000000003</v>
      </c>
      <c r="AG422" s="47" t="s">
        <v>876</v>
      </c>
      <c r="AH422" s="20" t="s">
        <v>822</v>
      </c>
      <c r="AI422" s="19" t="b">
        <v>0</v>
      </c>
      <c r="AJ422" s="18" t="s">
        <v>873</v>
      </c>
      <c r="AK422" s="49" t="s">
        <v>822</v>
      </c>
    </row>
    <row r="423" spans="1:37" x14ac:dyDescent="0.35">
      <c r="A423" s="12" t="s">
        <v>33</v>
      </c>
      <c r="B423" s="12">
        <v>100114550</v>
      </c>
      <c r="C423" s="13" t="s">
        <v>695</v>
      </c>
      <c r="D423" s="13" t="s">
        <v>696</v>
      </c>
      <c r="E423" s="12">
        <v>9700034714</v>
      </c>
      <c r="F423" s="13" t="s">
        <v>709</v>
      </c>
      <c r="G423" s="12" t="s">
        <v>37</v>
      </c>
      <c r="H423" s="14">
        <v>6844.02</v>
      </c>
      <c r="I423" s="15">
        <v>45828</v>
      </c>
      <c r="J423" s="12" t="str">
        <f t="shared" ca="1" si="7"/>
        <v>120 +</v>
      </c>
      <c r="K423" s="14">
        <v>6844.02</v>
      </c>
      <c r="L423" s="16">
        <v>45798</v>
      </c>
      <c r="M423" s="13" t="s">
        <v>38</v>
      </c>
      <c r="N423" s="13" t="s">
        <v>39</v>
      </c>
      <c r="O423" s="13" t="s">
        <v>40</v>
      </c>
      <c r="P423" s="13"/>
      <c r="Q423" s="13" t="s">
        <v>41</v>
      </c>
      <c r="R423" s="13" t="s">
        <v>42</v>
      </c>
      <c r="S423" s="17">
        <v>0</v>
      </c>
      <c r="T423" s="17">
        <v>0</v>
      </c>
      <c r="U423" s="17">
        <v>0</v>
      </c>
      <c r="V423" s="17">
        <v>0</v>
      </c>
      <c r="W423" s="17">
        <v>0</v>
      </c>
      <c r="X423" s="17">
        <v>25134.66</v>
      </c>
      <c r="Y423" s="17">
        <v>25134.66</v>
      </c>
      <c r="Z423" s="17">
        <v>0</v>
      </c>
      <c r="AA423" s="13" t="s">
        <v>698</v>
      </c>
      <c r="AB423" s="13" t="s">
        <v>44</v>
      </c>
      <c r="AC423" s="13" t="s">
        <v>45</v>
      </c>
      <c r="AD423" s="13" t="s">
        <v>46</v>
      </c>
      <c r="AE423" s="17">
        <v>25134.66</v>
      </c>
      <c r="AF423" s="17">
        <v>6114.01</v>
      </c>
      <c r="AG423" s="47" t="s">
        <v>876</v>
      </c>
      <c r="AH423" s="20" t="s">
        <v>822</v>
      </c>
      <c r="AI423" s="19" t="b">
        <v>0</v>
      </c>
      <c r="AJ423" s="18" t="s">
        <v>873</v>
      </c>
      <c r="AK423" s="49" t="s">
        <v>822</v>
      </c>
    </row>
    <row r="424" spans="1:37" x14ac:dyDescent="0.35">
      <c r="A424" s="12" t="s">
        <v>33</v>
      </c>
      <c r="B424" s="12">
        <v>100114550</v>
      </c>
      <c r="C424" s="13" t="s">
        <v>695</v>
      </c>
      <c r="D424" s="13" t="s">
        <v>696</v>
      </c>
      <c r="E424" s="12">
        <v>9700041210</v>
      </c>
      <c r="F424" s="13" t="s">
        <v>710</v>
      </c>
      <c r="G424" s="12" t="s">
        <v>37</v>
      </c>
      <c r="H424" s="14">
        <v>6859.05</v>
      </c>
      <c r="I424" s="15">
        <v>45856</v>
      </c>
      <c r="J424" s="12" t="str">
        <f t="shared" ca="1" si="7"/>
        <v>120 +</v>
      </c>
      <c r="K424" s="14">
        <v>6859.05</v>
      </c>
      <c r="L424" s="16">
        <v>45826</v>
      </c>
      <c r="M424" s="13" t="s">
        <v>38</v>
      </c>
      <c r="N424" s="13" t="s">
        <v>39</v>
      </c>
      <c r="O424" s="13" t="s">
        <v>40</v>
      </c>
      <c r="P424" s="13"/>
      <c r="Q424" s="13" t="s">
        <v>41</v>
      </c>
      <c r="R424" s="13" t="s">
        <v>42</v>
      </c>
      <c r="S424" s="17">
        <v>0</v>
      </c>
      <c r="T424" s="17">
        <v>0</v>
      </c>
      <c r="U424" s="17">
        <v>0</v>
      </c>
      <c r="V424" s="17">
        <v>0</v>
      </c>
      <c r="W424" s="17">
        <v>0</v>
      </c>
      <c r="X424" s="17">
        <v>25189.86</v>
      </c>
      <c r="Y424" s="17">
        <v>25189.86</v>
      </c>
      <c r="Z424" s="17">
        <v>0</v>
      </c>
      <c r="AA424" s="13" t="s">
        <v>698</v>
      </c>
      <c r="AB424" s="13" t="s">
        <v>44</v>
      </c>
      <c r="AC424" s="13" t="s">
        <v>45</v>
      </c>
      <c r="AD424" s="13" t="s">
        <v>46</v>
      </c>
      <c r="AE424" s="17">
        <v>25189.86</v>
      </c>
      <c r="AF424" s="17">
        <v>5926.26</v>
      </c>
      <c r="AG424" s="47" t="s">
        <v>876</v>
      </c>
      <c r="AH424" s="20" t="s">
        <v>822</v>
      </c>
      <c r="AI424" s="19" t="b">
        <v>0</v>
      </c>
      <c r="AJ424" s="18" t="s">
        <v>873</v>
      </c>
      <c r="AK424" s="49" t="s">
        <v>822</v>
      </c>
    </row>
    <row r="425" spans="1:37" x14ac:dyDescent="0.35">
      <c r="A425" s="12" t="s">
        <v>33</v>
      </c>
      <c r="B425" s="12">
        <v>100114550</v>
      </c>
      <c r="C425" s="13" t="s">
        <v>695</v>
      </c>
      <c r="D425" s="13" t="s">
        <v>696</v>
      </c>
      <c r="E425" s="12">
        <v>9700050807</v>
      </c>
      <c r="F425" s="13" t="s">
        <v>711</v>
      </c>
      <c r="G425" s="12" t="s">
        <v>37</v>
      </c>
      <c r="H425" s="14">
        <v>6400.14</v>
      </c>
      <c r="I425" s="15">
        <v>45893</v>
      </c>
      <c r="J425" s="12" t="str">
        <f t="shared" ca="1" si="7"/>
        <v>120 +</v>
      </c>
      <c r="K425" s="14">
        <v>6400.14</v>
      </c>
      <c r="L425" s="16">
        <v>45863</v>
      </c>
      <c r="M425" s="13" t="s">
        <v>38</v>
      </c>
      <c r="N425" s="13" t="s">
        <v>39</v>
      </c>
      <c r="O425" s="13" t="s">
        <v>40</v>
      </c>
      <c r="P425" s="13"/>
      <c r="Q425" s="13" t="s">
        <v>41</v>
      </c>
      <c r="R425" s="13" t="s">
        <v>42</v>
      </c>
      <c r="S425" s="17">
        <v>0</v>
      </c>
      <c r="T425" s="17">
        <v>0</v>
      </c>
      <c r="U425" s="17">
        <v>0</v>
      </c>
      <c r="V425" s="17">
        <v>0</v>
      </c>
      <c r="W425" s="17">
        <v>0</v>
      </c>
      <c r="X425" s="17">
        <v>23504.51</v>
      </c>
      <c r="Y425" s="17">
        <v>23504.51</v>
      </c>
      <c r="Z425" s="17">
        <v>0</v>
      </c>
      <c r="AA425" s="13" t="s">
        <v>698</v>
      </c>
      <c r="AB425" s="13" t="s">
        <v>44</v>
      </c>
      <c r="AC425" s="13" t="s">
        <v>45</v>
      </c>
      <c r="AD425" s="13" t="s">
        <v>46</v>
      </c>
      <c r="AE425" s="17">
        <v>23504.51</v>
      </c>
      <c r="AF425" s="17">
        <v>5444.15</v>
      </c>
      <c r="AG425" s="47" t="s">
        <v>876</v>
      </c>
      <c r="AH425" s="20" t="s">
        <v>822</v>
      </c>
      <c r="AI425" s="19" t="b">
        <v>0</v>
      </c>
      <c r="AJ425" s="18" t="s">
        <v>873</v>
      </c>
      <c r="AK425" s="49" t="s">
        <v>822</v>
      </c>
    </row>
    <row r="426" spans="1:37" x14ac:dyDescent="0.35">
      <c r="A426" s="12" t="s">
        <v>33</v>
      </c>
      <c r="B426" s="12">
        <v>100114550</v>
      </c>
      <c r="C426" s="13" t="s">
        <v>695</v>
      </c>
      <c r="D426" s="13" t="s">
        <v>696</v>
      </c>
      <c r="E426" s="12">
        <v>9700051370</v>
      </c>
      <c r="F426" s="13" t="s">
        <v>712</v>
      </c>
      <c r="G426" s="12" t="s">
        <v>37</v>
      </c>
      <c r="H426" s="14">
        <v>-110.39</v>
      </c>
      <c r="I426" s="15">
        <v>45896</v>
      </c>
      <c r="J426" s="12" t="str">
        <f t="shared" ca="1" si="7"/>
        <v>120 +</v>
      </c>
      <c r="K426" s="14">
        <v>-110.39</v>
      </c>
      <c r="L426" s="16">
        <v>45866</v>
      </c>
      <c r="M426" s="13" t="s">
        <v>38</v>
      </c>
      <c r="N426" s="13" t="s">
        <v>39</v>
      </c>
      <c r="O426" s="13" t="s">
        <v>40</v>
      </c>
      <c r="P426" s="13" t="s">
        <v>62</v>
      </c>
      <c r="Q426" s="13" t="s">
        <v>41</v>
      </c>
      <c r="R426" s="13" t="s">
        <v>42</v>
      </c>
      <c r="S426" s="17">
        <v>-405.41</v>
      </c>
      <c r="T426" s="17">
        <v>0</v>
      </c>
      <c r="U426" s="17">
        <v>0</v>
      </c>
      <c r="V426" s="17">
        <v>0</v>
      </c>
      <c r="W426" s="17">
        <v>0</v>
      </c>
      <c r="X426" s="17">
        <v>0</v>
      </c>
      <c r="Y426" s="17">
        <v>0</v>
      </c>
      <c r="Z426" s="17">
        <v>0</v>
      </c>
      <c r="AA426" s="13"/>
      <c r="AB426" s="13" t="s">
        <v>44</v>
      </c>
      <c r="AC426" s="13" t="s">
        <v>45</v>
      </c>
      <c r="AD426" s="13" t="s">
        <v>46</v>
      </c>
      <c r="AE426" s="17">
        <v>-405.41</v>
      </c>
      <c r="AF426" s="17">
        <v>-94.16</v>
      </c>
      <c r="AG426" s="47" t="e">
        <v>#N/A</v>
      </c>
      <c r="AH426" s="20" t="s">
        <v>822</v>
      </c>
      <c r="AI426" s="19" t="b">
        <v>0</v>
      </c>
      <c r="AJ426" s="18" t="s">
        <v>873</v>
      </c>
      <c r="AK426" s="49" t="s">
        <v>822</v>
      </c>
    </row>
    <row r="427" spans="1:37" x14ac:dyDescent="0.35">
      <c r="A427" s="12" t="s">
        <v>33</v>
      </c>
      <c r="B427" s="12">
        <v>100114550</v>
      </c>
      <c r="C427" s="13" t="s">
        <v>695</v>
      </c>
      <c r="D427" s="13" t="s">
        <v>696</v>
      </c>
      <c r="E427" s="12">
        <v>9700061999</v>
      </c>
      <c r="F427" s="13" t="s">
        <v>713</v>
      </c>
      <c r="G427" s="12" t="s">
        <v>37</v>
      </c>
      <c r="H427" s="14">
        <v>5552.91</v>
      </c>
      <c r="I427" s="15">
        <v>45940</v>
      </c>
      <c r="J427" s="12" t="str">
        <f t="shared" ca="1" si="7"/>
        <v>120 +</v>
      </c>
      <c r="K427" s="14">
        <v>5552.91</v>
      </c>
      <c r="L427" s="16">
        <v>45910</v>
      </c>
      <c r="M427" s="13" t="s">
        <v>38</v>
      </c>
      <c r="N427" s="13" t="s">
        <v>39</v>
      </c>
      <c r="O427" s="13" t="s">
        <v>40</v>
      </c>
      <c r="P427" s="13"/>
      <c r="Q427" s="13" t="s">
        <v>41</v>
      </c>
      <c r="R427" s="13" t="s">
        <v>42</v>
      </c>
      <c r="S427" s="17">
        <v>0</v>
      </c>
      <c r="T427" s="17">
        <v>0</v>
      </c>
      <c r="U427" s="17">
        <v>0</v>
      </c>
      <c r="V427" s="17">
        <v>0</v>
      </c>
      <c r="W427" s="17">
        <v>0</v>
      </c>
      <c r="X427" s="17">
        <v>20393.060000000001</v>
      </c>
      <c r="Y427" s="17">
        <v>20393.060000000001</v>
      </c>
      <c r="Z427" s="17">
        <v>0</v>
      </c>
      <c r="AA427" s="13" t="s">
        <v>698</v>
      </c>
      <c r="AB427" s="13" t="s">
        <v>44</v>
      </c>
      <c r="AC427" s="13" t="s">
        <v>45</v>
      </c>
      <c r="AD427" s="13" t="s">
        <v>46</v>
      </c>
      <c r="AE427" s="17">
        <v>20393.060000000001</v>
      </c>
      <c r="AF427" s="17">
        <v>4728.3</v>
      </c>
      <c r="AG427" s="47" t="s">
        <v>876</v>
      </c>
      <c r="AH427" s="20" t="s">
        <v>822</v>
      </c>
      <c r="AI427" s="19" t="b">
        <v>0</v>
      </c>
      <c r="AJ427" s="18" t="s">
        <v>873</v>
      </c>
      <c r="AK427" s="49" t="s">
        <v>822</v>
      </c>
    </row>
    <row r="428" spans="1:37" x14ac:dyDescent="0.35">
      <c r="A428" s="12" t="s">
        <v>33</v>
      </c>
      <c r="B428" s="12">
        <v>100114550</v>
      </c>
      <c r="C428" s="13" t="s">
        <v>695</v>
      </c>
      <c r="D428" s="13" t="s">
        <v>696</v>
      </c>
      <c r="E428" s="12">
        <v>9700062000</v>
      </c>
      <c r="F428" s="13" t="s">
        <v>714</v>
      </c>
      <c r="G428" s="12" t="s">
        <v>37</v>
      </c>
      <c r="H428" s="14">
        <v>8176.06</v>
      </c>
      <c r="I428" s="15">
        <v>45940</v>
      </c>
      <c r="J428" s="12" t="str">
        <f t="shared" ca="1" si="7"/>
        <v>120 +</v>
      </c>
      <c r="K428" s="14">
        <v>8176.06</v>
      </c>
      <c r="L428" s="16">
        <v>45910</v>
      </c>
      <c r="M428" s="13" t="s">
        <v>38</v>
      </c>
      <c r="N428" s="13" t="s">
        <v>39</v>
      </c>
      <c r="O428" s="13" t="s">
        <v>40</v>
      </c>
      <c r="P428" s="13"/>
      <c r="Q428" s="13" t="s">
        <v>41</v>
      </c>
      <c r="R428" s="13" t="s">
        <v>42</v>
      </c>
      <c r="S428" s="17">
        <v>0</v>
      </c>
      <c r="T428" s="17">
        <v>0</v>
      </c>
      <c r="U428" s="17">
        <v>0</v>
      </c>
      <c r="V428" s="17">
        <v>0</v>
      </c>
      <c r="W428" s="17">
        <v>0</v>
      </c>
      <c r="X428" s="17">
        <v>30026.58</v>
      </c>
      <c r="Y428" s="17">
        <v>30026.58</v>
      </c>
      <c r="Z428" s="17">
        <v>0</v>
      </c>
      <c r="AA428" s="13" t="s">
        <v>698</v>
      </c>
      <c r="AB428" s="13" t="s">
        <v>44</v>
      </c>
      <c r="AC428" s="13" t="s">
        <v>45</v>
      </c>
      <c r="AD428" s="13" t="s">
        <v>46</v>
      </c>
      <c r="AE428" s="17">
        <v>30026.58</v>
      </c>
      <c r="AF428" s="17">
        <v>6961.9</v>
      </c>
      <c r="AG428" s="47" t="s">
        <v>876</v>
      </c>
      <c r="AH428" s="20" t="s">
        <v>822</v>
      </c>
      <c r="AI428" s="19" t="b">
        <v>0</v>
      </c>
      <c r="AJ428" s="18" t="s">
        <v>873</v>
      </c>
      <c r="AK428" s="49" t="s">
        <v>822</v>
      </c>
    </row>
    <row r="429" spans="1:37" x14ac:dyDescent="0.35">
      <c r="A429" s="12" t="s">
        <v>33</v>
      </c>
      <c r="B429" s="12">
        <v>100114550</v>
      </c>
      <c r="C429" s="13" t="s">
        <v>695</v>
      </c>
      <c r="D429" s="13" t="s">
        <v>696</v>
      </c>
      <c r="E429" s="12">
        <v>9700069499</v>
      </c>
      <c r="F429" s="13" t="s">
        <v>715</v>
      </c>
      <c r="G429" s="12" t="s">
        <v>37</v>
      </c>
      <c r="H429" s="14">
        <v>8322.93</v>
      </c>
      <c r="I429" s="15">
        <v>45970</v>
      </c>
      <c r="J429" s="12" t="str">
        <f t="shared" ca="1" si="7"/>
        <v>120 +</v>
      </c>
      <c r="K429" s="14">
        <v>8322.93</v>
      </c>
      <c r="L429" s="16">
        <v>45940</v>
      </c>
      <c r="M429" s="13" t="s">
        <v>38</v>
      </c>
      <c r="N429" s="13" t="s">
        <v>39</v>
      </c>
      <c r="O429" s="13" t="s">
        <v>40</v>
      </c>
      <c r="P429" s="13"/>
      <c r="Q429" s="13" t="s">
        <v>41</v>
      </c>
      <c r="R429" s="13" t="s">
        <v>42</v>
      </c>
      <c r="S429" s="17">
        <v>0</v>
      </c>
      <c r="T429" s="17">
        <v>0</v>
      </c>
      <c r="U429" s="17">
        <v>0</v>
      </c>
      <c r="V429" s="17">
        <v>0</v>
      </c>
      <c r="W429" s="17">
        <v>0</v>
      </c>
      <c r="X429" s="17">
        <v>30565.96</v>
      </c>
      <c r="Y429" s="17">
        <v>30565.96</v>
      </c>
      <c r="Z429" s="17">
        <v>0</v>
      </c>
      <c r="AA429" s="13" t="s">
        <v>698</v>
      </c>
      <c r="AB429" s="13" t="s">
        <v>44</v>
      </c>
      <c r="AC429" s="13" t="s">
        <v>45</v>
      </c>
      <c r="AD429" s="13" t="s">
        <v>46</v>
      </c>
      <c r="AE429" s="17">
        <v>30565.96</v>
      </c>
      <c r="AF429" s="17">
        <v>7134.35</v>
      </c>
      <c r="AG429" s="47" t="s">
        <v>876</v>
      </c>
      <c r="AH429" s="20" t="s">
        <v>822</v>
      </c>
      <c r="AI429" s="19" t="b">
        <v>0</v>
      </c>
      <c r="AJ429" s="18" t="s">
        <v>873</v>
      </c>
      <c r="AK429" s="49" t="s">
        <v>822</v>
      </c>
    </row>
    <row r="430" spans="1:37" x14ac:dyDescent="0.35">
      <c r="A430" s="12" t="s">
        <v>33</v>
      </c>
      <c r="B430" s="12">
        <v>100114550</v>
      </c>
      <c r="C430" s="13" t="s">
        <v>695</v>
      </c>
      <c r="D430" s="13" t="s">
        <v>696</v>
      </c>
      <c r="E430" s="12">
        <v>9700083305</v>
      </c>
      <c r="F430" s="13" t="s">
        <v>716</v>
      </c>
      <c r="G430" s="12" t="s">
        <v>37</v>
      </c>
      <c r="H430" s="14">
        <v>8380.2900000000009</v>
      </c>
      <c r="I430" s="15">
        <v>46015</v>
      </c>
      <c r="J430" s="12" t="str">
        <f t="shared" ca="1" si="7"/>
        <v>120 +</v>
      </c>
      <c r="K430" s="14">
        <v>8380.2900000000009</v>
      </c>
      <c r="L430" s="16">
        <v>45985</v>
      </c>
      <c r="M430" s="13" t="s">
        <v>38</v>
      </c>
      <c r="N430" s="13" t="s">
        <v>39</v>
      </c>
      <c r="O430" s="13" t="s">
        <v>40</v>
      </c>
      <c r="P430" s="13"/>
      <c r="Q430" s="13" t="s">
        <v>41</v>
      </c>
      <c r="R430" s="13" t="s">
        <v>42</v>
      </c>
      <c r="S430" s="17">
        <v>0</v>
      </c>
      <c r="T430" s="17">
        <v>0</v>
      </c>
      <c r="U430" s="17">
        <v>0</v>
      </c>
      <c r="V430" s="17">
        <v>0</v>
      </c>
      <c r="W430" s="17">
        <v>30776.62</v>
      </c>
      <c r="X430" s="17">
        <v>0</v>
      </c>
      <c r="Y430" s="17">
        <v>30776.62</v>
      </c>
      <c r="Z430" s="17">
        <v>0</v>
      </c>
      <c r="AA430" s="13" t="s">
        <v>698</v>
      </c>
      <c r="AB430" s="13" t="s">
        <v>44</v>
      </c>
      <c r="AC430" s="13" t="s">
        <v>45</v>
      </c>
      <c r="AD430" s="13" t="s">
        <v>46</v>
      </c>
      <c r="AE430" s="17">
        <v>30776.62</v>
      </c>
      <c r="AF430" s="17">
        <v>7274.56</v>
      </c>
      <c r="AG430" s="47" t="s">
        <v>876</v>
      </c>
      <c r="AH430" s="20" t="s">
        <v>822</v>
      </c>
      <c r="AI430" s="19" t="b">
        <v>0</v>
      </c>
      <c r="AJ430" s="18" t="s">
        <v>873</v>
      </c>
      <c r="AK430" s="49" t="s">
        <v>822</v>
      </c>
    </row>
    <row r="431" spans="1:37" ht="16.5" x14ac:dyDescent="0.4">
      <c r="A431" s="3"/>
      <c r="B431" s="3"/>
      <c r="C431" s="4"/>
      <c r="D431" s="4" t="s">
        <v>696</v>
      </c>
      <c r="E431" s="3"/>
      <c r="F431" s="4"/>
      <c r="G431" s="4"/>
      <c r="H431" s="43">
        <f>SUM(H415:H430)</f>
        <v>114243.98000000001</v>
      </c>
      <c r="I431" s="5"/>
      <c r="J431" s="45" t="str">
        <f t="shared" ca="1" si="7"/>
        <v/>
      </c>
      <c r="K431" s="43">
        <f>SUM(K415:K430)</f>
        <v>114243.98000000001</v>
      </c>
      <c r="L431" s="9"/>
      <c r="M431" s="4"/>
      <c r="N431" s="4"/>
      <c r="O431" s="4"/>
      <c r="P431" s="4"/>
      <c r="Q431" s="4"/>
      <c r="R431" s="4" t="s">
        <v>42</v>
      </c>
      <c r="S431" s="6">
        <v>16713.95</v>
      </c>
      <c r="T431" s="6">
        <v>20885.099999999999</v>
      </c>
      <c r="U431" s="6">
        <v>60734.41</v>
      </c>
      <c r="V431" s="6">
        <v>0</v>
      </c>
      <c r="W431" s="6">
        <v>30776.62</v>
      </c>
      <c r="X431" s="7"/>
      <c r="Y431" s="7"/>
      <c r="Z431" s="6">
        <v>0</v>
      </c>
      <c r="AA431" s="4"/>
      <c r="AB431" s="4"/>
      <c r="AC431" s="4"/>
      <c r="AD431" s="4"/>
      <c r="AE431" s="6">
        <v>419561</v>
      </c>
      <c r="AF431" s="6">
        <v>99118.34</v>
      </c>
      <c r="AG431" s="48"/>
      <c r="AH431" s="44" cm="1">
        <f t="array" ref="AH431">IFERROR(SUMPRODUCT(AF415:AF430*--(((AI415:AI430=TRUE)+(AI415:AI430=1))&gt;0)),0)</f>
        <v>0</v>
      </c>
      <c r="AI431" s="54">
        <f>SUMIF(AI415:AI430,TRUE,H415:H430)/H431</f>
        <v>0</v>
      </c>
      <c r="AJ431" s="6"/>
      <c r="AK431" s="50"/>
    </row>
    <row r="432" spans="1:37" x14ac:dyDescent="0.35">
      <c r="A432" s="12" t="s">
        <v>33</v>
      </c>
      <c r="B432" s="12">
        <v>100108960</v>
      </c>
      <c r="C432" s="13" t="s">
        <v>717</v>
      </c>
      <c r="D432" s="13" t="s">
        <v>718</v>
      </c>
      <c r="E432" s="12">
        <v>9700016149</v>
      </c>
      <c r="F432" s="13" t="s">
        <v>719</v>
      </c>
      <c r="G432" s="12" t="s">
        <v>37</v>
      </c>
      <c r="H432" s="14">
        <v>207.66</v>
      </c>
      <c r="I432" s="15">
        <v>46103</v>
      </c>
      <c r="J432" s="12" t="str">
        <f t="shared" ca="1" si="7"/>
        <v>31-60</v>
      </c>
      <c r="K432" s="14">
        <v>207.66</v>
      </c>
      <c r="L432" s="16">
        <v>46073</v>
      </c>
      <c r="M432" s="13" t="s">
        <v>38</v>
      </c>
      <c r="N432" s="13" t="s">
        <v>39</v>
      </c>
      <c r="O432" s="13" t="s">
        <v>40</v>
      </c>
      <c r="P432" s="13"/>
      <c r="Q432" s="13" t="s">
        <v>41</v>
      </c>
      <c r="R432" s="13" t="s">
        <v>42</v>
      </c>
      <c r="S432" s="17">
        <v>0</v>
      </c>
      <c r="T432" s="17">
        <v>762.63</v>
      </c>
      <c r="U432" s="17">
        <v>0</v>
      </c>
      <c r="V432" s="17">
        <v>0</v>
      </c>
      <c r="W432" s="17">
        <v>0</v>
      </c>
      <c r="X432" s="17">
        <v>0</v>
      </c>
      <c r="Y432" s="17">
        <v>762.63</v>
      </c>
      <c r="Z432" s="17">
        <v>0</v>
      </c>
      <c r="AA432" s="13" t="s">
        <v>720</v>
      </c>
      <c r="AB432" s="13" t="s">
        <v>44</v>
      </c>
      <c r="AC432" s="13" t="s">
        <v>45</v>
      </c>
      <c r="AD432" s="13" t="s">
        <v>46</v>
      </c>
      <c r="AE432" s="17">
        <v>762.63</v>
      </c>
      <c r="AF432" s="17">
        <v>175.31</v>
      </c>
      <c r="AG432" s="47" t="s">
        <v>905</v>
      </c>
      <c r="AH432" s="20" t="s">
        <v>792</v>
      </c>
      <c r="AI432" s="19" t="b">
        <v>0</v>
      </c>
      <c r="AJ432" s="18" t="s">
        <v>868</v>
      </c>
      <c r="AK432" s="49" t="s">
        <v>792</v>
      </c>
    </row>
    <row r="433" spans="1:37" x14ac:dyDescent="0.35">
      <c r="A433" s="12" t="s">
        <v>33</v>
      </c>
      <c r="B433" s="12">
        <v>100108960</v>
      </c>
      <c r="C433" s="13" t="s">
        <v>717</v>
      </c>
      <c r="D433" s="13" t="s">
        <v>718</v>
      </c>
      <c r="E433" s="12">
        <v>9700017314</v>
      </c>
      <c r="F433" s="13" t="s">
        <v>721</v>
      </c>
      <c r="G433" s="12" t="s">
        <v>37</v>
      </c>
      <c r="H433" s="14">
        <v>285.37</v>
      </c>
      <c r="I433" s="15">
        <v>46106</v>
      </c>
      <c r="J433" s="12" t="str">
        <f t="shared" ca="1" si="7"/>
        <v>31-60</v>
      </c>
      <c r="K433" s="14">
        <v>285.37</v>
      </c>
      <c r="L433" s="16">
        <v>46076</v>
      </c>
      <c r="M433" s="13" t="s">
        <v>38</v>
      </c>
      <c r="N433" s="13" t="s">
        <v>39</v>
      </c>
      <c r="O433" s="13" t="s">
        <v>40</v>
      </c>
      <c r="P433" s="13"/>
      <c r="Q433" s="13" t="s">
        <v>41</v>
      </c>
      <c r="R433" s="13" t="s">
        <v>42</v>
      </c>
      <c r="S433" s="17">
        <v>0</v>
      </c>
      <c r="T433" s="17">
        <v>1048.02</v>
      </c>
      <c r="U433" s="17">
        <v>0</v>
      </c>
      <c r="V433" s="17">
        <v>0</v>
      </c>
      <c r="W433" s="17">
        <v>0</v>
      </c>
      <c r="X433" s="17">
        <v>0</v>
      </c>
      <c r="Y433" s="17">
        <v>1048.02</v>
      </c>
      <c r="Z433" s="17">
        <v>0</v>
      </c>
      <c r="AA433" s="13" t="s">
        <v>722</v>
      </c>
      <c r="AB433" s="13" t="s">
        <v>44</v>
      </c>
      <c r="AC433" s="13" t="s">
        <v>45</v>
      </c>
      <c r="AD433" s="13" t="s">
        <v>46</v>
      </c>
      <c r="AE433" s="17">
        <v>1048.02</v>
      </c>
      <c r="AF433" s="17">
        <v>242.52</v>
      </c>
      <c r="AG433" s="47" t="s">
        <v>905</v>
      </c>
      <c r="AH433" s="20" t="s">
        <v>792</v>
      </c>
      <c r="AI433" s="19" t="b">
        <v>0</v>
      </c>
      <c r="AJ433" s="18" t="s">
        <v>868</v>
      </c>
      <c r="AK433" s="49" t="s">
        <v>792</v>
      </c>
    </row>
    <row r="434" spans="1:37" x14ac:dyDescent="0.35">
      <c r="A434" s="12" t="s">
        <v>33</v>
      </c>
      <c r="B434" s="12">
        <v>100108960</v>
      </c>
      <c r="C434" s="13" t="s">
        <v>717</v>
      </c>
      <c r="D434" s="13" t="s">
        <v>718</v>
      </c>
      <c r="E434" s="12">
        <v>9700018965</v>
      </c>
      <c r="F434" s="13" t="s">
        <v>723</v>
      </c>
      <c r="G434" s="12" t="s">
        <v>37</v>
      </c>
      <c r="H434" s="14">
        <v>405.14</v>
      </c>
      <c r="I434" s="15">
        <v>46114</v>
      </c>
      <c r="J434" s="12" t="str">
        <f t="shared" ca="1" si="7"/>
        <v>0-30</v>
      </c>
      <c r="K434" s="14">
        <v>405.14</v>
      </c>
      <c r="L434" s="16">
        <v>46084</v>
      </c>
      <c r="M434" s="13" t="s">
        <v>38</v>
      </c>
      <c r="N434" s="13" t="s">
        <v>39</v>
      </c>
      <c r="O434" s="13" t="s">
        <v>40</v>
      </c>
      <c r="P434" s="13"/>
      <c r="Q434" s="13" t="s">
        <v>41</v>
      </c>
      <c r="R434" s="13" t="s">
        <v>42</v>
      </c>
      <c r="S434" s="17">
        <v>1487.88</v>
      </c>
      <c r="T434" s="17">
        <v>0</v>
      </c>
      <c r="U434" s="17">
        <v>0</v>
      </c>
      <c r="V434" s="17">
        <v>0</v>
      </c>
      <c r="W434" s="17">
        <v>0</v>
      </c>
      <c r="X434" s="17">
        <v>0</v>
      </c>
      <c r="Y434" s="17">
        <v>0</v>
      </c>
      <c r="Z434" s="17">
        <v>0</v>
      </c>
      <c r="AA434" s="13" t="s">
        <v>720</v>
      </c>
      <c r="AB434" s="13" t="s">
        <v>44</v>
      </c>
      <c r="AC434" s="13" t="s">
        <v>45</v>
      </c>
      <c r="AD434" s="13" t="s">
        <v>46</v>
      </c>
      <c r="AE434" s="17">
        <v>1487.88</v>
      </c>
      <c r="AF434" s="17">
        <v>346.33</v>
      </c>
      <c r="AG434" s="47" t="s">
        <v>905</v>
      </c>
      <c r="AH434" s="20" t="e">
        <v>#N/A</v>
      </c>
      <c r="AI434" s="19" t="b">
        <v>0</v>
      </c>
      <c r="AJ434" s="18" t="s">
        <v>868</v>
      </c>
      <c r="AK434" s="49" t="s">
        <v>792</v>
      </c>
    </row>
    <row r="435" spans="1:37" x14ac:dyDescent="0.35">
      <c r="A435" s="12" t="s">
        <v>33</v>
      </c>
      <c r="B435" s="12">
        <v>100108960</v>
      </c>
      <c r="C435" s="13" t="s">
        <v>717</v>
      </c>
      <c r="D435" s="13" t="s">
        <v>718</v>
      </c>
      <c r="E435" s="12">
        <v>9700025784</v>
      </c>
      <c r="F435" s="13" t="s">
        <v>724</v>
      </c>
      <c r="G435" s="12" t="s">
        <v>37</v>
      </c>
      <c r="H435" s="14">
        <v>281.52999999999997</v>
      </c>
      <c r="I435" s="15">
        <v>46141</v>
      </c>
      <c r="J435" s="12" t="str">
        <f t="shared" ca="1" si="7"/>
        <v>Current</v>
      </c>
      <c r="K435" s="14">
        <v>281.52999999999997</v>
      </c>
      <c r="L435" s="16">
        <v>46111</v>
      </c>
      <c r="M435" s="13" t="s">
        <v>38</v>
      </c>
      <c r="N435" s="13" t="s">
        <v>39</v>
      </c>
      <c r="O435" s="13" t="s">
        <v>40</v>
      </c>
      <c r="P435" s="13"/>
      <c r="Q435" s="13" t="s">
        <v>41</v>
      </c>
      <c r="R435" s="13" t="s">
        <v>42</v>
      </c>
      <c r="S435" s="17">
        <v>1033.92</v>
      </c>
      <c r="T435" s="17">
        <v>0</v>
      </c>
      <c r="U435" s="17">
        <v>0</v>
      </c>
      <c r="V435" s="17">
        <v>0</v>
      </c>
      <c r="W435" s="17">
        <v>0</v>
      </c>
      <c r="X435" s="17">
        <v>0</v>
      </c>
      <c r="Y435" s="17">
        <v>0</v>
      </c>
      <c r="Z435" s="17">
        <v>0</v>
      </c>
      <c r="AA435" s="13" t="s">
        <v>722</v>
      </c>
      <c r="AB435" s="13" t="s">
        <v>44</v>
      </c>
      <c r="AC435" s="13" t="s">
        <v>45</v>
      </c>
      <c r="AD435" s="13" t="s">
        <v>46</v>
      </c>
      <c r="AE435" s="17">
        <v>1033.92</v>
      </c>
      <c r="AF435" s="17">
        <v>243.29</v>
      </c>
      <c r="AG435" s="47" t="s">
        <v>905</v>
      </c>
      <c r="AH435" s="20" t="e">
        <v>#N/A</v>
      </c>
      <c r="AI435" s="19" t="b">
        <v>0</v>
      </c>
      <c r="AJ435" s="18" t="s">
        <v>868</v>
      </c>
      <c r="AK435" s="49" t="s">
        <v>792</v>
      </c>
    </row>
    <row r="436" spans="1:37" x14ac:dyDescent="0.35">
      <c r="A436" s="12" t="s">
        <v>33</v>
      </c>
      <c r="B436" s="12">
        <v>100108960</v>
      </c>
      <c r="C436" s="13" t="s">
        <v>717</v>
      </c>
      <c r="D436" s="13" t="s">
        <v>718</v>
      </c>
      <c r="E436" s="12">
        <v>9700032553</v>
      </c>
      <c r="F436" s="13" t="s">
        <v>725</v>
      </c>
      <c r="G436" s="12" t="s">
        <v>37</v>
      </c>
      <c r="H436" s="14">
        <v>335.53</v>
      </c>
      <c r="I436" s="15">
        <v>45822</v>
      </c>
      <c r="J436" s="12" t="str">
        <f t="shared" ca="1" si="7"/>
        <v>120 +</v>
      </c>
      <c r="K436" s="14">
        <v>335.53</v>
      </c>
      <c r="L436" s="16">
        <v>45792</v>
      </c>
      <c r="M436" s="13" t="s">
        <v>38</v>
      </c>
      <c r="N436" s="13" t="s">
        <v>39</v>
      </c>
      <c r="O436" s="13" t="s">
        <v>40</v>
      </c>
      <c r="P436" s="13"/>
      <c r="Q436" s="13" t="s">
        <v>41</v>
      </c>
      <c r="R436" s="13" t="s">
        <v>42</v>
      </c>
      <c r="S436" s="17">
        <v>0</v>
      </c>
      <c r="T436" s="17">
        <v>0</v>
      </c>
      <c r="U436" s="17">
        <v>0</v>
      </c>
      <c r="V436" s="17">
        <v>0</v>
      </c>
      <c r="W436" s="17">
        <v>0</v>
      </c>
      <c r="X436" s="17">
        <v>1232.23</v>
      </c>
      <c r="Y436" s="17">
        <v>1232.23</v>
      </c>
      <c r="Z436" s="17">
        <v>0</v>
      </c>
      <c r="AA436" s="13" t="s">
        <v>720</v>
      </c>
      <c r="AB436" s="13" t="s">
        <v>44</v>
      </c>
      <c r="AC436" s="13" t="s">
        <v>45</v>
      </c>
      <c r="AD436" s="13" t="s">
        <v>46</v>
      </c>
      <c r="AE436" s="17">
        <v>1232.23</v>
      </c>
      <c r="AF436" s="17">
        <v>302.12</v>
      </c>
      <c r="AG436" s="47" t="s">
        <v>905</v>
      </c>
      <c r="AH436" s="20" t="s">
        <v>792</v>
      </c>
      <c r="AI436" s="19" t="b">
        <v>0</v>
      </c>
      <c r="AJ436" s="18" t="s">
        <v>868</v>
      </c>
      <c r="AK436" s="49" t="s">
        <v>792</v>
      </c>
    </row>
    <row r="437" spans="1:37" x14ac:dyDescent="0.35">
      <c r="A437" s="12" t="s">
        <v>33</v>
      </c>
      <c r="B437" s="12">
        <v>100108960</v>
      </c>
      <c r="C437" s="13" t="s">
        <v>717</v>
      </c>
      <c r="D437" s="13" t="s">
        <v>718</v>
      </c>
      <c r="E437" s="12">
        <v>9700044560</v>
      </c>
      <c r="F437" s="13" t="s">
        <v>726</v>
      </c>
      <c r="G437" s="12" t="s">
        <v>37</v>
      </c>
      <c r="H437" s="14">
        <v>732.69</v>
      </c>
      <c r="I437" s="15">
        <v>45867</v>
      </c>
      <c r="J437" s="12" t="str">
        <f t="shared" ca="1" si="7"/>
        <v>120 +</v>
      </c>
      <c r="K437" s="14">
        <v>732.69</v>
      </c>
      <c r="L437" s="16">
        <v>45837</v>
      </c>
      <c r="M437" s="13" t="s">
        <v>38</v>
      </c>
      <c r="N437" s="13" t="s">
        <v>39</v>
      </c>
      <c r="O437" s="13" t="s">
        <v>40</v>
      </c>
      <c r="P437" s="13"/>
      <c r="Q437" s="13" t="s">
        <v>41</v>
      </c>
      <c r="R437" s="13" t="s">
        <v>42</v>
      </c>
      <c r="S437" s="17">
        <v>0</v>
      </c>
      <c r="T437" s="17">
        <v>0</v>
      </c>
      <c r="U437" s="17">
        <v>0</v>
      </c>
      <c r="V437" s="17">
        <v>0</v>
      </c>
      <c r="W437" s="17">
        <v>0</v>
      </c>
      <c r="X437" s="17">
        <v>2690.8</v>
      </c>
      <c r="Y437" s="17">
        <v>2690.8</v>
      </c>
      <c r="Z437" s="17">
        <v>0</v>
      </c>
      <c r="AA437" s="13" t="s">
        <v>720</v>
      </c>
      <c r="AB437" s="13" t="s">
        <v>44</v>
      </c>
      <c r="AC437" s="13" t="s">
        <v>45</v>
      </c>
      <c r="AD437" s="13" t="s">
        <v>46</v>
      </c>
      <c r="AE437" s="17">
        <v>2690.8</v>
      </c>
      <c r="AF437" s="17">
        <v>631.25</v>
      </c>
      <c r="AG437" s="47" t="s">
        <v>905</v>
      </c>
      <c r="AH437" s="20" t="s">
        <v>792</v>
      </c>
      <c r="AI437" s="19" t="b">
        <v>0</v>
      </c>
      <c r="AJ437" s="18" t="s">
        <v>868</v>
      </c>
      <c r="AK437" s="49" t="s">
        <v>792</v>
      </c>
    </row>
    <row r="438" spans="1:37" x14ac:dyDescent="0.35">
      <c r="A438" s="12" t="s">
        <v>33</v>
      </c>
      <c r="B438" s="12">
        <v>100108960</v>
      </c>
      <c r="C438" s="13" t="s">
        <v>717</v>
      </c>
      <c r="D438" s="13" t="s">
        <v>718</v>
      </c>
      <c r="E438" s="12">
        <v>9700044561</v>
      </c>
      <c r="F438" s="13" t="s">
        <v>727</v>
      </c>
      <c r="G438" s="12" t="s">
        <v>37</v>
      </c>
      <c r="H438" s="14">
        <v>266.93</v>
      </c>
      <c r="I438" s="15">
        <v>45867</v>
      </c>
      <c r="J438" s="12" t="str">
        <f t="shared" ca="1" si="7"/>
        <v>120 +</v>
      </c>
      <c r="K438" s="14">
        <v>266.93</v>
      </c>
      <c r="L438" s="16">
        <v>45837</v>
      </c>
      <c r="M438" s="13" t="s">
        <v>38</v>
      </c>
      <c r="N438" s="13" t="s">
        <v>39</v>
      </c>
      <c r="O438" s="13" t="s">
        <v>40</v>
      </c>
      <c r="P438" s="13"/>
      <c r="Q438" s="13" t="s">
        <v>41</v>
      </c>
      <c r="R438" s="13" t="s">
        <v>42</v>
      </c>
      <c r="S438" s="17">
        <v>0</v>
      </c>
      <c r="T438" s="17">
        <v>0</v>
      </c>
      <c r="U438" s="17">
        <v>0</v>
      </c>
      <c r="V438" s="17">
        <v>0</v>
      </c>
      <c r="W438" s="17">
        <v>0</v>
      </c>
      <c r="X438" s="17">
        <v>980.3</v>
      </c>
      <c r="Y438" s="17">
        <v>980.3</v>
      </c>
      <c r="Z438" s="17">
        <v>0</v>
      </c>
      <c r="AA438" s="13" t="s">
        <v>720</v>
      </c>
      <c r="AB438" s="13" t="s">
        <v>44</v>
      </c>
      <c r="AC438" s="13" t="s">
        <v>45</v>
      </c>
      <c r="AD438" s="13" t="s">
        <v>46</v>
      </c>
      <c r="AE438" s="17">
        <v>980.3</v>
      </c>
      <c r="AF438" s="17">
        <v>229.97</v>
      </c>
      <c r="AG438" s="47" t="s">
        <v>905</v>
      </c>
      <c r="AH438" s="20" t="s">
        <v>792</v>
      </c>
      <c r="AI438" s="19" t="b">
        <v>0</v>
      </c>
      <c r="AJ438" s="18" t="s">
        <v>868</v>
      </c>
      <c r="AK438" s="49" t="s">
        <v>792</v>
      </c>
    </row>
    <row r="439" spans="1:37" x14ac:dyDescent="0.35">
      <c r="A439" s="12" t="s">
        <v>33</v>
      </c>
      <c r="B439" s="12">
        <v>100108960</v>
      </c>
      <c r="C439" s="13" t="s">
        <v>717</v>
      </c>
      <c r="D439" s="13" t="s">
        <v>718</v>
      </c>
      <c r="E439" s="12">
        <v>9700058816</v>
      </c>
      <c r="F439" s="13" t="s">
        <v>728</v>
      </c>
      <c r="G439" s="12" t="s">
        <v>37</v>
      </c>
      <c r="H439" s="14">
        <v>512.36</v>
      </c>
      <c r="I439" s="15">
        <v>45925</v>
      </c>
      <c r="J439" s="12" t="str">
        <f t="shared" ca="1" si="7"/>
        <v>120 +</v>
      </c>
      <c r="K439" s="14">
        <v>512.36</v>
      </c>
      <c r="L439" s="16">
        <v>45895</v>
      </c>
      <c r="M439" s="13" t="s">
        <v>38</v>
      </c>
      <c r="N439" s="13" t="s">
        <v>39</v>
      </c>
      <c r="O439" s="13" t="s">
        <v>40</v>
      </c>
      <c r="P439" s="13"/>
      <c r="Q439" s="13" t="s">
        <v>41</v>
      </c>
      <c r="R439" s="13" t="s">
        <v>42</v>
      </c>
      <c r="S439" s="17">
        <v>0</v>
      </c>
      <c r="T439" s="17">
        <v>0</v>
      </c>
      <c r="U439" s="17">
        <v>0</v>
      </c>
      <c r="V439" s="17">
        <v>0</v>
      </c>
      <c r="W439" s="17">
        <v>0</v>
      </c>
      <c r="X439" s="17">
        <v>1881.64</v>
      </c>
      <c r="Y439" s="17">
        <v>1881.64</v>
      </c>
      <c r="Z439" s="17">
        <v>0</v>
      </c>
      <c r="AA439" s="13" t="s">
        <v>720</v>
      </c>
      <c r="AB439" s="13" t="s">
        <v>44</v>
      </c>
      <c r="AC439" s="13" t="s">
        <v>45</v>
      </c>
      <c r="AD439" s="13" t="s">
        <v>46</v>
      </c>
      <c r="AE439" s="17">
        <v>1881.64</v>
      </c>
      <c r="AF439" s="17">
        <v>441.39</v>
      </c>
      <c r="AG439" s="47" t="s">
        <v>905</v>
      </c>
      <c r="AH439" s="20" t="s">
        <v>792</v>
      </c>
      <c r="AI439" s="19" t="b">
        <v>0</v>
      </c>
      <c r="AJ439" s="18" t="s">
        <v>868</v>
      </c>
      <c r="AK439" s="49" t="s">
        <v>792</v>
      </c>
    </row>
    <row r="440" spans="1:37" x14ac:dyDescent="0.35">
      <c r="A440" s="12" t="s">
        <v>33</v>
      </c>
      <c r="B440" s="12">
        <v>100108960</v>
      </c>
      <c r="C440" s="13" t="s">
        <v>717</v>
      </c>
      <c r="D440" s="13" t="s">
        <v>718</v>
      </c>
      <c r="E440" s="12">
        <v>9700066492</v>
      </c>
      <c r="F440" s="13" t="s">
        <v>729</v>
      </c>
      <c r="G440" s="12" t="s">
        <v>37</v>
      </c>
      <c r="H440" s="14">
        <v>228.53</v>
      </c>
      <c r="I440" s="15">
        <v>45956</v>
      </c>
      <c r="J440" s="12" t="str">
        <f t="shared" ca="1" si="7"/>
        <v>120 +</v>
      </c>
      <c r="K440" s="14">
        <v>228.53</v>
      </c>
      <c r="L440" s="16">
        <v>45926</v>
      </c>
      <c r="M440" s="13" t="s">
        <v>38</v>
      </c>
      <c r="N440" s="13" t="s">
        <v>39</v>
      </c>
      <c r="O440" s="13" t="s">
        <v>40</v>
      </c>
      <c r="P440" s="13"/>
      <c r="Q440" s="13" t="s">
        <v>41</v>
      </c>
      <c r="R440" s="13" t="s">
        <v>42</v>
      </c>
      <c r="S440" s="17">
        <v>0</v>
      </c>
      <c r="T440" s="17">
        <v>0</v>
      </c>
      <c r="U440" s="17">
        <v>0</v>
      </c>
      <c r="V440" s="17">
        <v>0</v>
      </c>
      <c r="W440" s="17">
        <v>0</v>
      </c>
      <c r="X440" s="17">
        <v>839.28</v>
      </c>
      <c r="Y440" s="17">
        <v>839.28</v>
      </c>
      <c r="Z440" s="17">
        <v>0</v>
      </c>
      <c r="AA440" s="13" t="s">
        <v>720</v>
      </c>
      <c r="AB440" s="13" t="s">
        <v>44</v>
      </c>
      <c r="AC440" s="13" t="s">
        <v>45</v>
      </c>
      <c r="AD440" s="13" t="s">
        <v>46</v>
      </c>
      <c r="AE440" s="17">
        <v>839.28</v>
      </c>
      <c r="AF440" s="17">
        <v>193.78</v>
      </c>
      <c r="AG440" s="47" t="s">
        <v>905</v>
      </c>
      <c r="AH440" s="20" t="s">
        <v>792</v>
      </c>
      <c r="AI440" s="19" t="b">
        <v>0</v>
      </c>
      <c r="AJ440" s="18" t="s">
        <v>868</v>
      </c>
      <c r="AK440" s="49" t="s">
        <v>792</v>
      </c>
    </row>
    <row r="441" spans="1:37" x14ac:dyDescent="0.35">
      <c r="A441" s="12" t="s">
        <v>33</v>
      </c>
      <c r="B441" s="12">
        <v>100108960</v>
      </c>
      <c r="C441" s="13" t="s">
        <v>717</v>
      </c>
      <c r="D441" s="13" t="s">
        <v>718</v>
      </c>
      <c r="E441" s="12">
        <v>9700070450</v>
      </c>
      <c r="F441" s="13" t="s">
        <v>730</v>
      </c>
      <c r="G441" s="12" t="s">
        <v>37</v>
      </c>
      <c r="H441" s="14">
        <v>221.89</v>
      </c>
      <c r="I441" s="15">
        <v>45973</v>
      </c>
      <c r="J441" s="12" t="str">
        <f t="shared" ca="1" si="7"/>
        <v>120 +</v>
      </c>
      <c r="K441" s="14">
        <v>221.89</v>
      </c>
      <c r="L441" s="16">
        <v>45943</v>
      </c>
      <c r="M441" s="13" t="s">
        <v>38</v>
      </c>
      <c r="N441" s="13" t="s">
        <v>39</v>
      </c>
      <c r="O441" s="13" t="s">
        <v>40</v>
      </c>
      <c r="P441" s="13"/>
      <c r="Q441" s="13" t="s">
        <v>41</v>
      </c>
      <c r="R441" s="13" t="s">
        <v>42</v>
      </c>
      <c r="S441" s="17">
        <v>0</v>
      </c>
      <c r="T441" s="17">
        <v>0</v>
      </c>
      <c r="U441" s="17">
        <v>0</v>
      </c>
      <c r="V441" s="17">
        <v>0</v>
      </c>
      <c r="W441" s="17">
        <v>0</v>
      </c>
      <c r="X441" s="17">
        <v>814.89</v>
      </c>
      <c r="Y441" s="17">
        <v>814.89</v>
      </c>
      <c r="Z441" s="17">
        <v>0</v>
      </c>
      <c r="AA441" s="13" t="s">
        <v>720</v>
      </c>
      <c r="AB441" s="13" t="s">
        <v>44</v>
      </c>
      <c r="AC441" s="13" t="s">
        <v>45</v>
      </c>
      <c r="AD441" s="13" t="s">
        <v>46</v>
      </c>
      <c r="AE441" s="17">
        <v>814.89</v>
      </c>
      <c r="AF441" s="17">
        <v>191.1</v>
      </c>
      <c r="AG441" s="47" t="s">
        <v>905</v>
      </c>
      <c r="AH441" s="20" t="s">
        <v>792</v>
      </c>
      <c r="AI441" s="19" t="b">
        <v>0</v>
      </c>
      <c r="AJ441" s="18" t="s">
        <v>868</v>
      </c>
      <c r="AK441" s="49" t="s">
        <v>792</v>
      </c>
    </row>
    <row r="442" spans="1:37" x14ac:dyDescent="0.35">
      <c r="A442" s="12" t="s">
        <v>33</v>
      </c>
      <c r="B442" s="12">
        <v>100108960</v>
      </c>
      <c r="C442" s="13" t="s">
        <v>717</v>
      </c>
      <c r="D442" s="13" t="s">
        <v>718</v>
      </c>
      <c r="E442" s="12">
        <v>9700083666</v>
      </c>
      <c r="F442" s="13" t="s">
        <v>731</v>
      </c>
      <c r="G442" s="12" t="s">
        <v>37</v>
      </c>
      <c r="H442" s="14">
        <v>225.56</v>
      </c>
      <c r="I442" s="15">
        <v>46016</v>
      </c>
      <c r="J442" s="12" t="str">
        <f t="shared" ca="1" si="7"/>
        <v>120 +</v>
      </c>
      <c r="K442" s="14">
        <v>225.56</v>
      </c>
      <c r="L442" s="16">
        <v>45986</v>
      </c>
      <c r="M442" s="13" t="s">
        <v>38</v>
      </c>
      <c r="N442" s="13" t="s">
        <v>39</v>
      </c>
      <c r="O442" s="13" t="s">
        <v>40</v>
      </c>
      <c r="P442" s="13"/>
      <c r="Q442" s="13" t="s">
        <v>41</v>
      </c>
      <c r="R442" s="13" t="s">
        <v>42</v>
      </c>
      <c r="S442" s="17">
        <v>0</v>
      </c>
      <c r="T442" s="17">
        <v>0</v>
      </c>
      <c r="U442" s="17">
        <v>0</v>
      </c>
      <c r="V442" s="17">
        <v>0</v>
      </c>
      <c r="W442" s="17">
        <v>828.37</v>
      </c>
      <c r="X442" s="17">
        <v>0</v>
      </c>
      <c r="Y442" s="17">
        <v>828.37</v>
      </c>
      <c r="Z442" s="17">
        <v>0</v>
      </c>
      <c r="AA442" s="13" t="s">
        <v>720</v>
      </c>
      <c r="AB442" s="13" t="s">
        <v>44</v>
      </c>
      <c r="AC442" s="13" t="s">
        <v>45</v>
      </c>
      <c r="AD442" s="13" t="s">
        <v>46</v>
      </c>
      <c r="AE442" s="17">
        <v>828.37</v>
      </c>
      <c r="AF442" s="17">
        <v>195.8</v>
      </c>
      <c r="AG442" s="47" t="s">
        <v>905</v>
      </c>
      <c r="AH442" s="20" t="s">
        <v>792</v>
      </c>
      <c r="AI442" s="19" t="b">
        <v>0</v>
      </c>
      <c r="AJ442" s="18" t="s">
        <v>868</v>
      </c>
      <c r="AK442" s="49" t="s">
        <v>792</v>
      </c>
    </row>
    <row r="443" spans="1:37" ht="16.5" x14ac:dyDescent="0.4">
      <c r="A443" s="3"/>
      <c r="B443" s="3"/>
      <c r="C443" s="4"/>
      <c r="D443" s="4" t="s">
        <v>718</v>
      </c>
      <c r="E443" s="3"/>
      <c r="F443" s="4"/>
      <c r="G443" s="4"/>
      <c r="H443" s="43">
        <f>SUM(H432:H442)</f>
        <v>3703.19</v>
      </c>
      <c r="I443" s="5"/>
      <c r="J443" s="45" t="str">
        <f t="shared" ca="1" si="7"/>
        <v/>
      </c>
      <c r="K443" s="43">
        <f>SUM(K432:K442)</f>
        <v>3703.19</v>
      </c>
      <c r="L443" s="9"/>
      <c r="M443" s="4"/>
      <c r="N443" s="4"/>
      <c r="O443" s="4"/>
      <c r="P443" s="4"/>
      <c r="Q443" s="4"/>
      <c r="R443" s="4" t="s">
        <v>42</v>
      </c>
      <c r="S443" s="6">
        <v>2521.8000000000002</v>
      </c>
      <c r="T443" s="6">
        <v>1810.65</v>
      </c>
      <c r="U443" s="6">
        <v>0</v>
      </c>
      <c r="V443" s="6">
        <v>0</v>
      </c>
      <c r="W443" s="6">
        <v>828.37</v>
      </c>
      <c r="X443" s="7"/>
      <c r="Y443" s="7"/>
      <c r="Z443" s="6">
        <v>0</v>
      </c>
      <c r="AA443" s="4"/>
      <c r="AB443" s="4"/>
      <c r="AC443" s="4"/>
      <c r="AD443" s="4"/>
      <c r="AE443" s="6">
        <v>13599.96</v>
      </c>
      <c r="AF443" s="6">
        <v>3192.86</v>
      </c>
      <c r="AG443" s="48"/>
      <c r="AH443" s="44" cm="1">
        <f t="array" ref="AH443">IFERROR(SUMPRODUCT(AF432:AF442*--(((AI432:AI442=TRUE)+(AI432:AI442=1))&gt;0)),0)</f>
        <v>0</v>
      </c>
      <c r="AI443" s="54">
        <f>SUMIF(AI432:AI442,TRUE,H432:H442)/H443</f>
        <v>0</v>
      </c>
      <c r="AJ443" s="6"/>
      <c r="AK443" s="50"/>
    </row>
    <row r="444" spans="1:37" x14ac:dyDescent="0.35">
      <c r="A444" s="12" t="s">
        <v>33</v>
      </c>
      <c r="B444" s="12">
        <v>100108790</v>
      </c>
      <c r="C444" s="13" t="s">
        <v>732</v>
      </c>
      <c r="D444" s="13" t="s">
        <v>733</v>
      </c>
      <c r="E444" s="12">
        <v>2900000694</v>
      </c>
      <c r="F444" s="13" t="s">
        <v>734</v>
      </c>
      <c r="G444" s="12" t="s">
        <v>37</v>
      </c>
      <c r="H444" s="14">
        <v>-3331.7</v>
      </c>
      <c r="I444" s="15">
        <v>46083</v>
      </c>
      <c r="J444" s="12" t="str">
        <f t="shared" ca="1" si="7"/>
        <v>31-60</v>
      </c>
      <c r="K444" s="14">
        <v>-3331.7</v>
      </c>
      <c r="L444" s="16">
        <v>46083</v>
      </c>
      <c r="M444" s="13" t="s">
        <v>38</v>
      </c>
      <c r="N444" s="13" t="s">
        <v>209</v>
      </c>
      <c r="O444" s="13" t="s">
        <v>210</v>
      </c>
      <c r="P444" s="13"/>
      <c r="Q444" s="13"/>
      <c r="R444" s="13" t="s">
        <v>42</v>
      </c>
      <c r="S444" s="17">
        <v>-12235.67</v>
      </c>
      <c r="T444" s="17">
        <v>0</v>
      </c>
      <c r="U444" s="17">
        <v>0</v>
      </c>
      <c r="V444" s="17">
        <v>0</v>
      </c>
      <c r="W444" s="17">
        <v>0</v>
      </c>
      <c r="X444" s="17">
        <v>0</v>
      </c>
      <c r="Y444" s="17">
        <v>0</v>
      </c>
      <c r="Z444" s="17">
        <v>0</v>
      </c>
      <c r="AA444" s="13" t="s">
        <v>735</v>
      </c>
      <c r="AB444" s="13" t="s">
        <v>44</v>
      </c>
      <c r="AC444" s="13" t="s">
        <v>45</v>
      </c>
      <c r="AD444" s="13" t="s">
        <v>46</v>
      </c>
      <c r="AE444" s="17">
        <v>-12235.67</v>
      </c>
      <c r="AF444" s="17">
        <v>-2848.09</v>
      </c>
      <c r="AG444" s="47" t="e">
        <v>#N/A</v>
      </c>
      <c r="AH444" s="20" t="e">
        <v>#N/A</v>
      </c>
      <c r="AI444" s="19" t="b">
        <v>0</v>
      </c>
      <c r="AJ444" s="18" t="s">
        <v>871</v>
      </c>
      <c r="AK444" s="49" t="s">
        <v>939</v>
      </c>
    </row>
    <row r="445" spans="1:37" x14ac:dyDescent="0.35">
      <c r="A445" s="12" t="s">
        <v>33</v>
      </c>
      <c r="B445" s="12">
        <v>100108790</v>
      </c>
      <c r="C445" s="13" t="s">
        <v>732</v>
      </c>
      <c r="D445" s="13" t="s">
        <v>733</v>
      </c>
      <c r="E445" s="12">
        <v>9700017549</v>
      </c>
      <c r="F445" s="13" t="s">
        <v>736</v>
      </c>
      <c r="G445" s="12" t="s">
        <v>37</v>
      </c>
      <c r="H445" s="14">
        <v>4054.16</v>
      </c>
      <c r="I445" s="15">
        <v>46108</v>
      </c>
      <c r="J445" s="12" t="str">
        <f t="shared" ca="1" si="7"/>
        <v>31-60</v>
      </c>
      <c r="K445" s="14">
        <v>4054.16</v>
      </c>
      <c r="L445" s="16">
        <v>46078</v>
      </c>
      <c r="M445" s="13" t="s">
        <v>38</v>
      </c>
      <c r="N445" s="13" t="s">
        <v>39</v>
      </c>
      <c r="O445" s="13" t="s">
        <v>40</v>
      </c>
      <c r="P445" s="13"/>
      <c r="Q445" s="13" t="s">
        <v>41</v>
      </c>
      <c r="R445" s="13" t="s">
        <v>42</v>
      </c>
      <c r="S445" s="17">
        <v>0</v>
      </c>
      <c r="T445" s="17">
        <v>14888.9</v>
      </c>
      <c r="U445" s="17">
        <v>0</v>
      </c>
      <c r="V445" s="17">
        <v>0</v>
      </c>
      <c r="W445" s="17">
        <v>0</v>
      </c>
      <c r="X445" s="17">
        <v>0</v>
      </c>
      <c r="Y445" s="17">
        <v>14888.9</v>
      </c>
      <c r="Z445" s="17">
        <v>0</v>
      </c>
      <c r="AA445" s="13" t="s">
        <v>737</v>
      </c>
      <c r="AB445" s="13" t="s">
        <v>44</v>
      </c>
      <c r="AC445" s="13" t="s">
        <v>45</v>
      </c>
      <c r="AD445" s="13" t="s">
        <v>46</v>
      </c>
      <c r="AE445" s="17">
        <v>14888.9</v>
      </c>
      <c r="AF445" s="17">
        <v>3445.36</v>
      </c>
      <c r="AG445" s="47" t="s">
        <v>876</v>
      </c>
      <c r="AH445" s="20" t="s">
        <v>806</v>
      </c>
      <c r="AI445" s="19" t="b">
        <v>1</v>
      </c>
      <c r="AJ445" s="18" t="s">
        <v>874</v>
      </c>
      <c r="AK445" s="49" t="s">
        <v>815</v>
      </c>
    </row>
    <row r="446" spans="1:37" x14ac:dyDescent="0.35">
      <c r="A446" s="12" t="s">
        <v>33</v>
      </c>
      <c r="B446" s="12">
        <v>100108790</v>
      </c>
      <c r="C446" s="13" t="s">
        <v>732</v>
      </c>
      <c r="D446" s="13" t="s">
        <v>733</v>
      </c>
      <c r="E446" s="12">
        <v>9700041212</v>
      </c>
      <c r="F446" s="13" t="s">
        <v>738</v>
      </c>
      <c r="G446" s="12" t="s">
        <v>37</v>
      </c>
      <c r="H446" s="14">
        <v>3071.36</v>
      </c>
      <c r="I446" s="15">
        <v>45857</v>
      </c>
      <c r="J446" s="12" t="str">
        <f t="shared" ca="1" si="7"/>
        <v>120 +</v>
      </c>
      <c r="K446" s="14">
        <v>3071.36</v>
      </c>
      <c r="L446" s="16">
        <v>45827</v>
      </c>
      <c r="M446" s="13" t="s">
        <v>38</v>
      </c>
      <c r="N446" s="13" t="s">
        <v>39</v>
      </c>
      <c r="O446" s="13" t="s">
        <v>40</v>
      </c>
      <c r="P446" s="13"/>
      <c r="Q446" s="13" t="s">
        <v>41</v>
      </c>
      <c r="R446" s="13" t="s">
        <v>42</v>
      </c>
      <c r="S446" s="17">
        <v>0</v>
      </c>
      <c r="T446" s="17">
        <v>0</v>
      </c>
      <c r="U446" s="17">
        <v>0</v>
      </c>
      <c r="V446" s="17">
        <v>0</v>
      </c>
      <c r="W446" s="17">
        <v>0</v>
      </c>
      <c r="X446" s="17">
        <v>11279.57</v>
      </c>
      <c r="Y446" s="17">
        <v>11279.57</v>
      </c>
      <c r="Z446" s="17">
        <v>0</v>
      </c>
      <c r="AA446" s="13" t="s">
        <v>739</v>
      </c>
      <c r="AB446" s="13" t="s">
        <v>44</v>
      </c>
      <c r="AC446" s="13" t="s">
        <v>45</v>
      </c>
      <c r="AD446" s="13" t="s">
        <v>46</v>
      </c>
      <c r="AE446" s="17">
        <v>11279.57</v>
      </c>
      <c r="AF446" s="17">
        <v>2653.67</v>
      </c>
      <c r="AG446" s="47" t="s">
        <v>876</v>
      </c>
      <c r="AH446" s="20" t="s">
        <v>823</v>
      </c>
      <c r="AI446" s="19" t="b">
        <v>0</v>
      </c>
      <c r="AJ446" s="18" t="s">
        <v>865</v>
      </c>
      <c r="AK446" s="49" t="s">
        <v>940</v>
      </c>
    </row>
    <row r="447" spans="1:37" x14ac:dyDescent="0.35">
      <c r="A447" s="12" t="s">
        <v>33</v>
      </c>
      <c r="B447" s="12">
        <v>100108790</v>
      </c>
      <c r="C447" s="13" t="s">
        <v>732</v>
      </c>
      <c r="D447" s="13" t="s">
        <v>733</v>
      </c>
      <c r="E447" s="12">
        <v>9700047501</v>
      </c>
      <c r="F447" s="13" t="s">
        <v>740</v>
      </c>
      <c r="G447" s="12" t="s">
        <v>37</v>
      </c>
      <c r="H447" s="14">
        <v>3061</v>
      </c>
      <c r="I447" s="15">
        <v>45889</v>
      </c>
      <c r="J447" s="12" t="str">
        <f t="shared" ca="1" si="7"/>
        <v>120 +</v>
      </c>
      <c r="K447" s="14">
        <v>3061</v>
      </c>
      <c r="L447" s="16">
        <v>45859</v>
      </c>
      <c r="M447" s="13" t="s">
        <v>38</v>
      </c>
      <c r="N447" s="13" t="s">
        <v>39</v>
      </c>
      <c r="O447" s="13" t="s">
        <v>40</v>
      </c>
      <c r="P447" s="13"/>
      <c r="Q447" s="13" t="s">
        <v>41</v>
      </c>
      <c r="R447" s="13" t="s">
        <v>42</v>
      </c>
      <c r="S447" s="17">
        <v>0</v>
      </c>
      <c r="T447" s="17">
        <v>0</v>
      </c>
      <c r="U447" s="17">
        <v>0</v>
      </c>
      <c r="V447" s="17">
        <v>0</v>
      </c>
      <c r="W447" s="17">
        <v>0</v>
      </c>
      <c r="X447" s="17">
        <v>11241.52</v>
      </c>
      <c r="Y447" s="17">
        <v>11241.52</v>
      </c>
      <c r="Z447" s="17">
        <v>0</v>
      </c>
      <c r="AA447" s="13" t="s">
        <v>739</v>
      </c>
      <c r="AB447" s="13" t="s">
        <v>44</v>
      </c>
      <c r="AC447" s="13" t="s">
        <v>45</v>
      </c>
      <c r="AD447" s="13" t="s">
        <v>46</v>
      </c>
      <c r="AE447" s="17">
        <v>11241.52</v>
      </c>
      <c r="AF447" s="17">
        <v>2638.34</v>
      </c>
      <c r="AG447" s="47" t="s">
        <v>876</v>
      </c>
      <c r="AH447" s="20" t="s">
        <v>823</v>
      </c>
      <c r="AI447" s="19" t="b">
        <v>0</v>
      </c>
      <c r="AJ447" s="18" t="s">
        <v>865</v>
      </c>
      <c r="AK447" s="49" t="s">
        <v>940</v>
      </c>
    </row>
    <row r="448" spans="1:37" ht="16.5" x14ac:dyDescent="0.4">
      <c r="A448" s="3"/>
      <c r="B448" s="3"/>
      <c r="C448" s="4"/>
      <c r="D448" s="4" t="s">
        <v>733</v>
      </c>
      <c r="E448" s="3"/>
      <c r="F448" s="4"/>
      <c r="G448" s="4"/>
      <c r="H448" s="43">
        <f>SUM(H444:H447)</f>
        <v>6854.82</v>
      </c>
      <c r="I448" s="5"/>
      <c r="J448" s="45" t="str">
        <f t="shared" ca="1" si="7"/>
        <v/>
      </c>
      <c r="K448" s="43">
        <f>SUM(K444:K447)</f>
        <v>6854.82</v>
      </c>
      <c r="L448" s="9"/>
      <c r="M448" s="4"/>
      <c r="N448" s="4"/>
      <c r="O448" s="4"/>
      <c r="P448" s="4"/>
      <c r="Q448" s="4"/>
      <c r="R448" s="4" t="s">
        <v>42</v>
      </c>
      <c r="S448" s="6">
        <v>-12235.67</v>
      </c>
      <c r="T448" s="6">
        <v>14888.9</v>
      </c>
      <c r="U448" s="6">
        <v>0</v>
      </c>
      <c r="V448" s="6">
        <v>0</v>
      </c>
      <c r="W448" s="6">
        <v>0</v>
      </c>
      <c r="X448" s="7"/>
      <c r="Y448" s="7"/>
      <c r="Z448" s="6">
        <v>0</v>
      </c>
      <c r="AA448" s="4"/>
      <c r="AB448" s="4"/>
      <c r="AC448" s="4"/>
      <c r="AD448" s="4"/>
      <c r="AE448" s="6">
        <v>25174.32</v>
      </c>
      <c r="AF448" s="6">
        <v>5889.28</v>
      </c>
      <c r="AG448" s="48"/>
      <c r="AH448" s="44" cm="1">
        <f t="array" ref="AH448">IFERROR(SUMPRODUCT(AF444:AF447*--(((AI444:AI447=TRUE)+(AI444:AI447=1))&gt;0)),0)</f>
        <v>3445.36</v>
      </c>
      <c r="AI448" s="54">
        <f>SUMIF(AI444:AI447,TRUE,H444:H447)/H448</f>
        <v>0.59143201426149772</v>
      </c>
      <c r="AJ448" s="6"/>
      <c r="AK448" s="50"/>
    </row>
    <row r="449" spans="1:37" x14ac:dyDescent="0.35">
      <c r="A449" s="12" t="s">
        <v>33</v>
      </c>
      <c r="B449" s="12">
        <v>100111613</v>
      </c>
      <c r="C449" s="13" t="s">
        <v>741</v>
      </c>
      <c r="D449" s="13" t="s">
        <v>742</v>
      </c>
      <c r="E449" s="12">
        <v>9700003184</v>
      </c>
      <c r="F449" s="13" t="s">
        <v>743</v>
      </c>
      <c r="G449" s="12" t="s">
        <v>37</v>
      </c>
      <c r="H449" s="14">
        <v>2005.51</v>
      </c>
      <c r="I449" s="15">
        <v>46068</v>
      </c>
      <c r="J449" s="12" t="str">
        <f t="shared" ca="1" si="7"/>
        <v>61-90</v>
      </c>
      <c r="K449" s="14">
        <v>2005.51</v>
      </c>
      <c r="L449" s="16">
        <v>46038</v>
      </c>
      <c r="M449" s="13" t="s">
        <v>38</v>
      </c>
      <c r="N449" s="13" t="s">
        <v>39</v>
      </c>
      <c r="O449" s="13" t="s">
        <v>40</v>
      </c>
      <c r="P449" s="13"/>
      <c r="Q449" s="13" t="s">
        <v>41</v>
      </c>
      <c r="R449" s="13" t="s">
        <v>42</v>
      </c>
      <c r="S449" s="17">
        <v>0</v>
      </c>
      <c r="T449" s="17">
        <v>0</v>
      </c>
      <c r="U449" s="17">
        <v>7365.24</v>
      </c>
      <c r="V449" s="17">
        <v>0</v>
      </c>
      <c r="W449" s="17">
        <v>0</v>
      </c>
      <c r="X449" s="17">
        <v>0</v>
      </c>
      <c r="Y449" s="17">
        <v>7365.24</v>
      </c>
      <c r="Z449" s="17">
        <v>0</v>
      </c>
      <c r="AA449" s="13" t="s">
        <v>744</v>
      </c>
      <c r="AB449" s="13" t="s">
        <v>44</v>
      </c>
      <c r="AC449" s="13" t="s">
        <v>45</v>
      </c>
      <c r="AD449" s="13" t="s">
        <v>46</v>
      </c>
      <c r="AE449" s="17">
        <v>7365.24</v>
      </c>
      <c r="AF449" s="17">
        <v>1720.88</v>
      </c>
      <c r="AG449" s="47" t="s">
        <v>907</v>
      </c>
      <c r="AH449" s="20" t="s">
        <v>824</v>
      </c>
      <c r="AI449" s="19" t="b">
        <v>0</v>
      </c>
      <c r="AJ449" s="18" t="s">
        <v>868</v>
      </c>
      <c r="AK449" s="49" t="s">
        <v>824</v>
      </c>
    </row>
    <row r="450" spans="1:37" x14ac:dyDescent="0.35">
      <c r="A450" s="12" t="s">
        <v>33</v>
      </c>
      <c r="B450" s="12">
        <v>100111613</v>
      </c>
      <c r="C450" s="13" t="s">
        <v>741</v>
      </c>
      <c r="D450" s="13" t="s">
        <v>742</v>
      </c>
      <c r="E450" s="12">
        <v>9700003943</v>
      </c>
      <c r="F450" s="13" t="s">
        <v>745</v>
      </c>
      <c r="G450" s="12" t="s">
        <v>37</v>
      </c>
      <c r="H450" s="14">
        <v>2004.91</v>
      </c>
      <c r="I450" s="15">
        <v>46071</v>
      </c>
      <c r="J450" s="12" t="str">
        <f t="shared" ca="1" si="7"/>
        <v>61-90</v>
      </c>
      <c r="K450" s="14">
        <v>2004.91</v>
      </c>
      <c r="L450" s="16">
        <v>46041</v>
      </c>
      <c r="M450" s="13" t="s">
        <v>38</v>
      </c>
      <c r="N450" s="13" t="s">
        <v>39</v>
      </c>
      <c r="O450" s="13" t="s">
        <v>40</v>
      </c>
      <c r="P450" s="13"/>
      <c r="Q450" s="13" t="s">
        <v>41</v>
      </c>
      <c r="R450" s="13" t="s">
        <v>42</v>
      </c>
      <c r="S450" s="17">
        <v>0</v>
      </c>
      <c r="T450" s="17">
        <v>0</v>
      </c>
      <c r="U450" s="17">
        <v>7363.03</v>
      </c>
      <c r="V450" s="17">
        <v>0</v>
      </c>
      <c r="W450" s="17">
        <v>0</v>
      </c>
      <c r="X450" s="17">
        <v>0</v>
      </c>
      <c r="Y450" s="17">
        <v>7363.03</v>
      </c>
      <c r="Z450" s="17">
        <v>0</v>
      </c>
      <c r="AA450" s="13" t="s">
        <v>744</v>
      </c>
      <c r="AB450" s="13" t="s">
        <v>44</v>
      </c>
      <c r="AC450" s="13" t="s">
        <v>45</v>
      </c>
      <c r="AD450" s="13" t="s">
        <v>46</v>
      </c>
      <c r="AE450" s="17">
        <v>7363.03</v>
      </c>
      <c r="AF450" s="17">
        <v>1724.8</v>
      </c>
      <c r="AG450" s="47" t="s">
        <v>907</v>
      </c>
      <c r="AH450" s="20" t="s">
        <v>824</v>
      </c>
      <c r="AI450" s="19" t="b">
        <v>0</v>
      </c>
      <c r="AJ450" s="18" t="s">
        <v>868</v>
      </c>
      <c r="AK450" s="49" t="s">
        <v>824</v>
      </c>
    </row>
    <row r="451" spans="1:37" x14ac:dyDescent="0.35">
      <c r="A451" s="12" t="s">
        <v>33</v>
      </c>
      <c r="B451" s="12">
        <v>100111613</v>
      </c>
      <c r="C451" s="13" t="s">
        <v>741</v>
      </c>
      <c r="D451" s="13" t="s">
        <v>742</v>
      </c>
      <c r="E451" s="12">
        <v>9700014773</v>
      </c>
      <c r="F451" s="13" t="s">
        <v>746</v>
      </c>
      <c r="G451" s="12" t="s">
        <v>37</v>
      </c>
      <c r="H451" s="14">
        <v>699.04</v>
      </c>
      <c r="I451" s="15">
        <v>45744</v>
      </c>
      <c r="J451" s="12" t="str">
        <f t="shared" ca="1" si="7"/>
        <v>120 +</v>
      </c>
      <c r="K451" s="14">
        <v>699.04</v>
      </c>
      <c r="L451" s="16">
        <v>45714</v>
      </c>
      <c r="M451" s="13" t="s">
        <v>38</v>
      </c>
      <c r="N451" s="13" t="s">
        <v>39</v>
      </c>
      <c r="O451" s="13" t="s">
        <v>40</v>
      </c>
      <c r="P451" s="13"/>
      <c r="Q451" s="13" t="s">
        <v>41</v>
      </c>
      <c r="R451" s="13" t="s">
        <v>42</v>
      </c>
      <c r="S451" s="17">
        <v>0</v>
      </c>
      <c r="T451" s="17">
        <v>0</v>
      </c>
      <c r="U451" s="17">
        <v>0</v>
      </c>
      <c r="V451" s="17">
        <v>0</v>
      </c>
      <c r="W451" s="17">
        <v>0</v>
      </c>
      <c r="X451" s="17">
        <v>2567.2199999999998</v>
      </c>
      <c r="Y451" s="17">
        <v>2567.2199999999998</v>
      </c>
      <c r="Z451" s="17">
        <v>0</v>
      </c>
      <c r="AA451" s="13" t="s">
        <v>747</v>
      </c>
      <c r="AB451" s="13" t="s">
        <v>44</v>
      </c>
      <c r="AC451" s="13" t="s">
        <v>45</v>
      </c>
      <c r="AD451" s="13" t="s">
        <v>46</v>
      </c>
      <c r="AE451" s="17">
        <v>2567.2199999999998</v>
      </c>
      <c r="AF451" s="17">
        <v>667.98</v>
      </c>
      <c r="AG451" s="47" t="s">
        <v>883</v>
      </c>
      <c r="AH451" s="20" t="s">
        <v>824</v>
      </c>
      <c r="AI451" s="19" t="b">
        <v>0</v>
      </c>
      <c r="AJ451" s="18" t="s">
        <v>868</v>
      </c>
      <c r="AK451" s="49" t="s">
        <v>824</v>
      </c>
    </row>
    <row r="452" spans="1:37" x14ac:dyDescent="0.35">
      <c r="A452" s="12" t="s">
        <v>33</v>
      </c>
      <c r="B452" s="12">
        <v>100111613</v>
      </c>
      <c r="C452" s="13" t="s">
        <v>741</v>
      </c>
      <c r="D452" s="13" t="s">
        <v>742</v>
      </c>
      <c r="E452" s="12">
        <v>9700014774</v>
      </c>
      <c r="F452" s="13" t="s">
        <v>748</v>
      </c>
      <c r="G452" s="12" t="s">
        <v>37</v>
      </c>
      <c r="H452" s="14">
        <v>380.16</v>
      </c>
      <c r="I452" s="15">
        <v>45744</v>
      </c>
      <c r="J452" s="12" t="str">
        <f t="shared" ca="1" si="7"/>
        <v>120 +</v>
      </c>
      <c r="K452" s="14">
        <v>380.16</v>
      </c>
      <c r="L452" s="16">
        <v>45714</v>
      </c>
      <c r="M452" s="13" t="s">
        <v>38</v>
      </c>
      <c r="N452" s="13" t="s">
        <v>39</v>
      </c>
      <c r="O452" s="13" t="s">
        <v>40</v>
      </c>
      <c r="P452" s="13"/>
      <c r="Q452" s="13" t="s">
        <v>41</v>
      </c>
      <c r="R452" s="13" t="s">
        <v>42</v>
      </c>
      <c r="S452" s="17">
        <v>0</v>
      </c>
      <c r="T452" s="17">
        <v>0</v>
      </c>
      <c r="U452" s="17">
        <v>0</v>
      </c>
      <c r="V452" s="17">
        <v>0</v>
      </c>
      <c r="W452" s="17">
        <v>0</v>
      </c>
      <c r="X452" s="17">
        <v>1396.14</v>
      </c>
      <c r="Y452" s="17">
        <v>1396.14</v>
      </c>
      <c r="Z452" s="17">
        <v>0</v>
      </c>
      <c r="AA452" s="13" t="s">
        <v>749</v>
      </c>
      <c r="AB452" s="13" t="s">
        <v>44</v>
      </c>
      <c r="AC452" s="13" t="s">
        <v>45</v>
      </c>
      <c r="AD452" s="13" t="s">
        <v>46</v>
      </c>
      <c r="AE452" s="17">
        <v>1396.14</v>
      </c>
      <c r="AF452" s="17">
        <v>363.27</v>
      </c>
      <c r="AG452" s="47" t="s">
        <v>882</v>
      </c>
      <c r="AH452" s="20" t="s">
        <v>824</v>
      </c>
      <c r="AI452" s="19" t="b">
        <v>0</v>
      </c>
      <c r="AJ452" s="18" t="s">
        <v>868</v>
      </c>
      <c r="AK452" s="49" t="s">
        <v>824</v>
      </c>
    </row>
    <row r="453" spans="1:37" x14ac:dyDescent="0.35">
      <c r="A453" s="12" t="s">
        <v>33</v>
      </c>
      <c r="B453" s="12">
        <v>100111613</v>
      </c>
      <c r="C453" s="13" t="s">
        <v>741</v>
      </c>
      <c r="D453" s="13" t="s">
        <v>742</v>
      </c>
      <c r="E453" s="12">
        <v>9700017525</v>
      </c>
      <c r="F453" s="13" t="s">
        <v>750</v>
      </c>
      <c r="G453" s="12" t="s">
        <v>37</v>
      </c>
      <c r="H453" s="14">
        <v>1972.4</v>
      </c>
      <c r="I453" s="15">
        <v>46109</v>
      </c>
      <c r="J453" s="12" t="str">
        <f t="shared" ca="1" si="7"/>
        <v>31-60</v>
      </c>
      <c r="K453" s="14">
        <v>1972.4</v>
      </c>
      <c r="L453" s="16">
        <v>46079</v>
      </c>
      <c r="M453" s="13" t="s">
        <v>38</v>
      </c>
      <c r="N453" s="13" t="s">
        <v>39</v>
      </c>
      <c r="O453" s="13" t="s">
        <v>40</v>
      </c>
      <c r="P453" s="13"/>
      <c r="Q453" s="13" t="s">
        <v>41</v>
      </c>
      <c r="R453" s="13" t="s">
        <v>42</v>
      </c>
      <c r="S453" s="17">
        <v>0</v>
      </c>
      <c r="T453" s="17">
        <v>7243.64</v>
      </c>
      <c r="U453" s="17">
        <v>0</v>
      </c>
      <c r="V453" s="17">
        <v>0</v>
      </c>
      <c r="W453" s="17">
        <v>0</v>
      </c>
      <c r="X453" s="17">
        <v>0</v>
      </c>
      <c r="Y453" s="17">
        <v>7243.64</v>
      </c>
      <c r="Z453" s="17">
        <v>0</v>
      </c>
      <c r="AA453" s="13" t="s">
        <v>751</v>
      </c>
      <c r="AB453" s="13" t="s">
        <v>44</v>
      </c>
      <c r="AC453" s="13" t="s">
        <v>45</v>
      </c>
      <c r="AD453" s="13" t="s">
        <v>46</v>
      </c>
      <c r="AE453" s="17">
        <v>7243.64</v>
      </c>
      <c r="AF453" s="17">
        <v>1676.21</v>
      </c>
      <c r="AG453" s="47" t="s">
        <v>907</v>
      </c>
      <c r="AH453" s="20" t="s">
        <v>824</v>
      </c>
      <c r="AI453" s="19" t="b">
        <v>0</v>
      </c>
      <c r="AJ453" s="18" t="s">
        <v>868</v>
      </c>
      <c r="AK453" s="49" t="s">
        <v>824</v>
      </c>
    </row>
    <row r="454" spans="1:37" x14ac:dyDescent="0.35">
      <c r="A454" s="12" t="s">
        <v>33</v>
      </c>
      <c r="B454" s="12">
        <v>100111613</v>
      </c>
      <c r="C454" s="13" t="s">
        <v>741</v>
      </c>
      <c r="D454" s="13" t="s">
        <v>742</v>
      </c>
      <c r="E454" s="12">
        <v>9700025560</v>
      </c>
      <c r="F454" s="13" t="s">
        <v>752</v>
      </c>
      <c r="G454" s="12" t="s">
        <v>37</v>
      </c>
      <c r="H454" s="14">
        <v>203.09</v>
      </c>
      <c r="I454" s="15">
        <v>45794</v>
      </c>
      <c r="J454" s="12" t="str">
        <f t="shared" ca="1" si="7"/>
        <v>120 +</v>
      </c>
      <c r="K454" s="14">
        <v>203.09</v>
      </c>
      <c r="L454" s="16">
        <v>45764</v>
      </c>
      <c r="M454" s="13" t="s">
        <v>38</v>
      </c>
      <c r="N454" s="13" t="s">
        <v>39</v>
      </c>
      <c r="O454" s="13" t="s">
        <v>40</v>
      </c>
      <c r="P454" s="13"/>
      <c r="Q454" s="13" t="s">
        <v>41</v>
      </c>
      <c r="R454" s="13" t="s">
        <v>42</v>
      </c>
      <c r="S454" s="17">
        <v>0</v>
      </c>
      <c r="T454" s="17">
        <v>0</v>
      </c>
      <c r="U454" s="17">
        <v>0</v>
      </c>
      <c r="V454" s="17">
        <v>0</v>
      </c>
      <c r="W454" s="17">
        <v>0</v>
      </c>
      <c r="X454" s="17">
        <v>745.85</v>
      </c>
      <c r="Y454" s="17">
        <v>745.85</v>
      </c>
      <c r="Z454" s="17">
        <v>0</v>
      </c>
      <c r="AA454" s="13" t="s">
        <v>744</v>
      </c>
      <c r="AB454" s="13" t="s">
        <v>44</v>
      </c>
      <c r="AC454" s="13" t="s">
        <v>45</v>
      </c>
      <c r="AD454" s="13" t="s">
        <v>46</v>
      </c>
      <c r="AE454" s="17">
        <v>745.85</v>
      </c>
      <c r="AF454" s="17">
        <v>179</v>
      </c>
      <c r="AG454" s="47" t="s">
        <v>907</v>
      </c>
      <c r="AH454" s="20" t="s">
        <v>824</v>
      </c>
      <c r="AI454" s="19" t="b">
        <v>0</v>
      </c>
      <c r="AJ454" s="18" t="s">
        <v>868</v>
      </c>
      <c r="AK454" s="49" t="s">
        <v>824</v>
      </c>
    </row>
    <row r="455" spans="1:37" x14ac:dyDescent="0.35">
      <c r="A455" s="12" t="s">
        <v>33</v>
      </c>
      <c r="B455" s="12">
        <v>100111613</v>
      </c>
      <c r="C455" s="13" t="s">
        <v>741</v>
      </c>
      <c r="D455" s="13" t="s">
        <v>742</v>
      </c>
      <c r="E455" s="12">
        <v>9700026232</v>
      </c>
      <c r="F455" s="13" t="s">
        <v>753</v>
      </c>
      <c r="G455" s="12" t="s">
        <v>37</v>
      </c>
      <c r="H455" s="14">
        <v>1975.47</v>
      </c>
      <c r="I455" s="15">
        <v>46138</v>
      </c>
      <c r="J455" s="12" t="str">
        <f t="shared" ca="1" si="7"/>
        <v>0-30</v>
      </c>
      <c r="K455" s="14">
        <v>1975.47</v>
      </c>
      <c r="L455" s="16">
        <v>46108</v>
      </c>
      <c r="M455" s="13" t="s">
        <v>38</v>
      </c>
      <c r="N455" s="13" t="s">
        <v>39</v>
      </c>
      <c r="O455" s="13" t="s">
        <v>40</v>
      </c>
      <c r="P455" s="13"/>
      <c r="Q455" s="13" t="s">
        <v>41</v>
      </c>
      <c r="R455" s="13" t="s">
        <v>42</v>
      </c>
      <c r="S455" s="17">
        <v>7254.91</v>
      </c>
      <c r="T455" s="17">
        <v>0</v>
      </c>
      <c r="U455" s="17">
        <v>0</v>
      </c>
      <c r="V455" s="17">
        <v>0</v>
      </c>
      <c r="W455" s="17">
        <v>0</v>
      </c>
      <c r="X455" s="17">
        <v>0</v>
      </c>
      <c r="Y455" s="17">
        <v>0</v>
      </c>
      <c r="Z455" s="17">
        <v>0</v>
      </c>
      <c r="AA455" s="13" t="s">
        <v>751</v>
      </c>
      <c r="AB455" s="13" t="s">
        <v>44</v>
      </c>
      <c r="AC455" s="13" t="s">
        <v>45</v>
      </c>
      <c r="AD455" s="13" t="s">
        <v>46</v>
      </c>
      <c r="AE455" s="17">
        <v>7254.91</v>
      </c>
      <c r="AF455" s="17">
        <v>1704.17</v>
      </c>
      <c r="AG455" s="47" t="s">
        <v>907</v>
      </c>
      <c r="AH455" s="20" t="e">
        <v>#N/A</v>
      </c>
      <c r="AI455" s="19" t="b">
        <v>0</v>
      </c>
      <c r="AJ455" s="18" t="s">
        <v>868</v>
      </c>
      <c r="AK455" s="49" t="s">
        <v>824</v>
      </c>
    </row>
    <row r="456" spans="1:37" x14ac:dyDescent="0.35">
      <c r="A456" s="12" t="s">
        <v>33</v>
      </c>
      <c r="B456" s="12">
        <v>100111613</v>
      </c>
      <c r="C456" s="13" t="s">
        <v>741</v>
      </c>
      <c r="D456" s="13" t="s">
        <v>742</v>
      </c>
      <c r="E456" s="12">
        <v>9700029408</v>
      </c>
      <c r="F456" s="13" t="s">
        <v>754</v>
      </c>
      <c r="G456" s="12" t="s">
        <v>37</v>
      </c>
      <c r="H456" s="14">
        <v>245.25</v>
      </c>
      <c r="I456" s="15">
        <v>45805</v>
      </c>
      <c r="J456" s="12" t="str">
        <f t="shared" ca="1" si="7"/>
        <v>120 +</v>
      </c>
      <c r="K456" s="14">
        <v>245.25</v>
      </c>
      <c r="L456" s="16">
        <v>45775</v>
      </c>
      <c r="M456" s="13" t="s">
        <v>38</v>
      </c>
      <c r="N456" s="13" t="s">
        <v>39</v>
      </c>
      <c r="O456" s="13" t="s">
        <v>40</v>
      </c>
      <c r="P456" s="13"/>
      <c r="Q456" s="13" t="s">
        <v>41</v>
      </c>
      <c r="R456" s="13" t="s">
        <v>42</v>
      </c>
      <c r="S456" s="17">
        <v>0</v>
      </c>
      <c r="T456" s="17">
        <v>0</v>
      </c>
      <c r="U456" s="17">
        <v>0</v>
      </c>
      <c r="V456" s="17">
        <v>0</v>
      </c>
      <c r="W456" s="17">
        <v>0</v>
      </c>
      <c r="X456" s="17">
        <v>900.68</v>
      </c>
      <c r="Y456" s="17">
        <v>900.68</v>
      </c>
      <c r="Z456" s="17">
        <v>0</v>
      </c>
      <c r="AA456" s="13" t="s">
        <v>744</v>
      </c>
      <c r="AB456" s="13" t="s">
        <v>44</v>
      </c>
      <c r="AC456" s="13" t="s">
        <v>45</v>
      </c>
      <c r="AD456" s="13" t="s">
        <v>46</v>
      </c>
      <c r="AE456" s="17">
        <v>900.68</v>
      </c>
      <c r="AF456" s="17">
        <v>215.59</v>
      </c>
      <c r="AG456" s="47" t="s">
        <v>907</v>
      </c>
      <c r="AH456" s="20" t="s">
        <v>824</v>
      </c>
      <c r="AI456" s="19" t="b">
        <v>0</v>
      </c>
      <c r="AJ456" s="18" t="s">
        <v>868</v>
      </c>
      <c r="AK456" s="49" t="s">
        <v>824</v>
      </c>
    </row>
    <row r="457" spans="1:37" x14ac:dyDescent="0.35">
      <c r="A457" s="12" t="s">
        <v>33</v>
      </c>
      <c r="B457" s="12">
        <v>100111613</v>
      </c>
      <c r="C457" s="13" t="s">
        <v>741</v>
      </c>
      <c r="D457" s="13" t="s">
        <v>742</v>
      </c>
      <c r="E457" s="12">
        <v>9700034917</v>
      </c>
      <c r="F457" s="13" t="s">
        <v>755</v>
      </c>
      <c r="G457" s="12" t="s">
        <v>37</v>
      </c>
      <c r="H457" s="14">
        <v>221.49</v>
      </c>
      <c r="I457" s="15">
        <v>45829</v>
      </c>
      <c r="J457" s="12" t="str">
        <f t="shared" ca="1" si="7"/>
        <v>120 +</v>
      </c>
      <c r="K457" s="14">
        <v>221.49</v>
      </c>
      <c r="L457" s="16">
        <v>45799</v>
      </c>
      <c r="M457" s="13" t="s">
        <v>38</v>
      </c>
      <c r="N457" s="13" t="s">
        <v>39</v>
      </c>
      <c r="O457" s="13" t="s">
        <v>40</v>
      </c>
      <c r="P457" s="13"/>
      <c r="Q457" s="13" t="s">
        <v>41</v>
      </c>
      <c r="R457" s="13" t="s">
        <v>42</v>
      </c>
      <c r="S457" s="17">
        <v>0</v>
      </c>
      <c r="T457" s="17">
        <v>0</v>
      </c>
      <c r="U457" s="17">
        <v>0</v>
      </c>
      <c r="V457" s="17">
        <v>0</v>
      </c>
      <c r="W457" s="17">
        <v>0</v>
      </c>
      <c r="X457" s="17">
        <v>813.42</v>
      </c>
      <c r="Y457" s="17">
        <v>813.42</v>
      </c>
      <c r="Z457" s="17">
        <v>0</v>
      </c>
      <c r="AA457" s="13" t="s">
        <v>744</v>
      </c>
      <c r="AB457" s="13" t="s">
        <v>44</v>
      </c>
      <c r="AC457" s="13" t="s">
        <v>45</v>
      </c>
      <c r="AD457" s="13" t="s">
        <v>46</v>
      </c>
      <c r="AE457" s="17">
        <v>813.42</v>
      </c>
      <c r="AF457" s="17">
        <v>197.86</v>
      </c>
      <c r="AG457" s="47" t="s">
        <v>907</v>
      </c>
      <c r="AH457" s="20" t="s">
        <v>824</v>
      </c>
      <c r="AI457" s="19" t="b">
        <v>0</v>
      </c>
      <c r="AJ457" s="18" t="s">
        <v>868</v>
      </c>
      <c r="AK457" s="49" t="s">
        <v>824</v>
      </c>
    </row>
    <row r="458" spans="1:37" x14ac:dyDescent="0.35">
      <c r="A458" s="12" t="s">
        <v>33</v>
      </c>
      <c r="B458" s="12">
        <v>100111613</v>
      </c>
      <c r="C458" s="13" t="s">
        <v>741</v>
      </c>
      <c r="D458" s="13" t="s">
        <v>742</v>
      </c>
      <c r="E458" s="12">
        <v>9700065540</v>
      </c>
      <c r="F458" s="13" t="s">
        <v>756</v>
      </c>
      <c r="G458" s="12" t="s">
        <v>37</v>
      </c>
      <c r="H458" s="14">
        <v>2005.85</v>
      </c>
      <c r="I458" s="15">
        <v>45953</v>
      </c>
      <c r="J458" s="12" t="str">
        <f t="shared" ca="1" si="7"/>
        <v>120 +</v>
      </c>
      <c r="K458" s="14">
        <v>2005.85</v>
      </c>
      <c r="L458" s="16">
        <v>45923</v>
      </c>
      <c r="M458" s="13" t="s">
        <v>38</v>
      </c>
      <c r="N458" s="13" t="s">
        <v>39</v>
      </c>
      <c r="O458" s="13" t="s">
        <v>40</v>
      </c>
      <c r="P458" s="13"/>
      <c r="Q458" s="13" t="s">
        <v>41</v>
      </c>
      <c r="R458" s="13" t="s">
        <v>42</v>
      </c>
      <c r="S458" s="17">
        <v>0</v>
      </c>
      <c r="T458" s="17">
        <v>0</v>
      </c>
      <c r="U458" s="17">
        <v>0</v>
      </c>
      <c r="V458" s="17">
        <v>0</v>
      </c>
      <c r="W458" s="17">
        <v>0</v>
      </c>
      <c r="X458" s="17">
        <v>7366.48</v>
      </c>
      <c r="Y458" s="17">
        <v>7366.48</v>
      </c>
      <c r="Z458" s="17">
        <v>0</v>
      </c>
      <c r="AA458" s="13" t="s">
        <v>744</v>
      </c>
      <c r="AB458" s="13" t="s">
        <v>44</v>
      </c>
      <c r="AC458" s="13" t="s">
        <v>45</v>
      </c>
      <c r="AD458" s="13" t="s">
        <v>46</v>
      </c>
      <c r="AE458" s="17">
        <v>7366.48</v>
      </c>
      <c r="AF458" s="17">
        <v>1709.14</v>
      </c>
      <c r="AG458" s="47" t="s">
        <v>907</v>
      </c>
      <c r="AH458" s="20" t="s">
        <v>824</v>
      </c>
      <c r="AI458" s="19" t="b">
        <v>0</v>
      </c>
      <c r="AJ458" s="18" t="s">
        <v>868</v>
      </c>
      <c r="AK458" s="49" t="s">
        <v>824</v>
      </c>
    </row>
    <row r="459" spans="1:37" x14ac:dyDescent="0.35">
      <c r="A459" s="12" t="s">
        <v>33</v>
      </c>
      <c r="B459" s="12">
        <v>100111613</v>
      </c>
      <c r="C459" s="13" t="s">
        <v>741</v>
      </c>
      <c r="D459" s="13" t="s">
        <v>742</v>
      </c>
      <c r="E459" s="12">
        <v>9700070964</v>
      </c>
      <c r="F459" s="13" t="s">
        <v>757</v>
      </c>
      <c r="G459" s="12" t="s">
        <v>37</v>
      </c>
      <c r="H459" s="14">
        <v>1862.08</v>
      </c>
      <c r="I459" s="15">
        <v>45976</v>
      </c>
      <c r="J459" s="12" t="str">
        <f t="shared" ca="1" si="7"/>
        <v>120 +</v>
      </c>
      <c r="K459" s="14">
        <v>1862.08</v>
      </c>
      <c r="L459" s="16">
        <v>45946</v>
      </c>
      <c r="M459" s="13" t="s">
        <v>38</v>
      </c>
      <c r="N459" s="13" t="s">
        <v>39</v>
      </c>
      <c r="O459" s="13" t="s">
        <v>40</v>
      </c>
      <c r="P459" s="13"/>
      <c r="Q459" s="13" t="s">
        <v>41</v>
      </c>
      <c r="R459" s="13" t="s">
        <v>42</v>
      </c>
      <c r="S459" s="17">
        <v>0</v>
      </c>
      <c r="T459" s="17">
        <v>0</v>
      </c>
      <c r="U459" s="17">
        <v>0</v>
      </c>
      <c r="V459" s="17">
        <v>0</v>
      </c>
      <c r="W459" s="17">
        <v>0</v>
      </c>
      <c r="X459" s="17">
        <v>6838.49</v>
      </c>
      <c r="Y459" s="17">
        <v>6838.49</v>
      </c>
      <c r="Z459" s="17">
        <v>0</v>
      </c>
      <c r="AA459" s="13" t="s">
        <v>744</v>
      </c>
      <c r="AB459" s="13" t="s">
        <v>44</v>
      </c>
      <c r="AC459" s="13" t="s">
        <v>45</v>
      </c>
      <c r="AD459" s="13" t="s">
        <v>46</v>
      </c>
      <c r="AE459" s="17">
        <v>6838.49</v>
      </c>
      <c r="AF459" s="17">
        <v>1609.68</v>
      </c>
      <c r="AG459" s="47" t="s">
        <v>907</v>
      </c>
      <c r="AH459" s="20" t="s">
        <v>824</v>
      </c>
      <c r="AI459" s="19" t="b">
        <v>0</v>
      </c>
      <c r="AJ459" s="18" t="s">
        <v>868</v>
      </c>
      <c r="AK459" s="49" t="s">
        <v>824</v>
      </c>
    </row>
    <row r="460" spans="1:37" x14ac:dyDescent="0.35">
      <c r="A460" s="12" t="s">
        <v>33</v>
      </c>
      <c r="B460" s="12">
        <v>100111613</v>
      </c>
      <c r="C460" s="13" t="s">
        <v>741</v>
      </c>
      <c r="D460" s="13" t="s">
        <v>742</v>
      </c>
      <c r="E460" s="12">
        <v>9700083445</v>
      </c>
      <c r="F460" s="13" t="s">
        <v>758</v>
      </c>
      <c r="G460" s="12" t="s">
        <v>37</v>
      </c>
      <c r="H460" s="14">
        <v>2004.08</v>
      </c>
      <c r="I460" s="15">
        <v>46016</v>
      </c>
      <c r="J460" s="12" t="str">
        <f t="shared" ca="1" si="7"/>
        <v>120 +</v>
      </c>
      <c r="K460" s="14">
        <v>2004.08</v>
      </c>
      <c r="L460" s="16">
        <v>45986</v>
      </c>
      <c r="M460" s="13" t="s">
        <v>38</v>
      </c>
      <c r="N460" s="13" t="s">
        <v>39</v>
      </c>
      <c r="O460" s="13" t="s">
        <v>40</v>
      </c>
      <c r="P460" s="13"/>
      <c r="Q460" s="13" t="s">
        <v>41</v>
      </c>
      <c r="R460" s="13" t="s">
        <v>42</v>
      </c>
      <c r="S460" s="17">
        <v>0</v>
      </c>
      <c r="T460" s="17">
        <v>0</v>
      </c>
      <c r="U460" s="17">
        <v>0</v>
      </c>
      <c r="V460" s="17">
        <v>0</v>
      </c>
      <c r="W460" s="17">
        <v>7359.98</v>
      </c>
      <c r="X460" s="17">
        <v>0</v>
      </c>
      <c r="Y460" s="17">
        <v>7359.98</v>
      </c>
      <c r="Z460" s="17">
        <v>0</v>
      </c>
      <c r="AA460" s="13" t="s">
        <v>744</v>
      </c>
      <c r="AB460" s="13" t="s">
        <v>44</v>
      </c>
      <c r="AC460" s="13" t="s">
        <v>45</v>
      </c>
      <c r="AD460" s="13" t="s">
        <v>46</v>
      </c>
      <c r="AE460" s="17">
        <v>7359.98</v>
      </c>
      <c r="AF460" s="17">
        <v>1739.65</v>
      </c>
      <c r="AG460" s="47" t="s">
        <v>907</v>
      </c>
      <c r="AH460" s="20" t="s">
        <v>824</v>
      </c>
      <c r="AI460" s="19" t="b">
        <v>0</v>
      </c>
      <c r="AJ460" s="18" t="s">
        <v>868</v>
      </c>
      <c r="AK460" s="49" t="s">
        <v>824</v>
      </c>
    </row>
    <row r="461" spans="1:37" ht="16.5" x14ac:dyDescent="0.4">
      <c r="A461" s="3"/>
      <c r="B461" s="3"/>
      <c r="C461" s="4"/>
      <c r="D461" s="4" t="s">
        <v>742</v>
      </c>
      <c r="E461" s="3"/>
      <c r="F461" s="4"/>
      <c r="G461" s="4"/>
      <c r="H461" s="43">
        <f>SUM(H449:H460)</f>
        <v>15579.33</v>
      </c>
      <c r="I461" s="5"/>
      <c r="J461" s="45" t="str">
        <f t="shared" ca="1" si="7"/>
        <v/>
      </c>
      <c r="K461" s="43">
        <f>SUM(K449:K460)</f>
        <v>15579.33</v>
      </c>
      <c r="L461" s="9"/>
      <c r="M461" s="4"/>
      <c r="N461" s="4"/>
      <c r="O461" s="4"/>
      <c r="P461" s="4"/>
      <c r="Q461" s="4"/>
      <c r="R461" s="4" t="s">
        <v>42</v>
      </c>
      <c r="S461" s="6">
        <v>7254.91</v>
      </c>
      <c r="T461" s="6">
        <v>7243.64</v>
      </c>
      <c r="U461" s="6">
        <v>14728.27</v>
      </c>
      <c r="V461" s="6">
        <v>0</v>
      </c>
      <c r="W461" s="6">
        <v>7359.98</v>
      </c>
      <c r="X461" s="7"/>
      <c r="Y461" s="7"/>
      <c r="Z461" s="6">
        <v>0</v>
      </c>
      <c r="AA461" s="4"/>
      <c r="AB461" s="4"/>
      <c r="AC461" s="4"/>
      <c r="AD461" s="4"/>
      <c r="AE461" s="6">
        <v>57215.08</v>
      </c>
      <c r="AF461" s="6">
        <v>13508.23</v>
      </c>
      <c r="AG461" s="48"/>
      <c r="AH461" s="44" cm="1">
        <f t="array" ref="AH461">IFERROR(SUMPRODUCT(AF449:AF460*--(((AI449:AI460=TRUE)+(AI449:AI460=1))&gt;0)),0)</f>
        <v>0</v>
      </c>
      <c r="AI461" s="54">
        <f>SUMIF(AI449:AI460,TRUE,H449:H460)/H461</f>
        <v>0</v>
      </c>
      <c r="AJ461" s="6"/>
      <c r="AK461" s="50"/>
    </row>
    <row r="462" spans="1:37" x14ac:dyDescent="0.35">
      <c r="A462" s="12" t="s">
        <v>33</v>
      </c>
      <c r="B462" s="12">
        <v>100113203</v>
      </c>
      <c r="C462" s="13" t="s">
        <v>759</v>
      </c>
      <c r="D462" s="13" t="s">
        <v>760</v>
      </c>
      <c r="E462" s="12">
        <v>9700023089</v>
      </c>
      <c r="F462" s="13" t="s">
        <v>761</v>
      </c>
      <c r="G462" s="12" t="s">
        <v>37</v>
      </c>
      <c r="H462" s="14">
        <v>4021.3</v>
      </c>
      <c r="I462" s="15">
        <v>46130</v>
      </c>
      <c r="J462" s="12" t="str">
        <f t="shared" ca="1" si="7"/>
        <v>0-30</v>
      </c>
      <c r="K462" s="14">
        <v>4021.3</v>
      </c>
      <c r="L462" s="16">
        <v>46100</v>
      </c>
      <c r="M462" s="13" t="s">
        <v>38</v>
      </c>
      <c r="N462" s="13" t="s">
        <v>39</v>
      </c>
      <c r="O462" s="13" t="s">
        <v>40</v>
      </c>
      <c r="P462" s="13"/>
      <c r="Q462" s="13" t="s">
        <v>41</v>
      </c>
      <c r="R462" s="13" t="s">
        <v>42</v>
      </c>
      <c r="S462" s="17">
        <v>14768.22</v>
      </c>
      <c r="T462" s="17">
        <v>0</v>
      </c>
      <c r="U462" s="17">
        <v>0</v>
      </c>
      <c r="V462" s="17">
        <v>0</v>
      </c>
      <c r="W462" s="17">
        <v>0</v>
      </c>
      <c r="X462" s="17">
        <v>0</v>
      </c>
      <c r="Y462" s="17">
        <v>0</v>
      </c>
      <c r="Z462" s="17">
        <v>0</v>
      </c>
      <c r="AA462" s="13" t="s">
        <v>762</v>
      </c>
      <c r="AB462" s="13" t="s">
        <v>44</v>
      </c>
      <c r="AC462" s="13" t="s">
        <v>45</v>
      </c>
      <c r="AD462" s="13" t="s">
        <v>46</v>
      </c>
      <c r="AE462" s="17">
        <v>14768.22</v>
      </c>
      <c r="AF462" s="17">
        <v>3503.48</v>
      </c>
      <c r="AG462" s="47" t="s">
        <v>876</v>
      </c>
      <c r="AH462" s="20" t="e">
        <v>#N/A</v>
      </c>
      <c r="AI462" s="19" t="b">
        <v>1</v>
      </c>
      <c r="AJ462" s="18" t="s">
        <v>874</v>
      </c>
      <c r="AK462" s="49" t="s">
        <v>815</v>
      </c>
    </row>
    <row r="463" spans="1:37" ht="16.5" x14ac:dyDescent="0.4">
      <c r="A463" s="3"/>
      <c r="B463" s="3"/>
      <c r="C463" s="4"/>
      <c r="D463" s="4" t="s">
        <v>760</v>
      </c>
      <c r="E463" s="3"/>
      <c r="F463" s="4"/>
      <c r="G463" s="4"/>
      <c r="H463" s="43">
        <f>SUM(H462:H462)</f>
        <v>4021.3</v>
      </c>
      <c r="I463" s="5"/>
      <c r="J463" s="45" t="str">
        <f t="shared" ca="1" si="7"/>
        <v/>
      </c>
      <c r="K463" s="43">
        <f>SUM(K462:K462)</f>
        <v>4021.3</v>
      </c>
      <c r="L463" s="9"/>
      <c r="M463" s="4"/>
      <c r="N463" s="4"/>
      <c r="O463" s="4"/>
      <c r="P463" s="4"/>
      <c r="Q463" s="4"/>
      <c r="R463" s="4" t="s">
        <v>42</v>
      </c>
      <c r="S463" s="6">
        <v>14768.22</v>
      </c>
      <c r="T463" s="6">
        <v>0</v>
      </c>
      <c r="U463" s="6">
        <v>0</v>
      </c>
      <c r="V463" s="6">
        <v>0</v>
      </c>
      <c r="W463" s="6">
        <v>0</v>
      </c>
      <c r="X463" s="7"/>
      <c r="Y463" s="7"/>
      <c r="Z463" s="6">
        <v>0</v>
      </c>
      <c r="AA463" s="4"/>
      <c r="AB463" s="4"/>
      <c r="AC463" s="4"/>
      <c r="AD463" s="4"/>
      <c r="AE463" s="6">
        <v>14768.22</v>
      </c>
      <c r="AF463" s="6">
        <v>3503.48</v>
      </c>
      <c r="AG463" s="48"/>
      <c r="AH463" s="44" cm="1">
        <f t="array" ref="AH463">IFERROR(SUMPRODUCT(AF462:AF462*--(((AI462:AI462=TRUE)+(AI462:AI462=1))&gt;0)),0)</f>
        <v>3503.48</v>
      </c>
      <c r="AI463" s="54">
        <f>SUMIF(AI462:AI462,TRUE,H462:H462)/H463</f>
        <v>1</v>
      </c>
      <c r="AJ463" s="6"/>
      <c r="AK463" s="50"/>
    </row>
    <row r="464" spans="1:37" x14ac:dyDescent="0.35">
      <c r="A464" s="12" t="s">
        <v>33</v>
      </c>
      <c r="B464" s="12">
        <v>100115148</v>
      </c>
      <c r="C464" s="13" t="s">
        <v>763</v>
      </c>
      <c r="D464" s="13" t="s">
        <v>764</v>
      </c>
      <c r="E464" s="12">
        <v>9700017552</v>
      </c>
      <c r="F464" s="13" t="s">
        <v>765</v>
      </c>
      <c r="G464" s="12" t="s">
        <v>37</v>
      </c>
      <c r="H464" s="14">
        <v>561.41</v>
      </c>
      <c r="I464" s="15">
        <v>46108</v>
      </c>
      <c r="J464" s="12" t="str">
        <f t="shared" ca="1" si="7"/>
        <v>31-60</v>
      </c>
      <c r="K464" s="14">
        <v>561.41</v>
      </c>
      <c r="L464" s="16">
        <v>46078</v>
      </c>
      <c r="M464" s="13" t="s">
        <v>38</v>
      </c>
      <c r="N464" s="13" t="s">
        <v>39</v>
      </c>
      <c r="O464" s="13" t="s">
        <v>40</v>
      </c>
      <c r="P464" s="13"/>
      <c r="Q464" s="13" t="s">
        <v>41</v>
      </c>
      <c r="R464" s="13" t="s">
        <v>42</v>
      </c>
      <c r="S464" s="17">
        <v>0</v>
      </c>
      <c r="T464" s="17">
        <v>2061.7800000000002</v>
      </c>
      <c r="U464" s="17">
        <v>0</v>
      </c>
      <c r="V464" s="17">
        <v>0</v>
      </c>
      <c r="W464" s="17">
        <v>0</v>
      </c>
      <c r="X464" s="17">
        <v>0</v>
      </c>
      <c r="Y464" s="17">
        <v>2061.7800000000002</v>
      </c>
      <c r="Z464" s="17">
        <v>0</v>
      </c>
      <c r="AA464" s="13" t="s">
        <v>766</v>
      </c>
      <c r="AB464" s="13" t="s">
        <v>44</v>
      </c>
      <c r="AC464" s="13" t="s">
        <v>45</v>
      </c>
      <c r="AD464" s="13" t="s">
        <v>46</v>
      </c>
      <c r="AE464" s="17">
        <v>2061.7800000000002</v>
      </c>
      <c r="AF464" s="17">
        <v>477.11</v>
      </c>
      <c r="AG464" s="47" t="s">
        <v>908</v>
      </c>
      <c r="AH464" s="20" t="s">
        <v>806</v>
      </c>
      <c r="AI464" s="19" t="b">
        <v>0</v>
      </c>
      <c r="AJ464" s="18" t="s">
        <v>865</v>
      </c>
      <c r="AK464" s="49" t="s">
        <v>806</v>
      </c>
    </row>
    <row r="465" spans="1:37" x14ac:dyDescent="0.35">
      <c r="A465" s="12" t="s">
        <v>33</v>
      </c>
      <c r="B465" s="12">
        <v>100115148</v>
      </c>
      <c r="C465" s="13" t="s">
        <v>763</v>
      </c>
      <c r="D465" s="13" t="s">
        <v>764</v>
      </c>
      <c r="E465" s="12">
        <v>9700017851</v>
      </c>
      <c r="F465" s="13" t="s">
        <v>767</v>
      </c>
      <c r="G465" s="12" t="s">
        <v>37</v>
      </c>
      <c r="H465" s="14">
        <v>2625.3</v>
      </c>
      <c r="I465" s="15">
        <v>46108</v>
      </c>
      <c r="J465" s="12" t="str">
        <f t="shared" ca="1" si="7"/>
        <v>31-60</v>
      </c>
      <c r="K465" s="14">
        <v>2625.3</v>
      </c>
      <c r="L465" s="16">
        <v>46078</v>
      </c>
      <c r="M465" s="13" t="s">
        <v>38</v>
      </c>
      <c r="N465" s="13" t="s">
        <v>39</v>
      </c>
      <c r="O465" s="13" t="s">
        <v>40</v>
      </c>
      <c r="P465" s="13"/>
      <c r="Q465" s="13" t="s">
        <v>41</v>
      </c>
      <c r="R465" s="13" t="s">
        <v>42</v>
      </c>
      <c r="S465" s="17">
        <v>0</v>
      </c>
      <c r="T465" s="17">
        <v>9641.41</v>
      </c>
      <c r="U465" s="17">
        <v>0</v>
      </c>
      <c r="V465" s="17">
        <v>0</v>
      </c>
      <c r="W465" s="17">
        <v>0</v>
      </c>
      <c r="X465" s="17">
        <v>0</v>
      </c>
      <c r="Y465" s="17">
        <v>9641.41</v>
      </c>
      <c r="Z465" s="17">
        <v>0</v>
      </c>
      <c r="AA465" s="13" t="s">
        <v>768</v>
      </c>
      <c r="AB465" s="13" t="s">
        <v>44</v>
      </c>
      <c r="AC465" s="13" t="s">
        <v>45</v>
      </c>
      <c r="AD465" s="13" t="s">
        <v>46</v>
      </c>
      <c r="AE465" s="17">
        <v>9641.41</v>
      </c>
      <c r="AF465" s="17">
        <v>2227.85</v>
      </c>
      <c r="AG465" s="47" t="s">
        <v>909</v>
      </c>
      <c r="AH465" s="20" t="s">
        <v>806</v>
      </c>
      <c r="AI465" s="19" t="b">
        <v>0</v>
      </c>
      <c r="AJ465" s="18" t="s">
        <v>874</v>
      </c>
      <c r="AK465" s="49" t="s">
        <v>815</v>
      </c>
    </row>
    <row r="466" spans="1:37" x14ac:dyDescent="0.35">
      <c r="A466" s="12" t="s">
        <v>33</v>
      </c>
      <c r="B466" s="12">
        <v>100115148</v>
      </c>
      <c r="C466" s="13" t="s">
        <v>763</v>
      </c>
      <c r="D466" s="13" t="s">
        <v>764</v>
      </c>
      <c r="E466" s="12">
        <v>9700023879</v>
      </c>
      <c r="F466" s="13" t="s">
        <v>769</v>
      </c>
      <c r="G466" s="12" t="s">
        <v>37</v>
      </c>
      <c r="H466" s="14">
        <v>30688.92</v>
      </c>
      <c r="I466" s="15">
        <v>46134</v>
      </c>
      <c r="J466" s="12" t="str">
        <f t="shared" ca="1" si="7"/>
        <v>0-30</v>
      </c>
      <c r="K466" s="14">
        <v>30688.92</v>
      </c>
      <c r="L466" s="16">
        <v>46104</v>
      </c>
      <c r="M466" s="13" t="s">
        <v>38</v>
      </c>
      <c r="N466" s="13" t="s">
        <v>39</v>
      </c>
      <c r="O466" s="13" t="s">
        <v>40</v>
      </c>
      <c r="P466" s="13"/>
      <c r="Q466" s="13" t="s">
        <v>41</v>
      </c>
      <c r="R466" s="13" t="s">
        <v>42</v>
      </c>
      <c r="S466" s="17">
        <v>112705.06</v>
      </c>
      <c r="T466" s="17">
        <v>0</v>
      </c>
      <c r="U466" s="17">
        <v>0</v>
      </c>
      <c r="V466" s="17">
        <v>0</v>
      </c>
      <c r="W466" s="17">
        <v>0</v>
      </c>
      <c r="X466" s="17">
        <v>0</v>
      </c>
      <c r="Y466" s="17">
        <v>0</v>
      </c>
      <c r="Z466" s="17">
        <v>0</v>
      </c>
      <c r="AA466" s="13" t="s">
        <v>768</v>
      </c>
      <c r="AB466" s="13" t="s">
        <v>44</v>
      </c>
      <c r="AC466" s="13" t="s">
        <v>45</v>
      </c>
      <c r="AD466" s="13" t="s">
        <v>46</v>
      </c>
      <c r="AE466" s="17">
        <v>112705.06</v>
      </c>
      <c r="AF466" s="17">
        <v>26614.27</v>
      </c>
      <c r="AG466" s="47" t="s">
        <v>909</v>
      </c>
      <c r="AH466" s="20" t="e">
        <v>#N/A</v>
      </c>
      <c r="AI466" s="19" t="b">
        <v>0</v>
      </c>
      <c r="AJ466" s="18" t="s">
        <v>874</v>
      </c>
      <c r="AK466" s="49" t="s">
        <v>815</v>
      </c>
    </row>
    <row r="467" spans="1:37" ht="16.5" x14ac:dyDescent="0.4">
      <c r="A467" s="3"/>
      <c r="B467" s="3"/>
      <c r="C467" s="4"/>
      <c r="D467" s="4" t="s">
        <v>764</v>
      </c>
      <c r="E467" s="3"/>
      <c r="F467" s="4"/>
      <c r="G467" s="4"/>
      <c r="H467" s="43">
        <f>SUM(H464:H466)</f>
        <v>33875.629999999997</v>
      </c>
      <c r="I467" s="5"/>
      <c r="J467" s="45" t="str">
        <f t="shared" ca="1" si="7"/>
        <v/>
      </c>
      <c r="K467" s="43">
        <f>SUM(K464:K466)</f>
        <v>33875.629999999997</v>
      </c>
      <c r="L467" s="9"/>
      <c r="M467" s="4"/>
      <c r="N467" s="4"/>
      <c r="O467" s="4"/>
      <c r="P467" s="4"/>
      <c r="Q467" s="4"/>
      <c r="R467" s="4" t="s">
        <v>42</v>
      </c>
      <c r="S467" s="6">
        <v>112705.06</v>
      </c>
      <c r="T467" s="6">
        <v>11703.19</v>
      </c>
      <c r="U467" s="6">
        <v>0</v>
      </c>
      <c r="V467" s="6">
        <v>0</v>
      </c>
      <c r="W467" s="6">
        <v>0</v>
      </c>
      <c r="X467" s="7"/>
      <c r="Y467" s="7"/>
      <c r="Z467" s="6">
        <v>0</v>
      </c>
      <c r="AA467" s="4"/>
      <c r="AB467" s="4"/>
      <c r="AC467" s="4"/>
      <c r="AD467" s="4"/>
      <c r="AE467" s="6">
        <v>124408.25</v>
      </c>
      <c r="AF467" s="6">
        <v>29319.23</v>
      </c>
      <c r="AG467" s="48"/>
      <c r="AH467" s="44" cm="1">
        <f t="array" ref="AH467">IFERROR(SUMPRODUCT(AF464:AF466*--(((AI464:AI466=TRUE)+(AI464:AI466=1))&gt;0)),0)</f>
        <v>0</v>
      </c>
      <c r="AI467" s="54">
        <f>SUMIF(AI464:AI466,TRUE,H464:H466)/H467</f>
        <v>0</v>
      </c>
      <c r="AJ467" s="6"/>
      <c r="AK467" s="50"/>
    </row>
    <row r="468" spans="1:37" x14ac:dyDescent="0.35">
      <c r="A468" s="12" t="s">
        <v>33</v>
      </c>
      <c r="B468" s="12">
        <v>100111939</v>
      </c>
      <c r="C468" s="13" t="s">
        <v>770</v>
      </c>
      <c r="D468" s="13" t="s">
        <v>771</v>
      </c>
      <c r="E468" s="12">
        <v>9700017805</v>
      </c>
      <c r="F468" s="13" t="s">
        <v>772</v>
      </c>
      <c r="G468" s="12" t="s">
        <v>37</v>
      </c>
      <c r="H468" s="14">
        <v>639.91</v>
      </c>
      <c r="I468" s="15">
        <v>46108</v>
      </c>
      <c r="J468" s="12" t="str">
        <f t="shared" ca="1" si="7"/>
        <v>31-60</v>
      </c>
      <c r="K468" s="14">
        <v>639.91</v>
      </c>
      <c r="L468" s="16">
        <v>46078</v>
      </c>
      <c r="M468" s="13" t="s">
        <v>38</v>
      </c>
      <c r="N468" s="13" t="s">
        <v>39</v>
      </c>
      <c r="O468" s="13" t="s">
        <v>40</v>
      </c>
      <c r="P468" s="13"/>
      <c r="Q468" s="13" t="s">
        <v>41</v>
      </c>
      <c r="R468" s="13" t="s">
        <v>42</v>
      </c>
      <c r="S468" s="17">
        <v>0</v>
      </c>
      <c r="T468" s="17">
        <v>2350.0700000000002</v>
      </c>
      <c r="U468" s="17">
        <v>0</v>
      </c>
      <c r="V468" s="17">
        <v>0</v>
      </c>
      <c r="W468" s="17">
        <v>0</v>
      </c>
      <c r="X468" s="17">
        <v>0</v>
      </c>
      <c r="Y468" s="17">
        <v>2350.0700000000002</v>
      </c>
      <c r="Z468" s="17">
        <v>0</v>
      </c>
      <c r="AA468" s="13" t="s">
        <v>773</v>
      </c>
      <c r="AB468" s="13" t="s">
        <v>44</v>
      </c>
      <c r="AC468" s="13" t="s">
        <v>45</v>
      </c>
      <c r="AD468" s="13" t="s">
        <v>46</v>
      </c>
      <c r="AE468" s="17">
        <v>2350.0700000000002</v>
      </c>
      <c r="AF468" s="17">
        <v>543.82000000000005</v>
      </c>
      <c r="AG468" s="47" t="s">
        <v>876</v>
      </c>
      <c r="AH468" s="20" t="s">
        <v>806</v>
      </c>
      <c r="AI468" s="19" t="b">
        <v>1</v>
      </c>
      <c r="AJ468" s="18" t="s">
        <v>874</v>
      </c>
      <c r="AK468" s="49" t="s">
        <v>815</v>
      </c>
    </row>
    <row r="469" spans="1:37" x14ac:dyDescent="0.35">
      <c r="A469" s="12" t="s">
        <v>33</v>
      </c>
      <c r="B469" s="12">
        <v>100111939</v>
      </c>
      <c r="C469" s="13" t="s">
        <v>770</v>
      </c>
      <c r="D469" s="13" t="s">
        <v>771</v>
      </c>
      <c r="E469" s="12">
        <v>9700025810</v>
      </c>
      <c r="F469" s="13" t="s">
        <v>774</v>
      </c>
      <c r="G469" s="12" t="s">
        <v>37</v>
      </c>
      <c r="H469" s="14">
        <v>633.16</v>
      </c>
      <c r="I469" s="15">
        <v>46141</v>
      </c>
      <c r="J469" s="12" t="str">
        <f t="shared" ca="1" si="7"/>
        <v>Current</v>
      </c>
      <c r="K469" s="14">
        <v>633.16</v>
      </c>
      <c r="L469" s="16">
        <v>46111</v>
      </c>
      <c r="M469" s="13" t="s">
        <v>38</v>
      </c>
      <c r="N469" s="13" t="s">
        <v>39</v>
      </c>
      <c r="O469" s="13" t="s">
        <v>40</v>
      </c>
      <c r="P469" s="13"/>
      <c r="Q469" s="13" t="s">
        <v>41</v>
      </c>
      <c r="R469" s="13" t="s">
        <v>42</v>
      </c>
      <c r="S469" s="17">
        <v>2325.2800000000002</v>
      </c>
      <c r="T469" s="17">
        <v>0</v>
      </c>
      <c r="U469" s="17">
        <v>0</v>
      </c>
      <c r="V469" s="17">
        <v>0</v>
      </c>
      <c r="W469" s="17">
        <v>0</v>
      </c>
      <c r="X469" s="17">
        <v>0</v>
      </c>
      <c r="Y469" s="17">
        <v>0</v>
      </c>
      <c r="Z469" s="17">
        <v>0</v>
      </c>
      <c r="AA469" s="13" t="s">
        <v>773</v>
      </c>
      <c r="AB469" s="13" t="s">
        <v>44</v>
      </c>
      <c r="AC469" s="13" t="s">
        <v>45</v>
      </c>
      <c r="AD469" s="13" t="s">
        <v>46</v>
      </c>
      <c r="AE469" s="17">
        <v>2325.2800000000002</v>
      </c>
      <c r="AF469" s="17">
        <v>546.20000000000005</v>
      </c>
      <c r="AG469" s="47" t="s">
        <v>876</v>
      </c>
      <c r="AH469" s="20" t="e">
        <v>#N/A</v>
      </c>
      <c r="AI469" s="19" t="b">
        <v>0</v>
      </c>
      <c r="AJ469" s="18" t="s">
        <v>865</v>
      </c>
      <c r="AK469" s="49" t="s">
        <v>806</v>
      </c>
    </row>
    <row r="470" spans="1:37" ht="16.5" x14ac:dyDescent="0.4">
      <c r="A470" s="3"/>
      <c r="B470" s="3"/>
      <c r="C470" s="4"/>
      <c r="D470" s="4" t="s">
        <v>771</v>
      </c>
      <c r="E470" s="3"/>
      <c r="F470" s="4"/>
      <c r="G470" s="4"/>
      <c r="H470" s="43">
        <f>SUM(H468:H469)</f>
        <v>1273.07</v>
      </c>
      <c r="I470" s="5"/>
      <c r="J470" s="45" t="str">
        <f t="shared" ca="1" si="7"/>
        <v/>
      </c>
      <c r="K470" s="43">
        <f>SUM(K468:K469)</f>
        <v>1273.07</v>
      </c>
      <c r="L470" s="9"/>
      <c r="M470" s="4"/>
      <c r="N470" s="4"/>
      <c r="O470" s="4"/>
      <c r="P470" s="4"/>
      <c r="Q470" s="4"/>
      <c r="R470" s="4" t="s">
        <v>42</v>
      </c>
      <c r="S470" s="6">
        <v>2325.2800000000002</v>
      </c>
      <c r="T470" s="6">
        <v>2350.0700000000002</v>
      </c>
      <c r="U470" s="6">
        <v>0</v>
      </c>
      <c r="V470" s="6">
        <v>0</v>
      </c>
      <c r="W470" s="6">
        <v>0</v>
      </c>
      <c r="X470" s="7"/>
      <c r="Y470" s="7"/>
      <c r="Z470" s="6">
        <v>0</v>
      </c>
      <c r="AA470" s="4"/>
      <c r="AB470" s="4"/>
      <c r="AC470" s="4"/>
      <c r="AD470" s="4"/>
      <c r="AE470" s="6">
        <v>4675.3500000000004</v>
      </c>
      <c r="AF470" s="6">
        <v>1090.02</v>
      </c>
      <c r="AG470" s="48"/>
      <c r="AH470" s="44" cm="1">
        <f t="array" ref="AH470">IFERROR(SUMPRODUCT(AF468:AF469*--(((AI468:AI469=TRUE)+(AI468:AI469=1))&gt;0)),0)</f>
        <v>543.82000000000005</v>
      </c>
      <c r="AI470" s="54">
        <f>SUMIF(AI468:AI469,TRUE,H468:H469)/H470</f>
        <v>0.50265107181851743</v>
      </c>
      <c r="AJ470" s="6"/>
      <c r="AK470" s="50"/>
    </row>
    <row r="471" spans="1:37" x14ac:dyDescent="0.35">
      <c r="A471" s="12" t="s">
        <v>33</v>
      </c>
      <c r="B471" s="12">
        <v>100113894</v>
      </c>
      <c r="C471" s="13" t="s">
        <v>775</v>
      </c>
      <c r="D471" s="13" t="s">
        <v>776</v>
      </c>
      <c r="E471" s="12">
        <v>9700017390</v>
      </c>
      <c r="F471" s="13" t="s">
        <v>777</v>
      </c>
      <c r="G471" s="12" t="s">
        <v>37</v>
      </c>
      <c r="H471" s="14">
        <v>852.24</v>
      </c>
      <c r="I471" s="15">
        <v>46109</v>
      </c>
      <c r="J471" s="12" t="str">
        <f t="shared" ca="1" si="7"/>
        <v>31-60</v>
      </c>
      <c r="K471" s="14">
        <v>852.24</v>
      </c>
      <c r="L471" s="16">
        <v>46079</v>
      </c>
      <c r="M471" s="13" t="s">
        <v>38</v>
      </c>
      <c r="N471" s="13" t="s">
        <v>39</v>
      </c>
      <c r="O471" s="13" t="s">
        <v>40</v>
      </c>
      <c r="P471" s="13"/>
      <c r="Q471" s="13" t="s">
        <v>41</v>
      </c>
      <c r="R471" s="13" t="s">
        <v>42</v>
      </c>
      <c r="S471" s="17">
        <v>0</v>
      </c>
      <c r="T471" s="17">
        <v>3129.85</v>
      </c>
      <c r="U471" s="17">
        <v>0</v>
      </c>
      <c r="V471" s="17">
        <v>0</v>
      </c>
      <c r="W471" s="17">
        <v>0</v>
      </c>
      <c r="X471" s="17">
        <v>0</v>
      </c>
      <c r="Y471" s="17">
        <v>3129.85</v>
      </c>
      <c r="Z471" s="17">
        <v>0</v>
      </c>
      <c r="AA471" s="13" t="s">
        <v>778</v>
      </c>
      <c r="AB471" s="13" t="s">
        <v>44</v>
      </c>
      <c r="AC471" s="13" t="s">
        <v>45</v>
      </c>
      <c r="AD471" s="13" t="s">
        <v>46</v>
      </c>
      <c r="AE471" s="17">
        <v>3129.85</v>
      </c>
      <c r="AF471" s="17">
        <v>724.26</v>
      </c>
      <c r="AG471" s="47" t="s">
        <v>876</v>
      </c>
      <c r="AH471" s="20" t="s">
        <v>825</v>
      </c>
      <c r="AI471" s="19" t="b">
        <v>1</v>
      </c>
      <c r="AJ471" s="18" t="s">
        <v>874</v>
      </c>
      <c r="AK471" s="49" t="s">
        <v>815</v>
      </c>
    </row>
    <row r="472" spans="1:37" x14ac:dyDescent="0.35">
      <c r="A472" s="12" t="s">
        <v>33</v>
      </c>
      <c r="B472" s="12">
        <v>100113894</v>
      </c>
      <c r="C472" s="13" t="s">
        <v>775</v>
      </c>
      <c r="D472" s="13" t="s">
        <v>776</v>
      </c>
      <c r="E472" s="12">
        <v>9700025726</v>
      </c>
      <c r="F472" s="13" t="s">
        <v>779</v>
      </c>
      <c r="G472" s="12" t="s">
        <v>37</v>
      </c>
      <c r="H472" s="14">
        <v>848.2</v>
      </c>
      <c r="I472" s="15">
        <v>46141</v>
      </c>
      <c r="J472" s="12" t="str">
        <f t="shared" ca="1" si="7"/>
        <v>Current</v>
      </c>
      <c r="K472" s="14">
        <v>848.2</v>
      </c>
      <c r="L472" s="16">
        <v>46111</v>
      </c>
      <c r="M472" s="13" t="s">
        <v>38</v>
      </c>
      <c r="N472" s="13" t="s">
        <v>39</v>
      </c>
      <c r="O472" s="13" t="s">
        <v>40</v>
      </c>
      <c r="P472" s="13"/>
      <c r="Q472" s="13" t="s">
        <v>41</v>
      </c>
      <c r="R472" s="13" t="s">
        <v>42</v>
      </c>
      <c r="S472" s="17">
        <v>3115.01</v>
      </c>
      <c r="T472" s="17">
        <v>0</v>
      </c>
      <c r="U472" s="17">
        <v>0</v>
      </c>
      <c r="V472" s="17">
        <v>0</v>
      </c>
      <c r="W472" s="17">
        <v>0</v>
      </c>
      <c r="X472" s="17">
        <v>0</v>
      </c>
      <c r="Y472" s="17">
        <v>0</v>
      </c>
      <c r="Z472" s="17">
        <v>0</v>
      </c>
      <c r="AA472" s="13" t="s">
        <v>778</v>
      </c>
      <c r="AB472" s="13" t="s">
        <v>44</v>
      </c>
      <c r="AC472" s="13" t="s">
        <v>45</v>
      </c>
      <c r="AD472" s="13" t="s">
        <v>46</v>
      </c>
      <c r="AE472" s="17">
        <v>3115.01</v>
      </c>
      <c r="AF472" s="17">
        <v>732.98</v>
      </c>
      <c r="AG472" s="47" t="s">
        <v>876</v>
      </c>
      <c r="AH472" s="20" t="e">
        <v>#N/A</v>
      </c>
      <c r="AI472" s="19" t="b">
        <v>0</v>
      </c>
      <c r="AJ472" s="18" t="s">
        <v>872</v>
      </c>
      <c r="AK472" s="49" t="s">
        <v>941</v>
      </c>
    </row>
    <row r="473" spans="1:37" ht="16.5" x14ac:dyDescent="0.4">
      <c r="A473" s="3"/>
      <c r="B473" s="3"/>
      <c r="C473" s="4"/>
      <c r="D473" s="4" t="s">
        <v>776</v>
      </c>
      <c r="E473" s="3"/>
      <c r="F473" s="4"/>
      <c r="G473" s="4"/>
      <c r="H473" s="43">
        <f>SUM(H471:H472)</f>
        <v>1700.44</v>
      </c>
      <c r="I473" s="5"/>
      <c r="J473" s="45" t="str">
        <f t="shared" ca="1" si="7"/>
        <v/>
      </c>
      <c r="K473" s="43">
        <f>SUM(K471:K472)</f>
        <v>1700.44</v>
      </c>
      <c r="L473" s="9"/>
      <c r="M473" s="4"/>
      <c r="N473" s="4"/>
      <c r="O473" s="4"/>
      <c r="P473" s="4"/>
      <c r="Q473" s="4"/>
      <c r="R473" s="4" t="s">
        <v>42</v>
      </c>
      <c r="S473" s="6">
        <v>3115.01</v>
      </c>
      <c r="T473" s="6">
        <v>3129.85</v>
      </c>
      <c r="U473" s="6">
        <v>0</v>
      </c>
      <c r="V473" s="6">
        <v>0</v>
      </c>
      <c r="W473" s="6">
        <v>0</v>
      </c>
      <c r="X473" s="7"/>
      <c r="Y473" s="7"/>
      <c r="Z473" s="6">
        <v>0</v>
      </c>
      <c r="AA473" s="4"/>
      <c r="AB473" s="4"/>
      <c r="AC473" s="4"/>
      <c r="AD473" s="4"/>
      <c r="AE473" s="6">
        <v>6244.86</v>
      </c>
      <c r="AF473" s="6">
        <v>1457.24</v>
      </c>
      <c r="AG473" s="48"/>
      <c r="AH473" s="44" cm="1">
        <f t="array" ref="AH473">IFERROR(SUMPRODUCT(AF471:AF472*--(((AI471:AI472=TRUE)+(AI471:AI472=1))&gt;0)),0)</f>
        <v>724.26</v>
      </c>
      <c r="AI473" s="54">
        <f>SUMIF(AI471:AI472,TRUE,H471:H472)/H473</f>
        <v>0.50118792783044386</v>
      </c>
      <c r="AJ473" s="6"/>
      <c r="AK473" s="50"/>
    </row>
  </sheetData>
  <autoFilter ref="A1:AK473" xr:uid="{2D71BD03-744D-4EE2-9243-506D50E0234E}"/>
  <conditionalFormatting sqref="AI25:AJ25 E112:L113 N112:AJ113 E444:L444 N444:AJ444 E27:AJ111 E114:AJ443 E445:AJ1048576 E1:AJ24">
    <cfRule type="expression" dxfId="10" priority="11">
      <formula>$AI1=TRUE</formula>
    </cfRule>
  </conditionalFormatting>
  <conditionalFormatting sqref="AI25 E112:L113 N112:AJ113 E444:L444 N444:AJ444 E27:AJ111 E114:AJ443 E445:AJ473 E2:AJ24">
    <cfRule type="expression" dxfId="9" priority="10">
      <formula>ISNUMBER(SEARCH("Refuse to Pay",$AJ2))</formula>
    </cfRule>
    <cfRule type="expression" dxfId="8" priority="12">
      <formula>ISNUMBER(SEARCH("Refuse to Pay",$AK2))</formula>
    </cfRule>
    <cfRule type="expression" dxfId="7" priority="13">
      <formula>$AJ2="For Payment"</formula>
    </cfRule>
    <cfRule type="expression" dxfId="6" priority="15">
      <formula>ISNUMBER(SEARCH("P2P",$AK2))</formula>
    </cfRule>
    <cfRule type="expression" dxfId="5" priority="23">
      <formula>ISNUMBER(SEARCH("For Payment",$AI2))</formula>
    </cfRule>
    <cfRule type="expression" dxfId="4" priority="24">
      <formula>OR(ISNUMBER(SEARCH("AB Linking",$AK2)),ISNUMBER(SEARCH("Cancellation",$AK2)),ISNUMBER(SEARCH("PO Issue",$AK2)))</formula>
    </cfRule>
    <cfRule type="expression" dxfId="3" priority="25">
      <formula>ISNUMBER(SEARCH("Collected",$AK2))</formula>
    </cfRule>
    <cfRule type="expression" dxfId="2" priority="26">
      <formula>ISNUMBER(SEARCH("Client Unresponsive",$AK2))</formula>
    </cfRule>
  </conditionalFormatting>
  <conditionalFormatting sqref="I1:I24 I27:I1048576">
    <cfRule type="expression" dxfId="1" priority="29">
      <formula>AND($E1&lt;&gt;"",$I1&lt;&gt;"",$I1&lt;TODAY())</formula>
    </cfRule>
  </conditionalFormatting>
  <conditionalFormatting sqref="I2:I24 I27:I473">
    <cfRule type="expression" dxfId="0" priority="28">
      <formula>AND($E2&lt;&gt;"",$I2&lt;&gt;"",$I2=TODAY())</formula>
    </cfRule>
  </conditionalFormatting>
  <pageMargins left="0.7" right="0.7" top="0.75" bottom="0.75" header="0.3" footer="0.3"/>
  <pageSetup orientation="portrait" r:id="rId1"/>
  <ignoredErrors>
    <ignoredError sqref="AH6:AI6 AH149 AH148 AH152:AI152 AH150 AH147 AH146 AH115 AH114 AH113 AH445 AH444 AH449:AI460 AH446 AH447 AH265 AH264 AH262:AI262 AH261 AH124 AH120 AH119 AH118 AH177 AH175 AH415:AI430 AH412 AH413 AH394:AI394 AH393 AH404:AI406 AH402 AH403 AH23 AH21 AH117 AH116 AH370:AI370 AH369 AH381:AI382 AH371 AH372 AH373 AH374 AH375 AH376 AH377 AH378 AH379 AH251:AI251 AH249 AH250 AH254 AH252 AH171 AH169 AH4 AH19 AH18 AH22 AH27:AI29 AH24 AH32:AI42 AH30 AH44:AI59 AH43 AH61:AI62 AH60 AH65:AI81 AH63 AH83:AI94 AH82 AH96 AH95 AH98 AH97 AH100:AI103 AH99 AH106:AI110 AH104 AH112:AI112 AH111 AH121 AH126:AI130 AH125 AH132:AI141 AH131 AH144:AI144 AH142 AH145 AH151 AH154:AI167 AH153 AH168 AH170 AH173 AH172 AH174 AH176 AH182 AH180 AH184 AH183 AH186:AI187 AH185 AH190:AI190 AH188 AH193:AI193 AH191 AH195:AI198 AH194 AH200:AI216 AH199 AH219 AH217 AH222 AH220 AH224:AI226 AH223 AH228:AI228 AH227 AH230:AI243 AH229 AH245:AI247 AH244 AH248 AH256:AI256 AH255 AH259 AH257 AH260 AH263 AH268 AH266 AH270:AI270 AH269 AH272:AI273 AH271 AH275:AI278 AH274 AH280:AI290 AH279 AH292:AI297 AH291 AH299:AI312 AH298 AH314 AH313 AH318:AI318 AH315 AH322:AI322 AH321 AH338:AI351 AH337 AH353 AH352 AH355:AI355 AH354 AH368:AI368 AH367 AH380 AH384:AI387 AH383 AH389:AI391 AH388 AH392 AH397:AI400 AH396 AH401 AH408:AI410 AH407 AH411 AH414 AH432:AI442 AH431 AH443 AH448 AH462 AH461 AH464:AI466 AH463 AH469:AI469 AH467 AH472:AI472 AH470 AH473 AH64 AH9:AI9 AH7 AH8 AH357:AI366 AH356 AH218 AH181 AH316 AH317 AH320:AI320 AH319 AH258 AH267 AH326:AI332 AH323 AH324 AH143 AH221 AH5 AH20 AH468 AH179:AI179 AH178 AH31 AH253 AH325 AH122 AH123 AH395 AH189 AH11:AI14 AH10 AH16:AI17 AH15 AH334:AI336 AH333 AH192 AH105 AH471"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8CB4-C82E-419B-861D-7E52AD37D796}">
  <sheetPr codeName="Sheet8">
    <tabColor theme="1"/>
  </sheetPr>
  <dimension ref="A1:H36"/>
  <sheetViews>
    <sheetView showGridLines="0" zoomScale="60" zoomScaleNormal="60" workbookViewId="0">
      <pane ySplit="4" topLeftCell="A5" activePane="bottomLeft" state="frozen"/>
      <selection pane="bottomLeft" activeCell="F11" sqref="F11"/>
    </sheetView>
  </sheetViews>
  <sheetFormatPr defaultRowHeight="14.5" x14ac:dyDescent="0.35"/>
  <cols>
    <col min="1" max="1" width="18.1796875" customWidth="1"/>
    <col min="2" max="2" width="36.36328125" customWidth="1"/>
    <col min="3" max="3" width="27.26953125" customWidth="1"/>
    <col min="4" max="4" width="18.1796875" customWidth="1"/>
    <col min="5" max="5" width="21.81640625" customWidth="1"/>
    <col min="6" max="6" width="72.7265625" customWidth="1"/>
    <col min="7" max="7" width="21.81640625" customWidth="1"/>
    <col min="8" max="8" width="18.1796875" customWidth="1"/>
  </cols>
  <sheetData>
    <row r="1" spans="1:8" ht="35" customHeight="1" x14ac:dyDescent="0.5">
      <c r="A1" s="199" t="s">
        <v>967</v>
      </c>
      <c r="B1" s="213"/>
      <c r="C1" s="213"/>
      <c r="D1" s="213"/>
      <c r="E1" s="213"/>
      <c r="F1" s="213"/>
      <c r="G1" s="213"/>
      <c r="H1" s="213"/>
    </row>
    <row r="2" spans="1:8" ht="8" customHeight="1" x14ac:dyDescent="0.35">
      <c r="A2" s="214"/>
      <c r="B2" s="213"/>
      <c r="C2" s="213"/>
      <c r="D2" s="213"/>
      <c r="E2" s="213"/>
      <c r="F2" s="213"/>
      <c r="G2" s="213"/>
      <c r="H2" s="213"/>
    </row>
    <row r="3" spans="1:8" x14ac:dyDescent="0.35">
      <c r="A3" s="215" t="s">
        <v>987</v>
      </c>
      <c r="B3" s="213"/>
      <c r="C3" s="213"/>
      <c r="D3" s="213"/>
      <c r="E3" s="213"/>
      <c r="F3" s="213"/>
      <c r="G3" s="213"/>
      <c r="H3" s="213"/>
    </row>
    <row r="4" spans="1:8" ht="25" customHeight="1" x14ac:dyDescent="0.35">
      <c r="A4" s="106" t="s">
        <v>1</v>
      </c>
      <c r="B4" s="99" t="s">
        <v>3</v>
      </c>
      <c r="C4" s="99" t="s">
        <v>929</v>
      </c>
      <c r="D4" s="99" t="s">
        <v>930</v>
      </c>
      <c r="E4" s="99" t="s">
        <v>946</v>
      </c>
      <c r="F4" s="99" t="s">
        <v>931</v>
      </c>
      <c r="G4" s="99" t="s">
        <v>932</v>
      </c>
      <c r="H4" s="112" t="s">
        <v>933</v>
      </c>
    </row>
    <row r="5" spans="1:8" ht="116" x14ac:dyDescent="0.35">
      <c r="A5" s="107">
        <v>100103956</v>
      </c>
      <c r="B5" s="75" t="s">
        <v>49</v>
      </c>
      <c r="C5" s="76">
        <v>2812918.3</v>
      </c>
      <c r="D5" s="77">
        <v>-94931.41</v>
      </c>
      <c r="E5" s="78" t="s">
        <v>976</v>
      </c>
      <c r="F5" s="79" t="s">
        <v>968</v>
      </c>
      <c r="G5" s="80" t="s">
        <v>834</v>
      </c>
      <c r="H5" s="113"/>
    </row>
    <row r="6" spans="1:8" x14ac:dyDescent="0.35">
      <c r="A6" s="108">
        <v>100103260</v>
      </c>
      <c r="B6" s="81" t="s">
        <v>72</v>
      </c>
      <c r="C6" s="82">
        <v>76974.740000000005</v>
      </c>
      <c r="D6" s="83" t="s">
        <v>988</v>
      </c>
      <c r="E6" s="84" t="s">
        <v>989</v>
      </c>
      <c r="F6" s="85" t="s">
        <v>969</v>
      </c>
      <c r="G6" s="86" t="s">
        <v>834</v>
      </c>
      <c r="H6" s="114"/>
    </row>
    <row r="7" spans="1:8" x14ac:dyDescent="0.35">
      <c r="A7" s="107">
        <v>100108092</v>
      </c>
      <c r="B7" s="75" t="s">
        <v>80</v>
      </c>
      <c r="C7" s="76">
        <v>50000</v>
      </c>
      <c r="D7" s="77" t="s">
        <v>988</v>
      </c>
      <c r="E7" s="78" t="s">
        <v>990</v>
      </c>
      <c r="F7" s="79" t="s">
        <v>969</v>
      </c>
      <c r="G7" s="80" t="s">
        <v>834</v>
      </c>
      <c r="H7" s="113"/>
    </row>
    <row r="8" spans="1:8" ht="29" x14ac:dyDescent="0.35">
      <c r="A8" s="108">
        <v>100114715</v>
      </c>
      <c r="B8" s="81" t="s">
        <v>110</v>
      </c>
      <c r="C8" s="82">
        <v>34354.439999999995</v>
      </c>
      <c r="D8" s="83"/>
      <c r="E8" s="84" t="s">
        <v>985</v>
      </c>
      <c r="F8" s="85" t="s">
        <v>991</v>
      </c>
      <c r="G8" s="86" t="s">
        <v>836</v>
      </c>
      <c r="H8" s="114"/>
    </row>
    <row r="9" spans="1:8" ht="43.5" x14ac:dyDescent="0.35">
      <c r="A9" s="107">
        <v>100111676</v>
      </c>
      <c r="B9" s="75" t="s">
        <v>138</v>
      </c>
      <c r="C9" s="76">
        <v>10230.48</v>
      </c>
      <c r="D9" s="77"/>
      <c r="E9" s="78" t="s">
        <v>992</v>
      </c>
      <c r="F9" s="79" t="s">
        <v>993</v>
      </c>
      <c r="G9" s="80" t="s">
        <v>836</v>
      </c>
      <c r="H9" s="113"/>
    </row>
    <row r="10" spans="1:8" ht="43.5" x14ac:dyDescent="0.35">
      <c r="A10" s="108">
        <v>100108821</v>
      </c>
      <c r="B10" s="81" t="s">
        <v>163</v>
      </c>
      <c r="C10" s="82">
        <v>7888.89</v>
      </c>
      <c r="D10" s="83" t="s">
        <v>988</v>
      </c>
      <c r="E10" s="84" t="s">
        <v>994</v>
      </c>
      <c r="F10" s="85" t="s">
        <v>995</v>
      </c>
      <c r="G10" s="86" t="s">
        <v>836</v>
      </c>
      <c r="H10" s="114"/>
    </row>
    <row r="11" spans="1:8" ht="43.5" x14ac:dyDescent="0.35">
      <c r="A11" s="109">
        <v>100114967</v>
      </c>
      <c r="B11" s="87" t="s">
        <v>188</v>
      </c>
      <c r="C11" s="88">
        <v>4112.67</v>
      </c>
      <c r="D11" s="89" t="s">
        <v>988</v>
      </c>
      <c r="E11" s="90" t="s">
        <v>996</v>
      </c>
      <c r="F11" s="91" t="s">
        <v>971</v>
      </c>
      <c r="G11" s="92" t="s">
        <v>834</v>
      </c>
      <c r="H11" s="115"/>
    </row>
    <row r="12" spans="1:8" ht="29" x14ac:dyDescent="0.35">
      <c r="A12" s="108">
        <v>100113198</v>
      </c>
      <c r="B12" s="81" t="s">
        <v>196</v>
      </c>
      <c r="C12" s="82">
        <v>175336.35</v>
      </c>
      <c r="D12" s="83" t="s">
        <v>988</v>
      </c>
      <c r="E12" s="84" t="s">
        <v>997</v>
      </c>
      <c r="F12" s="85" t="s">
        <v>944</v>
      </c>
      <c r="G12" s="86" t="s">
        <v>834</v>
      </c>
      <c r="H12" s="114"/>
    </row>
    <row r="13" spans="1:8" ht="29" x14ac:dyDescent="0.35">
      <c r="A13" s="108">
        <v>100117570</v>
      </c>
      <c r="B13" s="81" t="s">
        <v>238</v>
      </c>
      <c r="C13" s="82">
        <v>13559.38</v>
      </c>
      <c r="D13" s="83"/>
      <c r="E13" s="84" t="s">
        <v>998</v>
      </c>
      <c r="F13" s="85" t="s">
        <v>972</v>
      </c>
      <c r="G13" s="86" t="s">
        <v>834</v>
      </c>
      <c r="H13" s="114"/>
    </row>
    <row r="14" spans="1:8" ht="29" x14ac:dyDescent="0.35">
      <c r="A14" s="110">
        <v>100108810</v>
      </c>
      <c r="B14" s="93" t="s">
        <v>247</v>
      </c>
      <c r="C14" s="94">
        <v>5707.1</v>
      </c>
      <c r="D14" s="95" t="s">
        <v>988</v>
      </c>
      <c r="E14" s="96" t="s">
        <v>999</v>
      </c>
      <c r="F14" s="97" t="s">
        <v>973</v>
      </c>
      <c r="G14" s="98" t="s">
        <v>834</v>
      </c>
      <c r="H14" s="116"/>
    </row>
    <row r="15" spans="1:8" ht="29" x14ac:dyDescent="0.35">
      <c r="A15" s="108">
        <v>100112031</v>
      </c>
      <c r="B15" s="81" t="s">
        <v>262</v>
      </c>
      <c r="C15" s="82">
        <v>2187.36</v>
      </c>
      <c r="D15" s="83" t="s">
        <v>988</v>
      </c>
      <c r="E15" s="84" t="s">
        <v>990</v>
      </c>
      <c r="F15" s="85" t="s">
        <v>974</v>
      </c>
      <c r="G15" s="86" t="s">
        <v>834</v>
      </c>
      <c r="H15" s="114"/>
    </row>
    <row r="16" spans="1:8" ht="43.5" x14ac:dyDescent="0.35">
      <c r="A16" s="107">
        <v>100106219</v>
      </c>
      <c r="B16" s="75" t="s">
        <v>285</v>
      </c>
      <c r="C16" s="76">
        <v>31884.35</v>
      </c>
      <c r="D16" s="77" t="s">
        <v>988</v>
      </c>
      <c r="E16" s="78" t="s">
        <v>1000</v>
      </c>
      <c r="F16" s="79" t="s">
        <v>1001</v>
      </c>
      <c r="G16" s="80" t="s">
        <v>836</v>
      </c>
      <c r="H16" s="113"/>
    </row>
    <row r="17" spans="1:8" ht="43.5" x14ac:dyDescent="0.35">
      <c r="A17" s="108">
        <v>100120310</v>
      </c>
      <c r="B17" s="81" t="s">
        <v>322</v>
      </c>
      <c r="C17" s="82">
        <v>156698.68999999997</v>
      </c>
      <c r="D17" s="83" t="s">
        <v>988</v>
      </c>
      <c r="E17" s="84" t="s">
        <v>1002</v>
      </c>
      <c r="F17" s="85" t="s">
        <v>975</v>
      </c>
      <c r="G17" s="86" t="s">
        <v>834</v>
      </c>
      <c r="H17" s="114"/>
    </row>
    <row r="18" spans="1:8" ht="29" x14ac:dyDescent="0.35">
      <c r="A18" s="107">
        <v>100120687</v>
      </c>
      <c r="B18" s="75" t="s">
        <v>340</v>
      </c>
      <c r="C18" s="76">
        <v>125.35</v>
      </c>
      <c r="D18" s="77" t="s">
        <v>988</v>
      </c>
      <c r="E18" s="78" t="s">
        <v>1003</v>
      </c>
      <c r="F18" s="79" t="s">
        <v>1004</v>
      </c>
      <c r="G18" s="80" t="s">
        <v>836</v>
      </c>
      <c r="H18" s="113"/>
    </row>
    <row r="19" spans="1:8" ht="29" x14ac:dyDescent="0.35">
      <c r="A19" s="108">
        <v>100108744</v>
      </c>
      <c r="B19" s="81" t="s">
        <v>366</v>
      </c>
      <c r="C19" s="82">
        <v>2477.11</v>
      </c>
      <c r="D19" s="83"/>
      <c r="E19" s="84" t="s">
        <v>1005</v>
      </c>
      <c r="F19" s="85" t="s">
        <v>991</v>
      </c>
      <c r="G19" s="86" t="s">
        <v>836</v>
      </c>
      <c r="H19" s="114"/>
    </row>
    <row r="20" spans="1:8" ht="29" x14ac:dyDescent="0.35">
      <c r="A20" s="107">
        <v>100114607</v>
      </c>
      <c r="B20" s="75" t="s">
        <v>411</v>
      </c>
      <c r="C20" s="76">
        <v>42794.590000000004</v>
      </c>
      <c r="D20" s="77" t="s">
        <v>988</v>
      </c>
      <c r="E20" s="78" t="s">
        <v>1006</v>
      </c>
      <c r="F20" s="79" t="s">
        <v>991</v>
      </c>
      <c r="G20" s="80" t="s">
        <v>836</v>
      </c>
      <c r="H20" s="113"/>
    </row>
    <row r="21" spans="1:8" ht="29" x14ac:dyDescent="0.35">
      <c r="A21" s="108">
        <v>100119534</v>
      </c>
      <c r="B21" s="81" t="s">
        <v>433</v>
      </c>
      <c r="C21" s="82">
        <v>808.34</v>
      </c>
      <c r="D21" s="83" t="s">
        <v>988</v>
      </c>
      <c r="E21" s="84" t="s">
        <v>1007</v>
      </c>
      <c r="F21" s="85" t="s">
        <v>1008</v>
      </c>
      <c r="G21" s="86" t="s">
        <v>836</v>
      </c>
      <c r="H21" s="114"/>
    </row>
    <row r="22" spans="1:8" ht="29" x14ac:dyDescent="0.35">
      <c r="A22" s="107">
        <v>100108732</v>
      </c>
      <c r="B22" s="75" t="s">
        <v>496</v>
      </c>
      <c r="C22" s="76">
        <v>9331.99</v>
      </c>
      <c r="D22" s="77" t="s">
        <v>988</v>
      </c>
      <c r="E22" s="78" t="s">
        <v>1009</v>
      </c>
      <c r="F22" s="79" t="s">
        <v>991</v>
      </c>
      <c r="G22" s="80" t="s">
        <v>836</v>
      </c>
      <c r="H22" s="113"/>
    </row>
    <row r="23" spans="1:8" ht="43.5" x14ac:dyDescent="0.35">
      <c r="A23" s="108">
        <v>100119928</v>
      </c>
      <c r="B23" s="81" t="s">
        <v>512</v>
      </c>
      <c r="C23" s="82">
        <v>3767.7</v>
      </c>
      <c r="D23" s="83" t="s">
        <v>988</v>
      </c>
      <c r="E23" s="84" t="s">
        <v>970</v>
      </c>
      <c r="F23" s="85" t="s">
        <v>977</v>
      </c>
      <c r="G23" s="86" t="s">
        <v>834</v>
      </c>
      <c r="H23" s="114"/>
    </row>
    <row r="24" spans="1:8" ht="72.5" x14ac:dyDescent="0.35">
      <c r="A24" s="107">
        <v>100113978</v>
      </c>
      <c r="B24" s="75" t="s">
        <v>522</v>
      </c>
      <c r="C24" s="76">
        <v>14997.55</v>
      </c>
      <c r="D24" s="77" t="s">
        <v>988</v>
      </c>
      <c r="E24" s="78" t="s">
        <v>947</v>
      </c>
      <c r="F24" s="79" t="s">
        <v>978</v>
      </c>
      <c r="G24" s="80" t="s">
        <v>834</v>
      </c>
      <c r="H24" s="113"/>
    </row>
    <row r="25" spans="1:8" ht="43.5" x14ac:dyDescent="0.35">
      <c r="A25" s="108">
        <v>100113966</v>
      </c>
      <c r="B25" s="81" t="s">
        <v>546</v>
      </c>
      <c r="C25" s="82">
        <v>50393.18</v>
      </c>
      <c r="D25" s="83" t="s">
        <v>988</v>
      </c>
      <c r="E25" s="84" t="s">
        <v>1010</v>
      </c>
      <c r="F25" s="85" t="s">
        <v>979</v>
      </c>
      <c r="G25" s="86" t="s">
        <v>834</v>
      </c>
      <c r="H25" s="114"/>
    </row>
    <row r="26" spans="1:8" x14ac:dyDescent="0.35">
      <c r="A26" s="107">
        <v>100108811</v>
      </c>
      <c r="B26" s="75" t="s">
        <v>556</v>
      </c>
      <c r="C26" s="76">
        <v>115642.52000000002</v>
      </c>
      <c r="D26" s="77" t="s">
        <v>988</v>
      </c>
      <c r="E26" s="78" t="s">
        <v>989</v>
      </c>
      <c r="F26" s="79" t="s">
        <v>969</v>
      </c>
      <c r="G26" s="80" t="s">
        <v>834</v>
      </c>
      <c r="H26" s="113"/>
    </row>
    <row r="27" spans="1:8" ht="29" x14ac:dyDescent="0.35">
      <c r="A27" s="108">
        <v>100108704</v>
      </c>
      <c r="B27" s="81" t="s">
        <v>576</v>
      </c>
      <c r="C27" s="82">
        <v>61044.45</v>
      </c>
      <c r="D27" s="83" t="s">
        <v>988</v>
      </c>
      <c r="E27" s="84" t="s">
        <v>1005</v>
      </c>
      <c r="F27" s="85" t="s">
        <v>991</v>
      </c>
      <c r="G27" s="86" t="s">
        <v>836</v>
      </c>
      <c r="H27" s="114"/>
    </row>
    <row r="28" spans="1:8" ht="43.5" x14ac:dyDescent="0.35">
      <c r="A28" s="110">
        <v>100114317</v>
      </c>
      <c r="B28" s="93" t="s">
        <v>600</v>
      </c>
      <c r="C28" s="94">
        <v>37784.15</v>
      </c>
      <c r="D28" s="95"/>
      <c r="E28" s="96" t="s">
        <v>1011</v>
      </c>
      <c r="F28" s="97" t="s">
        <v>981</v>
      </c>
      <c r="G28" s="98" t="s">
        <v>834</v>
      </c>
      <c r="H28" s="116"/>
    </row>
    <row r="29" spans="1:8" ht="58" x14ac:dyDescent="0.35">
      <c r="A29" s="108">
        <v>100115027</v>
      </c>
      <c r="B29" s="81" t="s">
        <v>618</v>
      </c>
      <c r="C29" s="82">
        <v>1058.3399999999999</v>
      </c>
      <c r="D29" s="83" t="s">
        <v>988</v>
      </c>
      <c r="E29" s="84" t="s">
        <v>1012</v>
      </c>
      <c r="F29" s="85" t="s">
        <v>982</v>
      </c>
      <c r="G29" s="86" t="s">
        <v>834</v>
      </c>
      <c r="H29" s="114"/>
    </row>
    <row r="30" spans="1:8" ht="29" x14ac:dyDescent="0.35">
      <c r="A30" s="107">
        <v>100114076</v>
      </c>
      <c r="B30" s="75" t="s">
        <v>642</v>
      </c>
      <c r="C30" s="76">
        <v>5838.0499999999993</v>
      </c>
      <c r="D30" s="77" t="s">
        <v>988</v>
      </c>
      <c r="E30" s="78" t="s">
        <v>1012</v>
      </c>
      <c r="F30" s="79" t="s">
        <v>983</v>
      </c>
      <c r="G30" s="80" t="s">
        <v>834</v>
      </c>
      <c r="H30" s="113"/>
    </row>
    <row r="31" spans="1:8" x14ac:dyDescent="0.35">
      <c r="A31" s="108">
        <v>100115026</v>
      </c>
      <c r="B31" s="81" t="s">
        <v>657</v>
      </c>
      <c r="C31" s="82">
        <v>19916.66</v>
      </c>
      <c r="D31" s="83" t="s">
        <v>988</v>
      </c>
      <c r="E31" s="84" t="s">
        <v>1013</v>
      </c>
      <c r="F31" s="85" t="s">
        <v>969</v>
      </c>
      <c r="G31" s="86" t="s">
        <v>834</v>
      </c>
      <c r="H31" s="114"/>
    </row>
    <row r="32" spans="1:8" ht="116" x14ac:dyDescent="0.35">
      <c r="A32" s="109">
        <v>100117448</v>
      </c>
      <c r="B32" s="87" t="s">
        <v>673</v>
      </c>
      <c r="C32" s="88">
        <v>24349.61</v>
      </c>
      <c r="D32" s="89" t="s">
        <v>988</v>
      </c>
      <c r="E32" s="90" t="s">
        <v>1010</v>
      </c>
      <c r="F32" s="91" t="s">
        <v>1014</v>
      </c>
      <c r="G32" s="92" t="s">
        <v>834</v>
      </c>
      <c r="H32" s="115"/>
    </row>
    <row r="33" spans="1:8" ht="29" x14ac:dyDescent="0.35">
      <c r="A33" s="109">
        <v>100114309</v>
      </c>
      <c r="B33" s="87" t="s">
        <v>685</v>
      </c>
      <c r="C33" s="88">
        <v>13048.76</v>
      </c>
      <c r="D33" s="89" t="s">
        <v>988</v>
      </c>
      <c r="E33" s="90" t="s">
        <v>970</v>
      </c>
      <c r="F33" s="91" t="s">
        <v>984</v>
      </c>
      <c r="G33" s="92" t="s">
        <v>834</v>
      </c>
      <c r="H33" s="115"/>
    </row>
    <row r="34" spans="1:8" ht="101.5" x14ac:dyDescent="0.35">
      <c r="A34" s="110">
        <v>100114550</v>
      </c>
      <c r="B34" s="93" t="s">
        <v>696</v>
      </c>
      <c r="C34" s="94">
        <v>114243.98000000001</v>
      </c>
      <c r="D34" s="95"/>
      <c r="E34" s="96" t="s">
        <v>1015</v>
      </c>
      <c r="F34" s="97" t="s">
        <v>986</v>
      </c>
      <c r="G34" s="98" t="s">
        <v>834</v>
      </c>
      <c r="H34" s="116"/>
    </row>
    <row r="35" spans="1:8" ht="29" x14ac:dyDescent="0.35">
      <c r="A35" s="108">
        <v>100108960</v>
      </c>
      <c r="B35" s="81" t="s">
        <v>718</v>
      </c>
      <c r="C35" s="82">
        <v>3703.19</v>
      </c>
      <c r="D35" s="83" t="s">
        <v>988</v>
      </c>
      <c r="E35" s="84" t="s">
        <v>980</v>
      </c>
      <c r="F35" s="85" t="s">
        <v>991</v>
      </c>
      <c r="G35" s="86" t="s">
        <v>836</v>
      </c>
      <c r="H35" s="114"/>
    </row>
    <row r="36" spans="1:8" ht="72.5" x14ac:dyDescent="0.35">
      <c r="A36" s="111">
        <v>100111613</v>
      </c>
      <c r="B36" s="100" t="s">
        <v>742</v>
      </c>
      <c r="C36" s="101">
        <v>15579.33</v>
      </c>
      <c r="D36" s="102" t="s">
        <v>988</v>
      </c>
      <c r="E36" s="103" t="s">
        <v>992</v>
      </c>
      <c r="F36" s="104" t="s">
        <v>1016</v>
      </c>
      <c r="G36" s="105" t="s">
        <v>836</v>
      </c>
      <c r="H36" s="117"/>
    </row>
  </sheetData>
  <autoFilter ref="A4:H4" xr:uid="{D6668CB4-C82E-419B-861D-7E52AD37D796}"/>
  <mergeCells count="3">
    <mergeCell ref="A1:H1"/>
    <mergeCell ref="A2:H2"/>
    <mergeCell ref="A3:H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0E41D-D0C4-4301-977B-AEA01FA97F91}">
  <sheetPr codeName="Sheet9"/>
  <dimension ref="A1:A147"/>
  <sheetViews>
    <sheetView showGridLines="0" topLeftCell="A92" zoomScale="60" zoomScaleNormal="60" workbookViewId="0">
      <selection activeCell="V126" sqref="V126"/>
    </sheetView>
  </sheetViews>
  <sheetFormatPr defaultColWidth="8.453125" defaultRowHeight="14.5" x14ac:dyDescent="0.35"/>
  <sheetData>
    <row r="1" spans="1:1" x14ac:dyDescent="0.35">
      <c r="A1" t="s">
        <v>1104</v>
      </c>
    </row>
    <row r="2" spans="1:1" x14ac:dyDescent="0.35">
      <c r="A2" t="s">
        <v>1108</v>
      </c>
    </row>
    <row r="3" spans="1:1" x14ac:dyDescent="0.35">
      <c r="A3" t="s">
        <v>1105</v>
      </c>
    </row>
    <row r="4" spans="1:1" x14ac:dyDescent="0.35">
      <c r="A4" t="s">
        <v>1106</v>
      </c>
    </row>
    <row r="5" spans="1:1" x14ac:dyDescent="0.35">
      <c r="A5" t="s">
        <v>1109</v>
      </c>
    </row>
    <row r="6" spans="1:1" x14ac:dyDescent="0.35">
      <c r="A6" t="s">
        <v>1110</v>
      </c>
    </row>
    <row r="7" spans="1:1" x14ac:dyDescent="0.35">
      <c r="A7" t="s">
        <v>1111</v>
      </c>
    </row>
    <row r="8" spans="1:1" x14ac:dyDescent="0.35">
      <c r="A8" t="s">
        <v>1112</v>
      </c>
    </row>
    <row r="9" spans="1:1" x14ac:dyDescent="0.35">
      <c r="A9" t="s">
        <v>1113</v>
      </c>
    </row>
    <row r="10" spans="1:1" x14ac:dyDescent="0.35">
      <c r="A10" t="s">
        <v>1114</v>
      </c>
    </row>
    <row r="11" spans="1:1" x14ac:dyDescent="0.35">
      <c r="A11" t="s">
        <v>1115</v>
      </c>
    </row>
    <row r="12" spans="1:1" x14ac:dyDescent="0.35">
      <c r="A12" t="s">
        <v>1116</v>
      </c>
    </row>
    <row r="13" spans="1:1" x14ac:dyDescent="0.35">
      <c r="A13" t="s">
        <v>1117</v>
      </c>
    </row>
    <row r="14" spans="1:1" x14ac:dyDescent="0.35">
      <c r="A14" t="s">
        <v>1118</v>
      </c>
    </row>
    <row r="15" spans="1:1" x14ac:dyDescent="0.35">
      <c r="A15" t="s">
        <v>1104</v>
      </c>
    </row>
    <row r="17" spans="1:1" x14ac:dyDescent="0.35">
      <c r="A17" t="s">
        <v>1070</v>
      </c>
    </row>
    <row r="18" spans="1:1" x14ac:dyDescent="0.35">
      <c r="A18" t="s">
        <v>1090</v>
      </c>
    </row>
    <row r="19" spans="1:1" x14ac:dyDescent="0.35">
      <c r="A19" t="s">
        <v>1091</v>
      </c>
    </row>
    <row r="20" spans="1:1" x14ac:dyDescent="0.35">
      <c r="A20" t="s">
        <v>1092</v>
      </c>
    </row>
    <row r="22" spans="1:1" x14ac:dyDescent="0.35">
      <c r="A22" t="s">
        <v>1119</v>
      </c>
    </row>
    <row r="23" spans="1:1" x14ac:dyDescent="0.35">
      <c r="A23" t="s">
        <v>1093</v>
      </c>
    </row>
    <row r="24" spans="1:1" x14ac:dyDescent="0.35">
      <c r="A24" t="s">
        <v>1120</v>
      </c>
    </row>
    <row r="26" spans="1:1" x14ac:dyDescent="0.35">
      <c r="A26" t="s">
        <v>1121</v>
      </c>
    </row>
    <row r="27" spans="1:1" x14ac:dyDescent="0.35">
      <c r="A27" t="s">
        <v>1122</v>
      </c>
    </row>
    <row r="29" spans="1:1" x14ac:dyDescent="0.35">
      <c r="A29" t="s">
        <v>1123</v>
      </c>
    </row>
    <row r="30" spans="1:1" x14ac:dyDescent="0.35">
      <c r="A30" t="s">
        <v>1094</v>
      </c>
    </row>
    <row r="31" spans="1:1" x14ac:dyDescent="0.35">
      <c r="A31" t="s">
        <v>1095</v>
      </c>
    </row>
    <row r="33" spans="1:1" x14ac:dyDescent="0.35">
      <c r="A33" t="s">
        <v>1124</v>
      </c>
    </row>
    <row r="34" spans="1:1" x14ac:dyDescent="0.35">
      <c r="A34" t="s">
        <v>1096</v>
      </c>
    </row>
    <row r="35" spans="1:1" x14ac:dyDescent="0.35">
      <c r="A35" t="s">
        <v>1125</v>
      </c>
    </row>
    <row r="36" spans="1:1" x14ac:dyDescent="0.35">
      <c r="A36" t="s">
        <v>1126</v>
      </c>
    </row>
    <row r="37" spans="1:1" x14ac:dyDescent="0.35">
      <c r="A37" t="s">
        <v>1127</v>
      </c>
    </row>
    <row r="38" spans="1:1" x14ac:dyDescent="0.35">
      <c r="A38" t="s">
        <v>1128</v>
      </c>
    </row>
    <row r="39" spans="1:1" x14ac:dyDescent="0.35">
      <c r="A39" t="s">
        <v>1129</v>
      </c>
    </row>
    <row r="40" spans="1:1" x14ac:dyDescent="0.35">
      <c r="A40" t="s">
        <v>1098</v>
      </c>
    </row>
    <row r="41" spans="1:1" x14ac:dyDescent="0.35">
      <c r="A41" t="s">
        <v>1130</v>
      </c>
    </row>
    <row r="43" spans="1:1" x14ac:dyDescent="0.35">
      <c r="A43" t="s">
        <v>1131</v>
      </c>
    </row>
    <row r="44" spans="1:1" x14ac:dyDescent="0.35">
      <c r="A44" t="s">
        <v>1097</v>
      </c>
    </row>
    <row r="45" spans="1:1" x14ac:dyDescent="0.35">
      <c r="A45" t="s">
        <v>1132</v>
      </c>
    </row>
    <row r="47" spans="1:1" x14ac:dyDescent="0.35">
      <c r="A47" t="s">
        <v>1133</v>
      </c>
    </row>
    <row r="48" spans="1:1" x14ac:dyDescent="0.35">
      <c r="A48" t="s">
        <v>1134</v>
      </c>
    </row>
    <row r="49" spans="1:1" x14ac:dyDescent="0.35">
      <c r="A49" t="s">
        <v>1135</v>
      </c>
    </row>
    <row r="50" spans="1:1" x14ac:dyDescent="0.35">
      <c r="A50" t="s">
        <v>1136</v>
      </c>
    </row>
    <row r="51" spans="1:1" x14ac:dyDescent="0.35">
      <c r="A51" t="s">
        <v>1137</v>
      </c>
    </row>
    <row r="53" spans="1:1" x14ac:dyDescent="0.35">
      <c r="A53" t="s">
        <v>1138</v>
      </c>
    </row>
    <row r="54" spans="1:1" x14ac:dyDescent="0.35">
      <c r="A54" t="s">
        <v>1139</v>
      </c>
    </row>
    <row r="55" spans="1:1" x14ac:dyDescent="0.35">
      <c r="A55" t="s">
        <v>1099</v>
      </c>
    </row>
    <row r="56" spans="1:1" x14ac:dyDescent="0.35">
      <c r="A56" t="s">
        <v>1140</v>
      </c>
    </row>
    <row r="57" spans="1:1" x14ac:dyDescent="0.35">
      <c r="A57" t="s">
        <v>1141</v>
      </c>
    </row>
    <row r="59" spans="1:1" x14ac:dyDescent="0.35">
      <c r="A59" t="s">
        <v>1142</v>
      </c>
    </row>
    <row r="60" spans="1:1" x14ac:dyDescent="0.35">
      <c r="A60" t="s">
        <v>1143</v>
      </c>
    </row>
    <row r="61" spans="1:1" x14ac:dyDescent="0.35">
      <c r="A61" t="s">
        <v>1144</v>
      </c>
    </row>
    <row r="63" spans="1:1" x14ac:dyDescent="0.35">
      <c r="A63" t="s">
        <v>1145</v>
      </c>
    </row>
    <row r="64" spans="1:1" x14ac:dyDescent="0.35">
      <c r="A64" t="s">
        <v>1146</v>
      </c>
    </row>
    <row r="65" spans="1:1" x14ac:dyDescent="0.35">
      <c r="A65" t="s">
        <v>1147</v>
      </c>
    </row>
    <row r="67" spans="1:1" x14ac:dyDescent="0.35">
      <c r="A67" t="s">
        <v>1148</v>
      </c>
    </row>
    <row r="68" spans="1:1" x14ac:dyDescent="0.35">
      <c r="A68" t="s">
        <v>1149</v>
      </c>
    </row>
    <row r="69" spans="1:1" x14ac:dyDescent="0.35">
      <c r="A69" t="s">
        <v>1150</v>
      </c>
    </row>
    <row r="70" spans="1:1" x14ac:dyDescent="0.35">
      <c r="A70" t="s">
        <v>1151</v>
      </c>
    </row>
    <row r="71" spans="1:1" x14ac:dyDescent="0.35">
      <c r="A71" t="s">
        <v>1152</v>
      </c>
    </row>
    <row r="72" spans="1:1" x14ac:dyDescent="0.35">
      <c r="A72" t="s">
        <v>1153</v>
      </c>
    </row>
    <row r="73" spans="1:1" x14ac:dyDescent="0.35">
      <c r="A73" t="s">
        <v>1154</v>
      </c>
    </row>
    <row r="74" spans="1:1" x14ac:dyDescent="0.35">
      <c r="A74" t="s">
        <v>1155</v>
      </c>
    </row>
    <row r="75" spans="1:1" x14ac:dyDescent="0.35">
      <c r="A75" t="s">
        <v>1156</v>
      </c>
    </row>
    <row r="76" spans="1:1" x14ac:dyDescent="0.35">
      <c r="A76" t="s">
        <v>1157</v>
      </c>
    </row>
    <row r="77" spans="1:1" x14ac:dyDescent="0.35">
      <c r="A77" t="s">
        <v>1158</v>
      </c>
    </row>
    <row r="79" spans="1:1" x14ac:dyDescent="0.35">
      <c r="A79" t="s">
        <v>1159</v>
      </c>
    </row>
    <row r="80" spans="1:1" x14ac:dyDescent="0.35">
      <c r="A80" t="s">
        <v>1160</v>
      </c>
    </row>
    <row r="81" spans="1:1" x14ac:dyDescent="0.35">
      <c r="A81" t="s">
        <v>1161</v>
      </c>
    </row>
    <row r="82" spans="1:1" x14ac:dyDescent="0.35">
      <c r="A82" t="s">
        <v>1162</v>
      </c>
    </row>
    <row r="83" spans="1:1" x14ac:dyDescent="0.35">
      <c r="A83" t="s">
        <v>1163</v>
      </c>
    </row>
    <row r="85" spans="1:1" x14ac:dyDescent="0.35">
      <c r="A85" t="s">
        <v>1164</v>
      </c>
    </row>
    <row r="86" spans="1:1" x14ac:dyDescent="0.35">
      <c r="A86" t="s">
        <v>1165</v>
      </c>
    </row>
    <row r="87" spans="1:1" x14ac:dyDescent="0.35">
      <c r="A87" t="s">
        <v>1166</v>
      </c>
    </row>
    <row r="88" spans="1:1" x14ac:dyDescent="0.35">
      <c r="A88" t="s">
        <v>1167</v>
      </c>
    </row>
    <row r="89" spans="1:1" x14ac:dyDescent="0.35">
      <c r="A89" t="s">
        <v>1168</v>
      </c>
    </row>
    <row r="90" spans="1:1" x14ac:dyDescent="0.35">
      <c r="A90" t="s">
        <v>1169</v>
      </c>
    </row>
    <row r="91" spans="1:1" x14ac:dyDescent="0.35">
      <c r="A91" t="s">
        <v>1170</v>
      </c>
    </row>
    <row r="92" spans="1:1" x14ac:dyDescent="0.35">
      <c r="A92" t="s">
        <v>1171</v>
      </c>
    </row>
    <row r="93" spans="1:1" x14ac:dyDescent="0.35">
      <c r="A93" t="s">
        <v>1172</v>
      </c>
    </row>
    <row r="94" spans="1:1" x14ac:dyDescent="0.35">
      <c r="A94" t="s">
        <v>1173</v>
      </c>
    </row>
    <row r="95" spans="1:1" x14ac:dyDescent="0.35">
      <c r="A95" t="s">
        <v>1174</v>
      </c>
    </row>
    <row r="96" spans="1:1" x14ac:dyDescent="0.35">
      <c r="A96" t="s">
        <v>1175</v>
      </c>
    </row>
    <row r="97" spans="1:1" x14ac:dyDescent="0.35">
      <c r="A97" t="s">
        <v>1176</v>
      </c>
    </row>
    <row r="98" spans="1:1" x14ac:dyDescent="0.35">
      <c r="A98" t="s">
        <v>1177</v>
      </c>
    </row>
    <row r="100" spans="1:1" x14ac:dyDescent="0.35">
      <c r="A100" t="s">
        <v>1178</v>
      </c>
    </row>
    <row r="101" spans="1:1" x14ac:dyDescent="0.35">
      <c r="A101" t="s">
        <v>1179</v>
      </c>
    </row>
    <row r="102" spans="1:1" x14ac:dyDescent="0.35">
      <c r="A102" t="s">
        <v>1180</v>
      </c>
    </row>
    <row r="103" spans="1:1" x14ac:dyDescent="0.35">
      <c r="A103" t="s">
        <v>1181</v>
      </c>
    </row>
    <row r="104" spans="1:1" x14ac:dyDescent="0.35">
      <c r="A104" t="s">
        <v>1182</v>
      </c>
    </row>
    <row r="105" spans="1:1" x14ac:dyDescent="0.35">
      <c r="A105" t="s">
        <v>1183</v>
      </c>
    </row>
    <row r="106" spans="1:1" x14ac:dyDescent="0.35">
      <c r="A106" t="s">
        <v>1184</v>
      </c>
    </row>
    <row r="108" spans="1:1" x14ac:dyDescent="0.35">
      <c r="A108" t="s">
        <v>1185</v>
      </c>
    </row>
    <row r="109" spans="1:1" x14ac:dyDescent="0.35">
      <c r="A109" t="s">
        <v>1186</v>
      </c>
    </row>
    <row r="111" spans="1:1" x14ac:dyDescent="0.35">
      <c r="A111" t="s">
        <v>1187</v>
      </c>
    </row>
    <row r="112" spans="1:1" x14ac:dyDescent="0.35">
      <c r="A112" t="s">
        <v>1188</v>
      </c>
    </row>
    <row r="113" spans="1:1" x14ac:dyDescent="0.35">
      <c r="A113" t="s">
        <v>1189</v>
      </c>
    </row>
    <row r="114" spans="1:1" x14ac:dyDescent="0.35">
      <c r="A114" t="s">
        <v>1190</v>
      </c>
    </row>
    <row r="115" spans="1:1" x14ac:dyDescent="0.35">
      <c r="A115" t="s">
        <v>1191</v>
      </c>
    </row>
    <row r="117" spans="1:1" x14ac:dyDescent="0.35">
      <c r="A117" t="s">
        <v>1192</v>
      </c>
    </row>
    <row r="118" spans="1:1" x14ac:dyDescent="0.35">
      <c r="A118" t="s">
        <v>1193</v>
      </c>
    </row>
    <row r="119" spans="1:1" x14ac:dyDescent="0.35">
      <c r="A119" t="s">
        <v>1194</v>
      </c>
    </row>
    <row r="120" spans="1:1" x14ac:dyDescent="0.35">
      <c r="A120" t="s">
        <v>1195</v>
      </c>
    </row>
    <row r="121" spans="1:1" x14ac:dyDescent="0.35">
      <c r="A121" t="s">
        <v>1196</v>
      </c>
    </row>
    <row r="122" spans="1:1" x14ac:dyDescent="0.35">
      <c r="A122" t="s">
        <v>1197</v>
      </c>
    </row>
    <row r="124" spans="1:1" x14ac:dyDescent="0.35">
      <c r="A124" t="s">
        <v>1198</v>
      </c>
    </row>
    <row r="125" spans="1:1" x14ac:dyDescent="0.35">
      <c r="A125" t="s">
        <v>1199</v>
      </c>
    </row>
    <row r="126" spans="1:1" x14ac:dyDescent="0.35">
      <c r="A126" t="s">
        <v>1200</v>
      </c>
    </row>
    <row r="127" spans="1:1" x14ac:dyDescent="0.35">
      <c r="A127" t="s">
        <v>1201</v>
      </c>
    </row>
    <row r="128" spans="1:1" x14ac:dyDescent="0.35">
      <c r="A128" t="s">
        <v>1202</v>
      </c>
    </row>
    <row r="129" spans="1:1" x14ac:dyDescent="0.35">
      <c r="A129" t="s">
        <v>1203</v>
      </c>
    </row>
    <row r="130" spans="1:1" x14ac:dyDescent="0.35">
      <c r="A130" t="s">
        <v>1204</v>
      </c>
    </row>
    <row r="131" spans="1:1" x14ac:dyDescent="0.35">
      <c r="A131" t="s">
        <v>1205</v>
      </c>
    </row>
    <row r="132" spans="1:1" x14ac:dyDescent="0.35">
      <c r="A132" t="s">
        <v>1206</v>
      </c>
    </row>
    <row r="134" spans="1:1" x14ac:dyDescent="0.35">
      <c r="A134" t="s">
        <v>1207</v>
      </c>
    </row>
    <row r="135" spans="1:1" x14ac:dyDescent="0.35">
      <c r="A135" t="s">
        <v>1208</v>
      </c>
    </row>
    <row r="136" spans="1:1" x14ac:dyDescent="0.35">
      <c r="A136" t="s">
        <v>1209</v>
      </c>
    </row>
    <row r="137" spans="1:1" x14ac:dyDescent="0.35">
      <c r="A137" t="s">
        <v>1210</v>
      </c>
    </row>
    <row r="138" spans="1:1" x14ac:dyDescent="0.35">
      <c r="A138" t="s">
        <v>1211</v>
      </c>
    </row>
    <row r="139" spans="1:1" x14ac:dyDescent="0.35">
      <c r="A139" t="s">
        <v>1212</v>
      </c>
    </row>
    <row r="140" spans="1:1" x14ac:dyDescent="0.35">
      <c r="A140" t="s">
        <v>1100</v>
      </c>
    </row>
    <row r="142" spans="1:1" x14ac:dyDescent="0.35">
      <c r="A142" t="s">
        <v>1213</v>
      </c>
    </row>
    <row r="143" spans="1:1" x14ac:dyDescent="0.35">
      <c r="A143" t="s">
        <v>1101</v>
      </c>
    </row>
    <row r="145" spans="1:1" x14ac:dyDescent="0.35">
      <c r="A145" t="s">
        <v>1102</v>
      </c>
    </row>
    <row r="146" spans="1:1" x14ac:dyDescent="0.35">
      <c r="A146" t="s">
        <v>1214</v>
      </c>
    </row>
    <row r="147" spans="1:1" x14ac:dyDescent="0.35">
      <c r="A147" t="s">
        <v>1103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3257489-5206-4f50-bab6-887181a44972">
      <Terms xmlns="http://schemas.microsoft.com/office/infopath/2007/PartnerControls"/>
    </lcf76f155ced4ddcb4097134ff3c332f>
    <TaxCatchAll xmlns="ed872311-6d1b-43d0-83a2-c00b8c7082f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D7FDF017BB102418FEF1C20605DCD54" ma:contentTypeVersion="16" ma:contentTypeDescription="Create a new document." ma:contentTypeScope="" ma:versionID="1e3efe4ae605bb513767b2d1c3a60827">
  <xsd:schema xmlns:xsd="http://www.w3.org/2001/XMLSchema" xmlns:xs="http://www.w3.org/2001/XMLSchema" xmlns:p="http://schemas.microsoft.com/office/2006/metadata/properties" xmlns:ns2="43257489-5206-4f50-bab6-887181a44972" xmlns:ns3="ed872311-6d1b-43d0-83a2-c00b8c7082f5" targetNamespace="http://schemas.microsoft.com/office/2006/metadata/properties" ma:root="true" ma:fieldsID="1ee28dfc7208ae7e8e4790b2c183e2b7" ns2:_="" ns3:_="">
    <xsd:import namespace="43257489-5206-4f50-bab6-887181a44972"/>
    <xsd:import namespace="ed872311-6d1b-43d0-83a2-c00b8c7082f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ObjectDetectorVersions"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257489-5206-4f50-bab6-887181a449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aac8439e-0f4c-460c-87ac-674f609d5c54" ma:termSetId="09814cd3-568e-fe90-9814-8d621ff8fb84" ma:anchorId="fba54fb3-c3e1-fe81-a776-ca4b69148c4d" ma:open="true" ma:isKeyword="false">
      <xsd:complexType>
        <xsd:sequence>
          <xsd:element ref="pc:Terms" minOccurs="0" maxOccurs="1"/>
        </xsd:sequence>
      </xsd:complex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d872311-6d1b-43d0-83a2-c00b8c7082f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fac8da61-6e76-44e2-8864-7e81c2cefa52}" ma:internalName="TaxCatchAll" ma:showField="CatchAllData" ma:web="ed872311-6d1b-43d0-83a2-c00b8c7082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4E0217-4CA2-4D22-A37F-E933ABB48725}">
  <ds:schemaRefs>
    <ds:schemaRef ds:uri="http://schemas.microsoft.com/sharepoint/v3/contenttype/forms"/>
  </ds:schemaRefs>
</ds:datastoreItem>
</file>

<file path=customXml/itemProps2.xml><?xml version="1.0" encoding="utf-8"?>
<ds:datastoreItem xmlns:ds="http://schemas.openxmlformats.org/officeDocument/2006/customXml" ds:itemID="{686B297F-FC4D-4AC3-90E6-2A1073927F14}">
  <ds:schemaRefs>
    <ds:schemaRef ds:uri="http://schemas.microsoft.com/office/infopath/2007/PartnerControls"/>
    <ds:schemaRef ds:uri="http://purl.org/dc/dcmitype/"/>
    <ds:schemaRef ds:uri="http://www.w3.org/XML/1998/namespace"/>
    <ds:schemaRef ds:uri="http://schemas.openxmlformats.org/package/2006/metadata/core-properties"/>
    <ds:schemaRef ds:uri="http://purl.org/dc/elements/1.1/"/>
    <ds:schemaRef ds:uri="http://purl.org/dc/terms/"/>
    <ds:schemaRef ds:uri="http://schemas.microsoft.com/office/2006/documentManagement/types"/>
    <ds:schemaRef ds:uri="ed872311-6d1b-43d0-83a2-c00b8c7082f5"/>
    <ds:schemaRef ds:uri="43257489-5206-4f50-bab6-887181a44972"/>
    <ds:schemaRef ds:uri="http://schemas.microsoft.com/office/2006/metadata/properties"/>
  </ds:schemaRefs>
</ds:datastoreItem>
</file>

<file path=customXml/itemProps3.xml><?xml version="1.0" encoding="utf-8"?>
<ds:datastoreItem xmlns:ds="http://schemas.openxmlformats.org/officeDocument/2006/customXml" ds:itemID="{9EFBA220-E683-4EAB-A007-0A610A5F7B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257489-5206-4f50-bab6-887181a44972"/>
    <ds:schemaRef ds:uri="ed872311-6d1b-43d0-83a2-c00b8c7082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Clients List</vt:lpstr>
      <vt:lpstr>Other Info</vt:lpstr>
      <vt:lpstr>BS Receivable Summary</vt:lpstr>
      <vt:lpstr>AB,Cancellation, Pending Docs</vt:lpstr>
      <vt:lpstr>Issue Summary</vt:lpstr>
      <vt:lpstr>Issue Detail Dashboard</vt:lpstr>
      <vt:lpstr>Consolidated SOA</vt:lpstr>
      <vt:lpstr>Client Report Apr 2026</vt:lpstr>
      <vt:lpstr>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Rucel Jhon Caballero</dc:creator>
  <cp:lastModifiedBy>Rucel Jhon Caballero</cp:lastModifiedBy>
  <cp:lastPrinted>2026-04-13T08:48:39Z</cp:lastPrinted>
  <dcterms:created xsi:type="dcterms:W3CDTF">2026-04-01T06:05:43Z</dcterms:created>
  <dcterms:modified xsi:type="dcterms:W3CDTF">2026-04-29T12:54:33Z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0x0101005D7FDF017BB102418FEF1C20605DCD54</vt:lpwstr>
  </property>
  <property fmtid="{D5CDD505-2E9C-101B-9397-08002B2CF9AE}" pid="3" name="MediaServiceImageTags">
    <vt:lpwstr/>
  </property>
</Properties>
</file>